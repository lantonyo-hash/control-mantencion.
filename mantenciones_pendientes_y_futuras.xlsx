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" sheetId="1" r:id="rId5"/>
    <sheet state="visible" name="ca" sheetId="2" r:id="rId6"/>
    <sheet state="visible" name="carg" sheetId="3" r:id="rId7"/>
    <sheet state="visible" name="retro" sheetId="4" r:id="rId8"/>
    <sheet state="visible" name="ex" sheetId="5" r:id="rId9"/>
    <sheet state="visible" name="bull" sheetId="6" r:id="rId10"/>
    <sheet state="visible" name="tract" sheetId="7" r:id="rId11"/>
    <sheet state="visible" name="motoniv" sheetId="8" r:id="rId12"/>
    <sheet state="visible" name="otro" sheetId="9" r:id="rId13"/>
    <sheet state="visible" name="GE" sheetId="10" r:id="rId14"/>
    <sheet state="visible" name="semirem" sheetId="11" r:id="rId15"/>
    <sheet state="visible" name="DATA_LIMPIA" sheetId="12" r:id="rId16"/>
    <sheet state="visible" name="MAQUINAS_IMPORT" sheetId="13" r:id="rId17"/>
  </sheets>
  <definedNames>
    <definedName hidden="1" localSheetId="0" name="_xlnm._FilterDatabase">'c'!$A$2:$AV$57</definedName>
    <definedName hidden="1" localSheetId="1" name="_xlnm._FilterDatabase">ca!$A$2:$W$59</definedName>
    <definedName hidden="1" localSheetId="2" name="_xlnm._FilterDatabase">carg!$A$2:$AC$16</definedName>
    <definedName hidden="1" localSheetId="3" name="_xlnm._FilterDatabase">retro!$A$2:$AW$11</definedName>
    <definedName hidden="1" localSheetId="4" name="_xlnm._FilterDatabase">ex!$A$2:$T$26</definedName>
    <definedName hidden="1" localSheetId="5" name="_xlnm._FilterDatabase">bull!$A$2:$AA$5</definedName>
    <definedName hidden="1" localSheetId="6" name="_xlnm._FilterDatabase">tract!$A$2:$AA$8</definedName>
    <definedName hidden="1" localSheetId="7" name="_xlnm._FilterDatabase">motoniv!$A$2:$AA$6</definedName>
    <definedName hidden="1" localSheetId="8" name="_xlnm._FilterDatabase">otro!$A$2:$AK$23</definedName>
    <definedName hidden="1" localSheetId="9" name="_xlnm._FilterDatabase">GE!$A$2:$L$13</definedName>
    <definedName hidden="1" localSheetId="10" name="_xlnm._FilterDatabase">semirem!$A$2:$BA$11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tc={04cac3fa-233a-471b-ac3e-46cc61ad52bd}</author>
    <author>tc={0c7713ff-d20e-464f-875b-234fa111feb9}</author>
    <author>tc={0f3700e0-d9a1-4a31-a69c-6b892046ee25}</author>
    <author>tc={1a6948ea-6033-430f-b080-76c5082b7195}</author>
    <author>tc={201208c3-5fad-45b5-82e3-d853cc27156a}</author>
    <author>tc={229e5df5-57ad-4b0f-ac10-f9161fa918ef}</author>
    <author>tc={30a310c9-2060-457f-abcc-fcb25799d117}</author>
    <author>tc={317787cd-607a-4446-9b61-f957ff62ed22}</author>
    <author>tc={36aefe6a-8eb0-4073-94a0-a691dfac390a}</author>
    <author>tc={3b2603d4-bb09-4694-8571-c0433fcfc6e9}</author>
    <author>tc={3cf5cdd2-392a-40fe-8928-4f346cc9e807}</author>
    <author>tc={46f9c152-6d31-480d-b3c4-3e395f45d438}</author>
    <author>tc={474f033c-13d2-45e4-8759-0a5f15641822}</author>
    <author>tc={51d758b2-b816-4520-a0ec-17aab33f3c78}</author>
    <author>tc={59cc4c02-fb97-4fdb-8999-096024370acc}</author>
    <author>tc={5cc7559b-72d9-47f8-b91b-03652dbffd7b}</author>
    <author>tc={6ec8a499-22dc-4220-a073-e3aad196b5e9}</author>
    <author>tc={7055c6a4-914c-4635-80a4-f148eff44ca4}</author>
    <author>tc={80fa1640-1bfc-4faa-8674-56860e187ee3}</author>
    <author>tc={8fd271a7-9e98-4699-a172-da0936525116}</author>
    <author>tc={9abeed2b-a205-4cce-ba18-6abbad74e44b}</author>
    <author>tc={9c0af73a-4798-4f9d-9429-d61060b768c1}</author>
    <author>tc={a3016d39-cb2c-44a6-9e2b-21ab08eeca6c}</author>
    <author>tc={aab37e5c-b124-4a09-8b2e-e7acbfb110c9}</author>
    <author>tc={af2bdc47-25be-4d77-a835-ae66a723c464}</author>
    <author>tc={bd07b2f3-eb7b-4dd0-a3c5-1f74d3ca29fd}</author>
    <author>tc={ce21b570-2720-406b-afcd-79624f55c862}</author>
    <author>tc={d3228b92-bce5-4b4f-8860-2acd5d800ea2}</author>
    <author>tc={d333e460-6b24-485d-b646-aee85db87da8}</author>
    <author>tc={da02fa45-c4a2-400a-95db-350348ed6c1b}</author>
    <author>tc={da5cd897-2873-4be8-b5e3-77b45643c7a3}</author>
    <author>tc={e1720476-066f-4b5e-8570-d047a29dba69}</author>
    <author>tc={f2d73f35-c512-4da4-bd84-dc58e9e254ed}</author>
    <author>tc={f53d7bd1-a81b-4ac2-8265-6bbdee55e280}</author>
    <author>tc={f562568a-fb73-4907-b04a-fc65ce55fca7}</author>
  </authors>
  <commentList>
    <comment authorId="0" xr:uid="{04cac3fa-233a-471b-ac3e-46cc61ad52bd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1" xr:uid="{0c7713ff-d20e-464f-875b-234fa111feb9}" ref="A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reparación castillo valdivia
</t>
      </text>
    </comment>
    <comment authorId="2" xr:uid="{0f3700e0-d9a1-4a31-a69c-6b892046ee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eliminar,  esta  como reliquia, entrada oficina
Reply:
	los dejare con el estado para acordarme mientras lo implemento en la aplicación de harcha maquinaria
</t>
      </text>
    </comment>
    <comment authorId="3" xr:uid="{1a6948ea-6033-430f-b080-76c5082b7195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REPARACION ECMA TALLER
</t>
      </text>
    </comment>
    <comment authorId="4" xr:uid="{201208c3-5fad-45b5-82e3-d853cc27156a}" ref="A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REPARACION LANCO
</t>
      </text>
    </comment>
    <comment authorId="5" xr:uid="{229e5df5-57ad-4b0f-ac10-f9161fa918ef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03/06/2025   264434
</t>
      </text>
    </comment>
    <comment authorId="6" xr:uid="{30a310c9-2060-457f-abcc-fcb25799d11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eliminar  esta desarmada como domente
Reply:
	la dejare con el estado para acordarme mientras lo implemento en la aplicación de harcha maquinaria
</t>
      </text>
    </comment>
    <comment authorId="7" xr:uid="{317787cd-607a-4446-9b61-f957ff62ed22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Parada en la entrada a taller
</t>
      </text>
    </comment>
    <comment authorId="8" xr:uid="{36aefe6a-8eb0-4073-94a0-a691dfac390a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REPARACION SALFA
</t>
      </text>
    </comment>
    <comment authorId="9" xr:uid="{3b2603d4-bb09-4694-8571-c0433fcfc6e9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mantenimiento salfasur
</t>
      </text>
    </comment>
    <comment authorId="10" xr:uid="{3cf5cdd2-392a-40fe-8928-4f346cc9e807}" ref="B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chocada
</t>
      </text>
    </comment>
    <comment authorId="11" xr:uid="{46f9c152-6d31-480d-b3c4-3e395f45d438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panna, se va a lanco
</t>
      </text>
    </comment>
    <comment authorId="12" xr:uid="{474f033c-13d2-45e4-8759-0a5f15641822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panna, en casa de coronado
</t>
      </text>
    </comment>
    <comment authorId="13" xr:uid="{51d758b2-b816-4520-a0ec-17aab33f3c78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panne valdivia
</t>
      </text>
    </comment>
    <comment authorId="14" xr:uid="{59cc4c02-fb97-4fdb-8999-096024370acc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panne soto
</t>
      </text>
    </comment>
    <comment authorId="15" xr:uid="{5cc7559b-72d9-47f8-b91b-03652dbffd7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JCB
Reply:
	realizado el cambio
</t>
      </text>
    </comment>
    <comment authorId="16" xr:uid="{6ec8a499-22dc-4220-a073-e3aad196b5e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patente es RCKP0
</t>
      </text>
    </comment>
    <comment authorId="17" xr:uid="{7055c6a4-914c-4635-80a4-f148eff44ca4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volcada
</t>
      </text>
    </comment>
    <comment authorId="18" xr:uid="{80fa1640-1bfc-4faa-8674-56860e187ee3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Panna
</t>
      </text>
    </comment>
    <comment authorId="19" xr:uid="{8fd271a7-9e98-4699-a172-da0936525116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panne taller
</t>
      </text>
    </comment>
    <comment authorId="20" xr:uid="{9abeed2b-a205-4cce-ba18-6abbad74e44b}" ref="A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taller
</t>
      </text>
    </comment>
    <comment authorId="21" xr:uid="{9c0af73a-4798-4f9d-9429-d61060b768c1}" ref="F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03/06/2025  362286
</t>
      </text>
    </comment>
    <comment authorId="22" xr:uid="{a3016d39-cb2c-44a6-9e2b-21ab08eeca6c}" ref="F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actualizado desde ultimo repo
</t>
      </text>
    </comment>
    <comment authorId="23" xr:uid="{aab37e5c-b124-4a09-8b2e-e7acbfb110c9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Reparación
</t>
      </text>
    </comment>
    <comment authorId="24" xr:uid="{af2bdc47-25be-4d77-a835-ae66a723c464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panna
</t>
      </text>
    </comment>
    <comment authorId="25" xr:uid="{bd07b2f3-eb7b-4dd0-a3c5-1f74d3ca29fd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panne lanco
</t>
      </text>
    </comment>
    <comment authorId="26" xr:uid="{ce21b570-2720-406b-afcd-79624f55c86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J.DEERE
Reply:
	realizado el cambio
</t>
      </text>
    </comment>
    <comment authorId="27" xr:uid="{d3228b92-bce5-4b4f-8860-2acd5d800ea2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REPARACION LANCO
</t>
      </text>
    </comment>
    <comment authorId="28" xr:uid="{d333e460-6b24-485d-b646-aee85db87da8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29" xr:uid="{da02fa45-c4a2-400a-95db-350348ed6c1b}" ref="A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castillo Valdivia
</t>
      </text>
    </comment>
    <comment authorId="30" xr:uid="{da5cd897-2873-4be8-b5e3-77b45643c7a3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nunca la arreglaron, la llevan a taller externo
</t>
      </text>
    </comment>
    <comment authorId="31" xr:uid="{e1720476-066f-4b5e-8570-d047a29dba6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emilinar,  se  vendio
Reply:
	los dejare con el estado para acordarme mientras lo implemento en la aplicación de harcha maquinaria
</t>
      </text>
    </comment>
    <comment authorId="32" xr:uid="{f2d73f35-c512-4da4-bd84-dc58e9e254ed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chocada
</t>
      </text>
    </comment>
    <comment authorId="33" xr:uid="{f53d7bd1-a81b-4ac2-8265-6bbdee55e280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reparación en castillo Valdivia
</t>
      </text>
    </comment>
    <comment authorId="34" xr:uid="{f562568a-fb73-4907-b04a-fc65ce55fca7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tc={307c8f30-fca2-462b-92ce-860b8728c704}</author>
    <author>tc={47323619-d3d0-4a73-83e0-70bd40ba0f25}</author>
    <author>tc={732fdb20-83ad-43ef-b852-e8233c0b318f}</author>
    <author>tc={754a2cb6-fcbe-41f4-bdac-05e5844e679d}</author>
    <author>tc={78ccd0cf-e673-4ead-a32e-666090528ba0}</author>
    <author>tc={b02d380c-38f5-4e21-a084-e1afbc16e53f}</author>
    <author>tc={b1fd1ac5-c8cb-4f83-a501-06121ab42476}</author>
    <author>tc={b206fc14-a15a-44d1-a715-3b264c6a3796}</author>
    <author>tc={efa359d9-00c4-4f30-b582-b7b7d7480e9e}</author>
  </authors>
  <commentList>
    <comment authorId="0" ref="A11">
      <text>
        <t xml:space="preserve">DIFERENCIAS ENTRE KM ENTRE REPORTES Y ULTIMO TRABAJO EN TALLER
</t>
      </text>
    </comment>
    <comment authorId="1" xr:uid="{307c8f30-fca2-462b-92ce-860b8728c704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camión volcado
</t>
      </text>
    </comment>
    <comment authorId="2" xr:uid="{47323619-d3d0-4a73-83e0-70bd40ba0f25}" ref="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3" xr:uid="{732fdb20-83ad-43ef-b852-e8233c0b318f}" ref="A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Patio Desarmado
</t>
      </text>
    </comment>
    <comment authorId="4" xr:uid="{754a2cb6-fcbe-41f4-bdac-05e5844e679d}" ref="J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5" xr:uid="{78ccd0cf-e673-4ead-a32e-666090528ba0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REPARACION
</t>
      </text>
    </comment>
    <comment authorId="6" xr:uid="{b02d380c-38f5-4e21-a084-e1afbc16e53f}" ref="A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taller
</t>
      </text>
    </comment>
    <comment authorId="7" xr:uid="{b1fd1ac5-c8cb-4f83-a501-06121ab42476}" ref="I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tendrá documentación, solo trabajo interno
</t>
      </text>
    </comment>
    <comment authorId="8" xr:uid="{b206fc14-a15a-44d1-a715-3b264c6a3796}" ref="A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TALLER
</t>
      </text>
    </comment>
    <comment authorId="9" xr:uid="{efa359d9-00c4-4f30-b582-b7b7d7480e9e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hora en repo mal ingresadas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tc={c5ff3adb-753a-4a88-a214-7f228b86209f}</author>
    <author>tc={de89d613-1519-4373-a050-77e7eecd6304}</author>
  </authors>
  <commentList>
    <comment authorId="0" xr:uid="{c5ff3adb-753a-4a88-a214-7f228b86209f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reparando
</t>
      </text>
    </comment>
    <comment authorId="1" xr:uid="{de89d613-1519-4373-a050-77e7eecd6304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Patio taller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tc={1b4aec59-3c4c-432b-baf4-3eb49aa741fd}</author>
    <author>tc={6e2dcf42-dd51-4e70-9b6a-1009714efe69}</author>
    <author>tc={9876509d-afff-4891-a38a-5af887eaf854}</author>
    <author>tc={d2c0f195-026e-4b1f-8b0f-ad59974f7510}</author>
  </authors>
  <commentList>
    <comment authorId="0" xr:uid="{1b4aec59-3c4c-432b-baf4-3eb49aa741fd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PATIO
</t>
      </text>
    </comment>
    <comment authorId="1" xr:uid="{6e2dcf42-dd51-4e70-9b6a-1009714efe69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correo con mantención 05/12 pero no veo OT en sistema
</t>
      </text>
    </comment>
    <comment authorId="2" xr:uid="{9876509d-afff-4891-a38a-5af887eaf854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Patio taller
</t>
      </text>
    </comment>
    <comment authorId="3" xr:uid="{d2c0f195-026e-4b1f-8b0f-ad59974f7510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PATIO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tc={257310bb-2287-4a80-b77f-f65c820584fc}</author>
    <author>tc={3e1ccd2a-c728-40bf-857a-591253a29b2a}</author>
    <author>tc={9033bc53-9f44-431d-8460-39f6611aa2db}</author>
  </authors>
  <commentList>
    <comment authorId="0" xr:uid="{257310bb-2287-4a80-b77f-f65c820584fc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PUEDE INSCRIBIR YA QU FUE COMPRADA POR PIEZAS. SINIESTRADA
</t>
      </text>
    </comment>
    <comment authorId="1" xr:uid="{3e1ccd2a-c728-40bf-857a-591253a29b2a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PUEDE INSCRIBIR YA QUE ES COMPRA DE PARTES Y PIEZAS
</t>
      </text>
    </comment>
    <comment authorId="2" xr:uid="{9033bc53-9f44-431d-8460-39f6611aa2db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SE PUEDE INSCRIBIR YA QU FUE COMPRADA POR PIEZAS. SINIESTRADA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tc={aed86829-a1b4-471b-80dd-9d9e899f0cd4}</author>
    <author>tc={dfe72356-a24c-41a0-a301-ca184d2ae8a9}</author>
  </authors>
  <commentList>
    <comment authorId="0" xr:uid="{aed86829-a1b4-471b-80dd-9d9e899f0cd4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PANNA MAS DE 1 MES
</t>
      </text>
    </comment>
    <comment authorId="1" xr:uid="{dfe72356-a24c-41a0-a301-ca184d2ae8a9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parado en patio
</t>
      </text>
    </comment>
  </commentList>
</comments>
</file>

<file path=xl/sharedStrings.xml><?xml version="1.0" encoding="utf-8"?>
<sst xmlns="http://schemas.openxmlformats.org/spreadsheetml/2006/main" count="11419" uniqueCount="707">
  <si>
    <t>MOTOR</t>
  </si>
  <si>
    <t>CORONA/DIFERENCIAL</t>
  </si>
  <si>
    <t>TRANSMISION/CAJA DE CAMBIOS</t>
  </si>
  <si>
    <t>CAJA TRANSFRENCIA</t>
  </si>
  <si>
    <t>COD</t>
  </si>
  <si>
    <t>MATRICULA</t>
  </si>
  <si>
    <t>MARCA</t>
  </si>
  <si>
    <t>PROPIETARIO</t>
  </si>
  <si>
    <t>KM/HR</t>
  </si>
  <si>
    <t>ACTUAL</t>
  </si>
  <si>
    <t>PERMISO CIRCULACION</t>
  </si>
  <si>
    <t>SOAP</t>
  </si>
  <si>
    <t>REV. TECNICA</t>
  </si>
  <si>
    <t>FECHA DE CAMBIO</t>
  </si>
  <si>
    <t>ULTIMO</t>
  </si>
  <si>
    <t>PROXIMO</t>
  </si>
  <si>
    <t>FALTAN</t>
  </si>
  <si>
    <t>ULTIMA MANT</t>
  </si>
  <si>
    <t>RAZON</t>
  </si>
  <si>
    <t>C-01</t>
  </si>
  <si>
    <t>DZXV32</t>
  </si>
  <si>
    <t>HYUNDAI</t>
  </si>
  <si>
    <t>DESCONTINUADA</t>
  </si>
  <si>
    <t>SI</t>
  </si>
  <si>
    <t>C-02</t>
  </si>
  <si>
    <t>FBWJ 56</t>
  </si>
  <si>
    <t>NISSAN</t>
  </si>
  <si>
    <t>MARCO PARADA</t>
  </si>
  <si>
    <t>KM</t>
  </si>
  <si>
    <t>XX</t>
  </si>
  <si>
    <t>4X4</t>
  </si>
  <si>
    <t>C-03</t>
  </si>
  <si>
    <t>FSLK 53</t>
  </si>
  <si>
    <t>BAJA POR BAJA POR BAJA      .   .   .  .. .. . . .</t>
  </si>
  <si>
    <t>C-04</t>
  </si>
  <si>
    <t>GBPH 77</t>
  </si>
  <si>
    <t>JAC</t>
  </si>
  <si>
    <t>HARCHAMAQ</t>
  </si>
  <si>
    <t>NO APLICA</t>
  </si>
  <si>
    <t>4X2</t>
  </si>
  <si>
    <t>C-06</t>
  </si>
  <si>
    <t>GZZB73</t>
  </si>
  <si>
    <t>MAHINDRA</t>
  </si>
  <si>
    <t>C-07</t>
  </si>
  <si>
    <t>HYWS 35</t>
  </si>
  <si>
    <t>SSANYONG</t>
  </si>
  <si>
    <t>C-08</t>
  </si>
  <si>
    <t>HGSJ 62</t>
  </si>
  <si>
    <t>MITSUBISHI</t>
  </si>
  <si>
    <t>C-09</t>
  </si>
  <si>
    <t>JYFV 98</t>
  </si>
  <si>
    <t>C-10</t>
  </si>
  <si>
    <t>JZRK 51</t>
  </si>
  <si>
    <t>C-11</t>
  </si>
  <si>
    <t>BTVK72</t>
  </si>
  <si>
    <t>FIAT</t>
  </si>
  <si>
    <t>C-12</t>
  </si>
  <si>
    <t>JZRK 53</t>
  </si>
  <si>
    <t>C-13</t>
  </si>
  <si>
    <t>KPGT 73</t>
  </si>
  <si>
    <t>C-14</t>
  </si>
  <si>
    <t>KPGT71</t>
  </si>
  <si>
    <t>C-15</t>
  </si>
  <si>
    <t>KPGT 72</t>
  </si>
  <si>
    <t>C-16</t>
  </si>
  <si>
    <t>KPGT 70</t>
  </si>
  <si>
    <t>C-17</t>
  </si>
  <si>
    <t>KPGT 74</t>
  </si>
  <si>
    <t>C-18</t>
  </si>
  <si>
    <t>KSRB30</t>
  </si>
  <si>
    <t>C-19</t>
  </si>
  <si>
    <t>RCZX21</t>
  </si>
  <si>
    <t>C-20</t>
  </si>
  <si>
    <t>RCZX23</t>
  </si>
  <si>
    <t>C-21</t>
  </si>
  <si>
    <t>RCZX26</t>
  </si>
  <si>
    <t>C-22</t>
  </si>
  <si>
    <t>RCZX28</t>
  </si>
  <si>
    <t>ITAU</t>
  </si>
  <si>
    <t>C-23</t>
  </si>
  <si>
    <t>RCWX81</t>
  </si>
  <si>
    <t>MAXUS</t>
  </si>
  <si>
    <t>C-24</t>
  </si>
  <si>
    <t>RCXB16</t>
  </si>
  <si>
    <t>C-25</t>
  </si>
  <si>
    <t>RHDY49</t>
  </si>
  <si>
    <t>C-26</t>
  </si>
  <si>
    <t>RTXW68</t>
  </si>
  <si>
    <t>GREAT WALL</t>
  </si>
  <si>
    <t>C-27</t>
  </si>
  <si>
    <t>RTXW59</t>
  </si>
  <si>
    <t>C-29</t>
  </si>
  <si>
    <t>RWRH49</t>
  </si>
  <si>
    <t>JMC</t>
  </si>
  <si>
    <t>C-30</t>
  </si>
  <si>
    <t>RWRH50</t>
  </si>
  <si>
    <t>HR</t>
  </si>
  <si>
    <t>C-31</t>
  </si>
  <si>
    <t>GLLL 86</t>
  </si>
  <si>
    <t>DODGE</t>
  </si>
  <si>
    <t>c-33</t>
  </si>
  <si>
    <t>RXRK45</t>
  </si>
  <si>
    <t>camineta camineta</t>
  </si>
  <si>
    <t>C-34</t>
  </si>
  <si>
    <t>HJCF 11</t>
  </si>
  <si>
    <t>C-35</t>
  </si>
  <si>
    <t>SCSL76</t>
  </si>
  <si>
    <t>C-36</t>
  </si>
  <si>
    <t>GBPD93</t>
  </si>
  <si>
    <t>ZNA</t>
  </si>
  <si>
    <t>JAIME HARCHA</t>
  </si>
  <si>
    <t>C-37</t>
  </si>
  <si>
    <t>SLCT28</t>
  </si>
  <si>
    <t>SANTANDER</t>
  </si>
  <si>
    <t>C-38</t>
  </si>
  <si>
    <t>SRPL59</t>
  </si>
  <si>
    <t>C-39</t>
  </si>
  <si>
    <t>SRPL60</t>
  </si>
  <si>
    <t>C-41</t>
  </si>
  <si>
    <t>SDWX22</t>
  </si>
  <si>
    <t>FORD</t>
  </si>
  <si>
    <t>C-42</t>
  </si>
  <si>
    <t>SXVL55</t>
  </si>
  <si>
    <t>DODGE RAM 1500</t>
  </si>
  <si>
    <t>C-43</t>
  </si>
  <si>
    <t>STWW21</t>
  </si>
  <si>
    <t>C-44</t>
  </si>
  <si>
    <t>STWW-39</t>
  </si>
  <si>
    <t>C-45</t>
  </si>
  <si>
    <t>SLCT29</t>
  </si>
  <si>
    <t>C-46</t>
  </si>
  <si>
    <t>RXKR45</t>
  </si>
  <si>
    <t>C-47</t>
  </si>
  <si>
    <t>SXLL36</t>
  </si>
  <si>
    <t>C-48</t>
  </si>
  <si>
    <t>TBFH29</t>
  </si>
  <si>
    <t>CHEVROLET</t>
  </si>
  <si>
    <t>C-49</t>
  </si>
  <si>
    <t>JRPT44</t>
  </si>
  <si>
    <t>TERRACONTROL</t>
  </si>
  <si>
    <t>C-50</t>
  </si>
  <si>
    <t>KTYB44</t>
  </si>
  <si>
    <t>PENDIENTE</t>
  </si>
  <si>
    <t>C-51</t>
  </si>
  <si>
    <t>TSXT79</t>
  </si>
  <si>
    <t>PEUGEOT</t>
  </si>
  <si>
    <t>BCI</t>
  </si>
  <si>
    <t>C-52</t>
  </si>
  <si>
    <t>LGTF54</t>
  </si>
  <si>
    <t>YASSER HARCHA</t>
  </si>
  <si>
    <t>C-53</t>
  </si>
  <si>
    <t>VGKK71</t>
  </si>
  <si>
    <t>C-54</t>
  </si>
  <si>
    <t>VPPL47</t>
  </si>
  <si>
    <t>C-55</t>
  </si>
  <si>
    <t>VTUY21</t>
  </si>
  <si>
    <t>TECNOSUR</t>
  </si>
  <si>
    <t>MB-01</t>
  </si>
  <si>
    <t>KDWS38</t>
  </si>
  <si>
    <t>MERCEDES BENZ</t>
  </si>
  <si>
    <t>GLLL68</t>
  </si>
  <si>
    <t/>
  </si>
  <si>
    <t>CUATRI 01</t>
  </si>
  <si>
    <t>THS71</t>
  </si>
  <si>
    <t>CFMOTO</t>
  </si>
  <si>
    <t>xx</t>
  </si>
  <si>
    <t>CUATRI-02</t>
  </si>
  <si>
    <t>THS72</t>
  </si>
  <si>
    <t>CAJA DE CAMBIOS</t>
  </si>
  <si>
    <t>TIPO MAQUINARIA</t>
  </si>
  <si>
    <t>PATENTE</t>
  </si>
  <si>
    <t>MODELO</t>
  </si>
  <si>
    <t>Permiso de circulacion</t>
  </si>
  <si>
    <t>REV.TECNICA</t>
  </si>
  <si>
    <t>FECHA CAMBIO</t>
  </si>
  <si>
    <t xml:space="preserve">PROXIMO </t>
  </si>
  <si>
    <t>CA-01</t>
  </si>
  <si>
    <t>CAMION ALJIBE</t>
  </si>
  <si>
    <t>KJ9233</t>
  </si>
  <si>
    <t>MACK</t>
  </si>
  <si>
    <t>DM690S</t>
  </si>
  <si>
    <t>CG-01</t>
  </si>
  <si>
    <t>CAMION GANADERO</t>
  </si>
  <si>
    <t>YX4975</t>
  </si>
  <si>
    <t>CG-02</t>
  </si>
  <si>
    <t>GGBJ29</t>
  </si>
  <si>
    <t xml:space="preserve">FOTON </t>
  </si>
  <si>
    <t>CK-03</t>
  </si>
  <si>
    <t>TS2119</t>
  </si>
  <si>
    <t>KODIAK 241</t>
  </si>
  <si>
    <t>CM-01</t>
  </si>
  <si>
    <t>CAMION MIXER</t>
  </si>
  <si>
    <t>YZ6869</t>
  </si>
  <si>
    <t>INTERNACIONAL</t>
  </si>
  <si>
    <t>CP-01</t>
  </si>
  <si>
    <t>CAMION 3/4</t>
  </si>
  <si>
    <t>GKYL34</t>
  </si>
  <si>
    <t>MOBILE WORSHOP TRUCK</t>
  </si>
  <si>
    <t>CP-02</t>
  </si>
  <si>
    <t>CAMION 3/4 PLANO</t>
  </si>
  <si>
    <t>HKST11</t>
  </si>
  <si>
    <t>FOTON</t>
  </si>
  <si>
    <t>AUMARK 613 CS</t>
  </si>
  <si>
    <t>CP-03</t>
  </si>
  <si>
    <t>HKFG20</t>
  </si>
  <si>
    <t>AUMARK 613E</t>
  </si>
  <si>
    <t>CP-04</t>
  </si>
  <si>
    <t>LBLG59</t>
  </si>
  <si>
    <t>CANTER 7.5</t>
  </si>
  <si>
    <t>CP-05</t>
  </si>
  <si>
    <t>RKYD89</t>
  </si>
  <si>
    <t>MITSUBISHI FUSO</t>
  </si>
  <si>
    <t>CANTER 815</t>
  </si>
  <si>
    <t>CP-06</t>
  </si>
  <si>
    <t>CAMION PLUMA</t>
  </si>
  <si>
    <t>DJBD80</t>
  </si>
  <si>
    <t>SINOTRUCK</t>
  </si>
  <si>
    <t>CG 190</t>
  </si>
  <si>
    <t>CP-07</t>
  </si>
  <si>
    <t>DZYT67</t>
  </si>
  <si>
    <t>CARGO 2429</t>
  </si>
  <si>
    <t>CP-08</t>
  </si>
  <si>
    <t>SXBK30</t>
  </si>
  <si>
    <t>IVECO</t>
  </si>
  <si>
    <t>TECTOR</t>
  </si>
  <si>
    <t>CS-01</t>
  </si>
  <si>
    <t>CAMION SLARRY</t>
  </si>
  <si>
    <t>GDRK79</t>
  </si>
  <si>
    <t>SALFA</t>
  </si>
  <si>
    <t>GU813</t>
  </si>
  <si>
    <t>CT-01</t>
  </si>
  <si>
    <t>CAMION TOLVA</t>
  </si>
  <si>
    <t>PH4334</t>
  </si>
  <si>
    <t>FREIGHTLINER</t>
  </si>
  <si>
    <t>FL 80</t>
  </si>
  <si>
    <t>CT-02</t>
  </si>
  <si>
    <t>NC-9007</t>
  </si>
  <si>
    <t>F5070</t>
  </si>
  <si>
    <t>CT-03</t>
  </si>
  <si>
    <t>RD7433</t>
  </si>
  <si>
    <t>MELON</t>
  </si>
  <si>
    <t>DM 690 S</t>
  </si>
  <si>
    <t>CT-04</t>
  </si>
  <si>
    <t>YD6671</t>
  </si>
  <si>
    <t>MPC410E38H</t>
  </si>
  <si>
    <t>CT-05</t>
  </si>
  <si>
    <t>YD6674</t>
  </si>
  <si>
    <t>CT-06</t>
  </si>
  <si>
    <t>BSLY79</t>
  </si>
  <si>
    <t>M2 106</t>
  </si>
  <si>
    <t>CT-07</t>
  </si>
  <si>
    <t>CHPV26</t>
  </si>
  <si>
    <t>M2 112</t>
  </si>
  <si>
    <t>CT-08</t>
  </si>
  <si>
    <t>GVFS56</t>
  </si>
  <si>
    <t>LANDER HFC 3311</t>
  </si>
  <si>
    <t>CT-09</t>
  </si>
  <si>
    <t>GGFY95</t>
  </si>
  <si>
    <t xml:space="preserve"> DESCONTINUADA</t>
  </si>
  <si>
    <t>CT-10</t>
  </si>
  <si>
    <t>HKDX21</t>
  </si>
  <si>
    <t>AUMAN 3239</t>
  </si>
  <si>
    <t xml:space="preserve">CT-11 </t>
  </si>
  <si>
    <t>HKDX24</t>
  </si>
  <si>
    <t>CT-12</t>
  </si>
  <si>
    <t>PDSF74</t>
  </si>
  <si>
    <t>TRAKKER HI LAND AD 380T50</t>
  </si>
  <si>
    <t>CT-13</t>
  </si>
  <si>
    <t>PDSF75</t>
  </si>
  <si>
    <t>10/13/2026</t>
  </si>
  <si>
    <t>CT-14</t>
  </si>
  <si>
    <t>RCKP70</t>
  </si>
  <si>
    <t>AROCS 3342</t>
  </si>
  <si>
    <t>CT-15</t>
  </si>
  <si>
    <t>RCKP71</t>
  </si>
  <si>
    <t>CT-16</t>
  </si>
  <si>
    <t>RCKP72</t>
  </si>
  <si>
    <t>CT-17</t>
  </si>
  <si>
    <t>RCKP77</t>
  </si>
  <si>
    <t>CT-18</t>
  </si>
  <si>
    <t>RCKP78</t>
  </si>
  <si>
    <t>CT-19</t>
  </si>
  <si>
    <t>RCKP79</t>
  </si>
  <si>
    <t>CT-20</t>
  </si>
  <si>
    <t>BFTP53</t>
  </si>
  <si>
    <t>CT-21</t>
  </si>
  <si>
    <t>BFTP65</t>
  </si>
  <si>
    <t>CT-22</t>
  </si>
  <si>
    <t>BFTP66</t>
  </si>
  <si>
    <t>3336 K</t>
  </si>
  <si>
    <t>CT-23</t>
  </si>
  <si>
    <t>BSPZ51-K</t>
  </si>
  <si>
    <t xml:space="preserve">MACK </t>
  </si>
  <si>
    <t>GU 813</t>
  </si>
  <si>
    <t>CT-24</t>
  </si>
  <si>
    <t>BDYC87-K</t>
  </si>
  <si>
    <t>CT-25</t>
  </si>
  <si>
    <t>WH9819-7</t>
  </si>
  <si>
    <t>CV713</t>
  </si>
  <si>
    <t>CT-26</t>
  </si>
  <si>
    <t>WH9820-0</t>
  </si>
  <si>
    <t>AGUA SANTA</t>
  </si>
  <si>
    <t>CT-27</t>
  </si>
  <si>
    <t>WH9821-9</t>
  </si>
  <si>
    <t>CT-28</t>
  </si>
  <si>
    <t>WH9822-7</t>
  </si>
  <si>
    <t>CT-29</t>
  </si>
  <si>
    <t>YU4567-0</t>
  </si>
  <si>
    <t>CT-30</t>
  </si>
  <si>
    <t>YU4568-9</t>
  </si>
  <si>
    <t>CT-31</t>
  </si>
  <si>
    <t>YU4569-7</t>
  </si>
  <si>
    <t>CT-32</t>
  </si>
  <si>
    <t>YU4930-7</t>
  </si>
  <si>
    <t>asdasfs</t>
  </si>
  <si>
    <t>CT-33</t>
  </si>
  <si>
    <t>YU4931-5</t>
  </si>
  <si>
    <t>CT-34</t>
  </si>
  <si>
    <t>YU4943-9</t>
  </si>
  <si>
    <t>CT-35</t>
  </si>
  <si>
    <t>VJGH99</t>
  </si>
  <si>
    <t>TRAKKER 410</t>
  </si>
  <si>
    <t>CT-36</t>
  </si>
  <si>
    <t>VJGJ11</t>
  </si>
  <si>
    <t>CT-37</t>
  </si>
  <si>
    <t>VJGJ10</t>
  </si>
  <si>
    <t>TRAKKER 500</t>
  </si>
  <si>
    <t>23/2/0206</t>
  </si>
  <si>
    <t>CT-38</t>
  </si>
  <si>
    <t>VJGJ12</t>
  </si>
  <si>
    <t>TC-01</t>
  </si>
  <si>
    <t xml:space="preserve">TRACTO CAMION </t>
  </si>
  <si>
    <t>ZW5118</t>
  </si>
  <si>
    <t>STRALIS 740S42</t>
  </si>
  <si>
    <t>TC-02</t>
  </si>
  <si>
    <t>DSBH56</t>
  </si>
  <si>
    <t>TC-03</t>
  </si>
  <si>
    <t>RKYD79</t>
  </si>
  <si>
    <t>NEW ACTROS 3351</t>
  </si>
  <si>
    <t>CI-01</t>
  </si>
  <si>
    <t>CAMION IMPRIMADOR</t>
  </si>
  <si>
    <t>BTZB78</t>
  </si>
  <si>
    <t>PAVIMENTOS QUILIN</t>
  </si>
  <si>
    <t>F 750</t>
  </si>
  <si>
    <t>CI-02</t>
  </si>
  <si>
    <t>GGHD72</t>
  </si>
  <si>
    <t>M2 146</t>
  </si>
  <si>
    <t xml:space="preserve"> </t>
  </si>
  <si>
    <t>TRANSMISION</t>
  </si>
  <si>
    <t>HIDRAULICO</t>
  </si>
  <si>
    <t>DIFERENCIAL/CUBOS</t>
  </si>
  <si>
    <t>MAQUINARIA</t>
  </si>
  <si>
    <t>CF-01</t>
  </si>
  <si>
    <t>CARGADOR FRONTAL</t>
  </si>
  <si>
    <t>DAEWOO</t>
  </si>
  <si>
    <t>MG400III</t>
  </si>
  <si>
    <t>CF-02</t>
  </si>
  <si>
    <t>CHANGLIN</t>
  </si>
  <si>
    <t>ZL50G</t>
  </si>
  <si>
    <t>CF-03</t>
  </si>
  <si>
    <t>NEW HOLLAND</t>
  </si>
  <si>
    <t>MF W190B</t>
  </si>
  <si>
    <t>CKTG19</t>
  </si>
  <si>
    <t>CF-04</t>
  </si>
  <si>
    <t>VOLVO</t>
  </si>
  <si>
    <t>L150G</t>
  </si>
  <si>
    <t>DSLH27-4</t>
  </si>
  <si>
    <t>CF-05</t>
  </si>
  <si>
    <t>CLINTON</t>
  </si>
  <si>
    <t>LW300F</t>
  </si>
  <si>
    <t>LZRC22</t>
  </si>
  <si>
    <t>CF-06</t>
  </si>
  <si>
    <t>JOHN DEERE</t>
  </si>
  <si>
    <t>624K-II</t>
  </si>
  <si>
    <t>PPFG75</t>
  </si>
  <si>
    <t>CF-07</t>
  </si>
  <si>
    <t>HL770 9S</t>
  </si>
  <si>
    <t>LFFZ69</t>
  </si>
  <si>
    <t>CF-08</t>
  </si>
  <si>
    <t>KOMATSU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</si>
  <si>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</si>
  <si>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CYWH62</t>
  </si>
  <si>
    <t>CF-09</t>
  </si>
  <si>
    <t>DXGT18</t>
  </si>
  <si>
    <t>CF-10</t>
  </si>
  <si>
    <t>AW470</t>
  </si>
  <si>
    <t>PYCJ80</t>
  </si>
  <si>
    <t>MC-01</t>
  </si>
  <si>
    <t xml:space="preserve">MINI CARGADOR </t>
  </si>
  <si>
    <t>MC-02</t>
  </si>
  <si>
    <t>LUIGING</t>
  </si>
  <si>
    <t>A375</t>
  </si>
  <si>
    <t>GXVV46-8</t>
  </si>
  <si>
    <t>MC-03</t>
  </si>
  <si>
    <t>MINI CARGADOR</t>
  </si>
  <si>
    <t>TOYOTA</t>
  </si>
  <si>
    <t>MC-04</t>
  </si>
  <si>
    <t>BOBCAT</t>
  </si>
  <si>
    <t>TRAnSMISION</t>
  </si>
  <si>
    <t>PROXIMO ACEITE</t>
  </si>
  <si>
    <t>RX-01</t>
  </si>
  <si>
    <t>RETROEXCAVADORA</t>
  </si>
  <si>
    <t>310J</t>
  </si>
  <si>
    <t>BGDW56-7</t>
  </si>
  <si>
    <t>RX-02</t>
  </si>
  <si>
    <t>310G</t>
  </si>
  <si>
    <t>RX-03</t>
  </si>
  <si>
    <t>JCB</t>
  </si>
  <si>
    <t>3C</t>
  </si>
  <si>
    <t>FPLK20-K</t>
  </si>
  <si>
    <t>RX-04</t>
  </si>
  <si>
    <t>CATERPILLAR</t>
  </si>
  <si>
    <t>416E</t>
  </si>
  <si>
    <t>GTJH71-2</t>
  </si>
  <si>
    <t>RX-05</t>
  </si>
  <si>
    <t>B90B</t>
  </si>
  <si>
    <t>GYXY37-3</t>
  </si>
  <si>
    <t>RX-06</t>
  </si>
  <si>
    <t>GYXY36-5</t>
  </si>
  <si>
    <t>RX-07</t>
  </si>
  <si>
    <t>3CXG</t>
  </si>
  <si>
    <t>HYVX68-K</t>
  </si>
  <si>
    <t>RX-08</t>
  </si>
  <si>
    <r>
      <rPr>
        <rFont val="Arial"/>
        <color theme="1"/>
        <sz val="11.0"/>
      </rPr>
      <t>RETROEXCAVADORA</t>
    </r>
  </si>
  <si>
    <t>310P 4X4</t>
  </si>
  <si>
    <t>TRSL.95-4</t>
  </si>
  <si>
    <t>RXm-09</t>
  </si>
  <si>
    <r>
      <rPr>
        <rFont val="Arial"/>
        <color theme="1"/>
        <sz val="11.0"/>
      </rPr>
      <t>RETROEXCAVADORA</t>
    </r>
  </si>
  <si>
    <t>TRSL.99-7</t>
  </si>
  <si>
    <t>MANDO FINAL</t>
  </si>
  <si>
    <t>EX-01</t>
  </si>
  <si>
    <t>EXCAVADORA</t>
  </si>
  <si>
    <t>EX-02</t>
  </si>
  <si>
    <t>KOBELCO</t>
  </si>
  <si>
    <t>SK200LC4</t>
  </si>
  <si>
    <t>ZX4320-0</t>
  </si>
  <si>
    <t>EX-03</t>
  </si>
  <si>
    <t>JS200LC</t>
  </si>
  <si>
    <t>EX-04</t>
  </si>
  <si>
    <t>BGVW80-0</t>
  </si>
  <si>
    <t>EX-05</t>
  </si>
  <si>
    <t>JS220LC</t>
  </si>
  <si>
    <t>EX-06</t>
  </si>
  <si>
    <t>330LC</t>
  </si>
  <si>
    <t>DRXC28</t>
  </si>
  <si>
    <t>EX-07</t>
  </si>
  <si>
    <t>PC200LC-8MO</t>
  </si>
  <si>
    <t>JRKH82-1</t>
  </si>
  <si>
    <t>EX-08</t>
  </si>
  <si>
    <t>JVXT34-7</t>
  </si>
  <si>
    <t>EX-09</t>
  </si>
  <si>
    <t>PC300LC-8</t>
  </si>
  <si>
    <t>RHDP26</t>
  </si>
  <si>
    <t>EX-10</t>
  </si>
  <si>
    <t>EX-11</t>
  </si>
  <si>
    <t>KTRD37</t>
  </si>
  <si>
    <t>EX-12</t>
  </si>
  <si>
    <t>350G</t>
  </si>
  <si>
    <t>JJLH67-6</t>
  </si>
  <si>
    <t>EX-13</t>
  </si>
  <si>
    <t>EX-14</t>
  </si>
  <si>
    <t>KFZK38-5</t>
  </si>
  <si>
    <t>EX-15</t>
  </si>
  <si>
    <t>PC210 LC</t>
  </si>
  <si>
    <t>THYP52</t>
  </si>
  <si>
    <t>EX-16</t>
  </si>
  <si>
    <t xml:space="preserve">PC300 </t>
  </si>
  <si>
    <t>SJTT92</t>
  </si>
  <si>
    <t>EX-17</t>
  </si>
  <si>
    <t>SDRZ54</t>
  </si>
  <si>
    <t>EX-18</t>
  </si>
  <si>
    <t>VHTG61</t>
  </si>
  <si>
    <t>EX-19</t>
  </si>
  <si>
    <t>VHTG55</t>
  </si>
  <si>
    <t>EX-20</t>
  </si>
  <si>
    <t>PC290 LC</t>
  </si>
  <si>
    <t>VPTD92</t>
  </si>
  <si>
    <t>EX-21</t>
  </si>
  <si>
    <t>JHON DEERE</t>
  </si>
  <si>
    <t>350GL</t>
  </si>
  <si>
    <t>RYHV75</t>
  </si>
  <si>
    <t>MX-01</t>
  </si>
  <si>
    <t>MINI EXCAVADORA</t>
  </si>
  <si>
    <t>308B-CR</t>
  </si>
  <si>
    <t>MX-02</t>
  </si>
  <si>
    <t>WAKER</t>
  </si>
  <si>
    <t>NEUSON3503</t>
  </si>
  <si>
    <t>HWFT99</t>
  </si>
  <si>
    <t>ALCARRAZ</t>
  </si>
  <si>
    <t>MX-03</t>
  </si>
  <si>
    <t>8035ZTS</t>
  </si>
  <si>
    <t>KHSJ.37-7</t>
  </si>
  <si>
    <t>PROXIMO FILTROS</t>
  </si>
  <si>
    <t>BD-01</t>
  </si>
  <si>
    <t>BULLDOZER</t>
  </si>
  <si>
    <t>650G</t>
  </si>
  <si>
    <t>BD-02</t>
  </si>
  <si>
    <t>D6T</t>
  </si>
  <si>
    <t>CCKZ72</t>
  </si>
  <si>
    <t>HARCHA MAQUINARIA</t>
  </si>
  <si>
    <t>BD-03</t>
  </si>
  <si>
    <t>850G</t>
  </si>
  <si>
    <t>KSRG22-7</t>
  </si>
  <si>
    <t>DIFERENCIAL</t>
  </si>
  <si>
    <t>HOROMETRO ACTUALlZADO</t>
  </si>
  <si>
    <t>T-01</t>
  </si>
  <si>
    <t>TRACTOR</t>
  </si>
  <si>
    <t>MASSEY FERGUSON</t>
  </si>
  <si>
    <t>T-02</t>
  </si>
  <si>
    <t xml:space="preserve">SAME </t>
  </si>
  <si>
    <t>EXPLOREN95</t>
  </si>
  <si>
    <t>HLZF62-8</t>
  </si>
  <si>
    <t>T-03</t>
  </si>
  <si>
    <t>HKVR32</t>
  </si>
  <si>
    <t>ASERRADERO LUIS FRITZSCHE</t>
  </si>
  <si>
    <t>T-04</t>
  </si>
  <si>
    <t>CASE</t>
  </si>
  <si>
    <t>SHRB11-1</t>
  </si>
  <si>
    <t>T-05</t>
  </si>
  <si>
    <t>DONGFENG</t>
  </si>
  <si>
    <t>DF404</t>
  </si>
  <si>
    <t>T-06</t>
  </si>
  <si>
    <t>VDYH39</t>
  </si>
  <si>
    <t>MN-01</t>
  </si>
  <si>
    <t>MOTONIVELADORA</t>
  </si>
  <si>
    <t>YE3487</t>
  </si>
  <si>
    <t>nsoesnosenosne</t>
  </si>
  <si>
    <t>MN-02</t>
  </si>
  <si>
    <t>GD675-3EO</t>
  </si>
  <si>
    <t>CKPV.95-2</t>
  </si>
  <si>
    <t>MN-03</t>
  </si>
  <si>
    <t>GD675-5</t>
  </si>
  <si>
    <t>KTRL-62</t>
  </si>
  <si>
    <t>MN-04</t>
  </si>
  <si>
    <t>G730B</t>
  </si>
  <si>
    <t>YF5586</t>
  </si>
  <si>
    <t>HIDRÁULICO</t>
  </si>
  <si>
    <t>TRANSMISIÓN</t>
  </si>
  <si>
    <t xml:space="preserve">DIRECCION </t>
  </si>
  <si>
    <t>LUGAR</t>
  </si>
  <si>
    <t>PRÓXIMO</t>
  </si>
  <si>
    <t>P-220</t>
  </si>
  <si>
    <t>CHANCADOR PRIMARIO</t>
  </si>
  <si>
    <t xml:space="preserve">MOTOR PILOTERA </t>
  </si>
  <si>
    <t>DOP 46</t>
  </si>
  <si>
    <t>GM-01</t>
  </si>
  <si>
    <t>GRUA MOVIL</t>
  </si>
  <si>
    <t>LW250-3</t>
  </si>
  <si>
    <t>YZ9670-2</t>
  </si>
  <si>
    <t>GM-02</t>
  </si>
  <si>
    <t>TEREX</t>
  </si>
  <si>
    <t>HC-110</t>
  </si>
  <si>
    <t>TALLER</t>
  </si>
  <si>
    <t>GM-03</t>
  </si>
  <si>
    <t>GM-04</t>
  </si>
  <si>
    <t>RT 345-1 XL</t>
  </si>
  <si>
    <t>P-01</t>
  </si>
  <si>
    <t>PLANTA ARIDOS</t>
  </si>
  <si>
    <t>TESAP</t>
  </si>
  <si>
    <t>INPACTOR</t>
  </si>
  <si>
    <t>TALLER SAN JOAQUIN</t>
  </si>
  <si>
    <t>P-02</t>
  </si>
  <si>
    <t>POWER</t>
  </si>
  <si>
    <t>SELECCIONADORA</t>
  </si>
  <si>
    <t>GENERADOR</t>
  </si>
  <si>
    <t>QUINCHILCA</t>
  </si>
  <si>
    <t>P-03</t>
  </si>
  <si>
    <t>POWER SCREEN</t>
  </si>
  <si>
    <t>SYMMONS</t>
  </si>
  <si>
    <t>P-04</t>
  </si>
  <si>
    <t>CRUSHER</t>
  </si>
  <si>
    <t>VLCD73</t>
  </si>
  <si>
    <t>DV-10</t>
  </si>
  <si>
    <t>PH-01</t>
  </si>
  <si>
    <t>PLANTA HORMIGON MOVIL</t>
  </si>
  <si>
    <t>Sin Datos</t>
  </si>
  <si>
    <t>USA GENERADOR</t>
  </si>
  <si>
    <t>RC-01</t>
  </si>
  <si>
    <t>RODILLO COMPACTADOR</t>
  </si>
  <si>
    <t>CS 533 E</t>
  </si>
  <si>
    <t>DBFS56</t>
  </si>
  <si>
    <t>DV-06</t>
  </si>
  <si>
    <t>RC-02</t>
  </si>
  <si>
    <t>HAMM</t>
  </si>
  <si>
    <t>RSRK53</t>
  </si>
  <si>
    <t>RL-01</t>
  </si>
  <si>
    <t>AMMANN</t>
  </si>
  <si>
    <t>AV 70X</t>
  </si>
  <si>
    <t>VHRZ35</t>
  </si>
  <si>
    <t>RN-01</t>
  </si>
  <si>
    <t>RODILLO NEUMATICO</t>
  </si>
  <si>
    <t>AP 240</t>
  </si>
  <si>
    <t>VHRZ34</t>
  </si>
  <si>
    <t>GV-01</t>
  </si>
  <si>
    <t>GRAVILLADORA</t>
  </si>
  <si>
    <t>ETNYRE</t>
  </si>
  <si>
    <t>FWD</t>
  </si>
  <si>
    <t>VHRZ33</t>
  </si>
  <si>
    <t>NO NECESITA</t>
  </si>
  <si>
    <t>TE-01</t>
  </si>
  <si>
    <t>TERMINADORA</t>
  </si>
  <si>
    <t>TITAN</t>
  </si>
  <si>
    <t>VH-01</t>
  </si>
  <si>
    <t>VIBRO HINCADORA</t>
  </si>
  <si>
    <t>BA-01</t>
  </si>
  <si>
    <t>BARREDORA</t>
  </si>
  <si>
    <t>LAYMOR</t>
  </si>
  <si>
    <t>SM450-ST</t>
  </si>
  <si>
    <t>RBGW23</t>
  </si>
  <si>
    <t>SE-01</t>
  </si>
  <si>
    <t>SELLADORA</t>
  </si>
  <si>
    <t>COLUMBIA</t>
  </si>
  <si>
    <t>CLYGZC350</t>
  </si>
  <si>
    <t>PKLX48</t>
  </si>
  <si>
    <t>BA-02</t>
  </si>
  <si>
    <t>BROCE</t>
  </si>
  <si>
    <t>SWCX77</t>
  </si>
  <si>
    <t>COD. NUEVO</t>
  </si>
  <si>
    <t>EQUIPO</t>
  </si>
  <si>
    <t>UBICACIÓN</t>
  </si>
  <si>
    <t>ULTIMA</t>
  </si>
  <si>
    <t>PROXIMA</t>
  </si>
  <si>
    <t>G-01</t>
  </si>
  <si>
    <t xml:space="preserve">GENERADOR </t>
  </si>
  <si>
    <t>150KVA</t>
  </si>
  <si>
    <t>DV010</t>
  </si>
  <si>
    <t>G-02</t>
  </si>
  <si>
    <t>KOLVOC</t>
  </si>
  <si>
    <t>COLLICO GALPÓNES</t>
  </si>
  <si>
    <t>G-03</t>
  </si>
  <si>
    <t xml:space="preserve">GENERADOR  </t>
  </si>
  <si>
    <t>CUMMINS</t>
  </si>
  <si>
    <t>440KVA</t>
  </si>
  <si>
    <t>PLQ - PLANTA CHANCADO Quinchilca</t>
  </si>
  <si>
    <t>Pedro Villacura</t>
  </si>
  <si>
    <t>Plataforma</t>
  </si>
  <si>
    <t>G-04</t>
  </si>
  <si>
    <t>TOYAMA</t>
  </si>
  <si>
    <t>33KVA</t>
  </si>
  <si>
    <t>BODEGA</t>
  </si>
  <si>
    <t>G-05</t>
  </si>
  <si>
    <t>17KVA</t>
  </si>
  <si>
    <t>DOP48</t>
  </si>
  <si>
    <t>G-06</t>
  </si>
  <si>
    <t>60KVA</t>
  </si>
  <si>
    <t>G-07</t>
  </si>
  <si>
    <t>PERKING</t>
  </si>
  <si>
    <t>200KVA</t>
  </si>
  <si>
    <t>POZO SAN JOAQUIN</t>
  </si>
  <si>
    <t xml:space="preserve">Moisés </t>
  </si>
  <si>
    <t>SE COBRA MANTENCION</t>
  </si>
  <si>
    <t>G-08</t>
  </si>
  <si>
    <t>330KVA</t>
  </si>
  <si>
    <t>Camila Guajardo</t>
  </si>
  <si>
    <t>9 31 97 76 86</t>
  </si>
  <si>
    <t>G-09</t>
  </si>
  <si>
    <t>GH POWER</t>
  </si>
  <si>
    <t>22KVA</t>
  </si>
  <si>
    <t>G-10</t>
  </si>
  <si>
    <t>110KVA</t>
  </si>
  <si>
    <t>DOP 046</t>
  </si>
  <si>
    <t>G-11</t>
  </si>
  <si>
    <t>DV08</t>
  </si>
  <si>
    <t>Juan Leiva</t>
  </si>
  <si>
    <t>9 54 96 94 41</t>
  </si>
  <si>
    <t>B-01</t>
  </si>
  <si>
    <t>BATEA</t>
  </si>
  <si>
    <t>RANDON</t>
  </si>
  <si>
    <t>SR BA AB 03 20</t>
  </si>
  <si>
    <t>JB3026</t>
  </si>
  <si>
    <t>B-02</t>
  </si>
  <si>
    <t>JB9039-2</t>
  </si>
  <si>
    <t>B-03</t>
  </si>
  <si>
    <t>TREMACK</t>
  </si>
  <si>
    <t>SRTTT203N</t>
  </si>
  <si>
    <t>JB1879</t>
  </si>
  <si>
    <t>MAQUINARIAS PEÑALOLEN</t>
  </si>
  <si>
    <t>CB-01</t>
  </si>
  <si>
    <t>CAMA BAJA</t>
  </si>
  <si>
    <t>SCHILGER</t>
  </si>
  <si>
    <t>SR-CB-25T</t>
  </si>
  <si>
    <t>JB9034-1</t>
  </si>
  <si>
    <t>TRANSUR</t>
  </si>
  <si>
    <t>CB-02</t>
  </si>
  <si>
    <t>CHALLENGER</t>
  </si>
  <si>
    <t>NGB 35</t>
  </si>
  <si>
    <t>HXFZ45-3</t>
  </si>
  <si>
    <t>CB-03</t>
  </si>
  <si>
    <t>SERVICE TRAYLER</t>
  </si>
  <si>
    <t>CB 50T</t>
  </si>
  <si>
    <t>PWSF12-3</t>
  </si>
  <si>
    <t>BANCO ESTADO</t>
  </si>
  <si>
    <t>CB-04</t>
  </si>
  <si>
    <t>VICFER</t>
  </si>
  <si>
    <t>VIC 6</t>
  </si>
  <si>
    <t>PXKW52</t>
  </si>
  <si>
    <t>R-01</t>
  </si>
  <si>
    <t>RAMPLA</t>
  </si>
  <si>
    <t>GOREN</t>
  </si>
  <si>
    <t>SR 3M 30 P 13.5</t>
  </si>
  <si>
    <t>JN6041-3</t>
  </si>
  <si>
    <t>CAR-01</t>
  </si>
  <si>
    <t>CARRO</t>
  </si>
  <si>
    <t xml:space="preserve">                         </t>
  </si>
  <si>
    <t>YEG-621</t>
  </si>
  <si>
    <t>CAR-02</t>
  </si>
  <si>
    <t>YEG-627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</si>
</sst>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/mm/yy"/>
    <numFmt numFmtId="165" formatCode="D/M/YYYY"/>
    <numFmt numFmtId="166" formatCode="mm/yyyy"/>
    <numFmt numFmtId="167" formatCode="d/m/yyyy"/>
    <numFmt numFmtId="168" formatCode="0_ ;[Red]\-0\ "/>
    <numFmt numFmtId="169" formatCode="#,##0_ ;[Red]\-#,##0\ "/>
    <numFmt numFmtId="170" formatCode="dd-mm-yyyy"/>
    <numFmt numFmtId="171" formatCode="dd/mm/yyyy"/>
    <numFmt numFmtId="172" formatCode="d/M/yyyy"/>
    <numFmt numFmtId="173" formatCode="d/mm/yyyy"/>
    <numFmt numFmtId="174" formatCode="d-m-yyyy"/>
    <numFmt numFmtId="175" formatCode="dd/mm/yyyy h:mm:ss"/>
    <numFmt numFmtId="176" formatCode="yyyy-mm-dd"/>
    <numFmt numFmtId="177" formatCode="d/m/yyyy h:mm:ss"/>
  </numFmts>
  <fonts count="26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FF0000"/>
      <name val="Calibri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rgb="FF000000"/>
      <name val="Arial"/>
    </font>
    <font>
      <color rgb="FFA5A5A5"/>
      <name val="Arial"/>
    </font>
    <font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4.0"/>
      <color theme="1"/>
      <name val="Calibri"/>
    </font>
    <font>
      <color theme="1"/>
      <name val="Calibri"/>
    </font>
    <font>
      <color rgb="FF222222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66FFCC"/>
        <bgColor rgb="FF66FFCC"/>
      </patternFill>
    </fill>
    <fill>
      <patternFill patternType="solid">
        <fgColor rgb="FF7F7F7F"/>
        <bgColor rgb="FF7F7F7F"/>
      </patternFill>
    </fill>
    <fill>
      <patternFill patternType="solid">
        <fgColor rgb="FFF8F9FA"/>
        <bgColor rgb="FFF8F9FA"/>
      </patternFill>
    </fill>
    <fill>
      <patternFill patternType="solid">
        <fgColor rgb="FF999999"/>
        <bgColor rgb="FF999999"/>
      </patternFill>
    </fill>
    <fill>
      <patternFill patternType="solid">
        <fgColor rgb="FFF6F8F9"/>
        <bgColor rgb="FFF6F8F9"/>
      </patternFill>
    </fill>
    <fill>
      <patternFill patternType="solid">
        <fgColor rgb="FF9FC5E8"/>
        <bgColor rgb="FF9FC5E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CFF89"/>
        <bgColor rgb="FFBCFF89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D9D9D9"/>
        <bgColor rgb="FFD9D9D9"/>
      </patternFill>
    </fill>
    <fill>
      <patternFill patternType="solid">
        <fgColor rgb="FFF7CAAC"/>
        <bgColor rgb="FFF7CAAC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</fills>
  <borders count="6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</border>
    <border>
      <left/>
      <right/>
      <top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CCCCCC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</border>
    <border>
      <right style="medium">
        <color rgb="FF000000"/>
      </right>
    </border>
    <border>
      <left style="medium">
        <color rgb="FFCCCCCC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/>
      <right/>
      <top style="medium">
        <color rgb="FF000000"/>
      </top>
    </border>
    <border>
      <left/>
      <top style="medium">
        <color rgb="FF000000"/>
      </top>
    </border>
    <border>
      <right/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Border="1" applyFont="1"/>
    <xf borderId="2" fillId="2" fontId="1" numFmtId="164" xfId="0" applyBorder="1" applyFont="1" applyNumberFormat="1"/>
    <xf borderId="2" fillId="2" fontId="1" numFmtId="165" xfId="0" applyBorder="1" applyFont="1" applyNumberFormat="1"/>
    <xf borderId="2" fillId="2" fontId="1" numFmtId="166" xfId="0" applyBorder="1" applyFont="1" applyNumberFormat="1"/>
    <xf borderId="3" fillId="2" fontId="2" numFmtId="0" xfId="0" applyAlignment="1" applyBorder="1" applyFont="1">
      <alignment horizontal="center" shrinkToFit="0" wrapText="1"/>
    </xf>
    <xf borderId="4" fillId="0" fontId="3" numFmtId="0" xfId="0" applyBorder="1" applyFont="1"/>
    <xf borderId="5" fillId="0" fontId="3" numFmtId="0" xfId="0" applyBorder="1" applyFont="1"/>
    <xf borderId="3" fillId="2" fontId="2" numFmtId="0" xfId="0" applyAlignment="1" applyBorder="1" applyFont="1">
      <alignment horizontal="center" readingOrder="0" shrinkToFit="0" wrapText="1"/>
    </xf>
    <xf borderId="6" fillId="0" fontId="3" numFmtId="0" xfId="0" applyBorder="1" applyFont="1"/>
    <xf borderId="7" fillId="2" fontId="2" numFmtId="0" xfId="0" applyAlignment="1" applyBorder="1" applyFont="1">
      <alignment shrinkToFit="0" wrapText="1"/>
    </xf>
    <xf borderId="8" fillId="2" fontId="4" numFmtId="0" xfId="0" applyAlignment="1" applyBorder="1" applyFont="1">
      <alignment horizontal="center" shrinkToFit="0" wrapText="1"/>
    </xf>
    <xf borderId="8" fillId="2" fontId="4" numFmtId="0" xfId="0" applyAlignment="1" applyBorder="1" applyFont="1">
      <alignment horizontal="center" readingOrder="0" shrinkToFit="0" wrapText="1"/>
    </xf>
    <xf borderId="8" fillId="2" fontId="2" numFmtId="164" xfId="0" applyAlignment="1" applyBorder="1" applyFont="1" applyNumberFormat="1">
      <alignment horizontal="center" shrinkToFit="0" wrapText="1"/>
    </xf>
    <xf borderId="8" fillId="2" fontId="2" numFmtId="165" xfId="0" applyAlignment="1" applyBorder="1" applyFont="1" applyNumberFormat="1">
      <alignment horizontal="center" shrinkToFit="0" wrapText="1"/>
    </xf>
    <xf borderId="8" fillId="2" fontId="2" numFmtId="166" xfId="0" applyAlignment="1" applyBorder="1" applyFont="1" applyNumberFormat="1">
      <alignment horizontal="center" shrinkToFit="0" wrapText="1"/>
    </xf>
    <xf borderId="8" fillId="3" fontId="2" numFmtId="0" xfId="0" applyAlignment="1" applyBorder="1" applyFill="1" applyFont="1">
      <alignment horizontal="center" shrinkToFit="0" wrapText="1"/>
    </xf>
    <xf borderId="8" fillId="2" fontId="5" numFmtId="0" xfId="0" applyAlignment="1" applyBorder="1" applyFont="1">
      <alignment readingOrder="0"/>
    </xf>
    <xf borderId="8" fillId="4" fontId="2" numFmtId="0" xfId="0" applyAlignment="1" applyBorder="1" applyFill="1" applyFont="1">
      <alignment horizontal="center" shrinkToFit="0" wrapText="1"/>
    </xf>
    <xf borderId="8" fillId="2" fontId="1" numFmtId="0" xfId="0" applyBorder="1" applyFont="1"/>
    <xf borderId="8" fillId="5" fontId="2" numFmtId="0" xfId="0" applyAlignment="1" applyBorder="1" applyFill="1" applyFont="1">
      <alignment horizontal="center" shrinkToFit="0" wrapText="1"/>
    </xf>
    <xf borderId="8" fillId="6" fontId="2" numFmtId="0" xfId="0" applyAlignment="1" applyBorder="1" applyFill="1" applyFont="1">
      <alignment horizontal="center" readingOrder="0" shrinkToFit="0" wrapText="1"/>
    </xf>
    <xf borderId="8" fillId="6" fontId="2" numFmtId="0" xfId="0" applyAlignment="1" applyBorder="1" applyFont="1">
      <alignment horizontal="center" shrinkToFit="0" wrapText="1"/>
    </xf>
    <xf borderId="9" fillId="0" fontId="1" numFmtId="0" xfId="0" applyBorder="1" applyFont="1"/>
    <xf borderId="0" fillId="0" fontId="6" numFmtId="0" xfId="0" applyAlignment="1" applyFont="1">
      <alignment readingOrder="0"/>
    </xf>
    <xf borderId="10" fillId="7" fontId="1" numFmtId="0" xfId="0" applyAlignment="1" applyBorder="1" applyFill="1" applyFont="1">
      <alignment shrinkToFit="0" vertical="bottom" wrapText="1"/>
    </xf>
    <xf borderId="11" fillId="7" fontId="1" numFmtId="0" xfId="0" applyAlignment="1" applyBorder="1" applyFont="1">
      <alignment readingOrder="0" vertical="bottom"/>
    </xf>
    <xf borderId="12" fillId="7" fontId="1" numFmtId="0" xfId="0" applyAlignment="1" applyBorder="1" applyFont="1">
      <alignment horizontal="right" shrinkToFit="0" vertical="bottom" wrapText="1"/>
    </xf>
    <xf borderId="13" fillId="7" fontId="1" numFmtId="164" xfId="0" applyAlignment="1" applyBorder="1" applyFont="1" applyNumberFormat="1">
      <alignment horizontal="right" shrinkToFit="0" vertical="bottom" wrapText="1"/>
    </xf>
    <xf borderId="10" fillId="7" fontId="1" numFmtId="165" xfId="0" applyAlignment="1" applyBorder="1" applyFont="1" applyNumberFormat="1">
      <alignment horizontal="right" shrinkToFit="0" vertical="bottom" wrapText="1"/>
    </xf>
    <xf borderId="14" fillId="7" fontId="1" numFmtId="166" xfId="0" applyAlignment="1" applyBorder="1" applyFont="1" applyNumberFormat="1">
      <alignment horizontal="right" shrinkToFit="0" vertical="bottom" wrapText="1"/>
    </xf>
    <xf borderId="13" fillId="7" fontId="1" numFmtId="167" xfId="0" applyAlignment="1" applyBorder="1" applyFont="1" applyNumberFormat="1">
      <alignment horizontal="center" shrinkToFit="0" vertical="bottom" wrapText="1"/>
    </xf>
    <xf borderId="10" fillId="7" fontId="1" numFmtId="3" xfId="0" applyAlignment="1" applyBorder="1" applyFont="1" applyNumberFormat="1">
      <alignment horizontal="center" shrinkToFit="0" vertical="bottom" wrapText="1"/>
    </xf>
    <xf borderId="10" fillId="7" fontId="1" numFmtId="3" xfId="0" applyAlignment="1" applyBorder="1" applyFont="1" applyNumberFormat="1">
      <alignment horizontal="right" shrinkToFit="0" vertical="bottom" wrapText="1"/>
    </xf>
    <xf borderId="14" fillId="7" fontId="5" numFmtId="168" xfId="0" applyAlignment="1" applyBorder="1" applyFont="1" applyNumberFormat="1">
      <alignment horizontal="right" shrinkToFit="0" vertical="bottom" wrapText="1"/>
    </xf>
    <xf borderId="14" fillId="7" fontId="1" numFmtId="169" xfId="0" applyAlignment="1" applyBorder="1" applyFont="1" applyNumberFormat="1">
      <alignment horizontal="right" shrinkToFit="0" vertical="bottom" wrapText="1"/>
    </xf>
    <xf borderId="13" fillId="7" fontId="1" numFmtId="0" xfId="0" applyAlignment="1" applyBorder="1" applyFont="1">
      <alignment vertical="bottom"/>
    </xf>
    <xf borderId="10" fillId="7" fontId="1" numFmtId="0" xfId="0" applyAlignment="1" applyBorder="1" applyFont="1">
      <alignment horizontal="center" vertical="bottom"/>
    </xf>
    <xf borderId="14" fillId="7" fontId="7" numFmtId="169" xfId="0" applyAlignment="1" applyBorder="1" applyFont="1" applyNumberFormat="1">
      <alignment horizontal="right" shrinkToFit="0" vertical="bottom" wrapText="1"/>
    </xf>
    <xf borderId="15" fillId="8" fontId="1" numFmtId="0" xfId="0" applyAlignment="1" applyBorder="1" applyFill="1" applyFont="1">
      <alignment shrinkToFit="0" vertical="bottom" wrapText="1"/>
    </xf>
    <xf borderId="15" fillId="8" fontId="5" numFmtId="0" xfId="0" applyAlignment="1" applyBorder="1" applyFont="1">
      <alignment readingOrder="0" shrinkToFit="0" vertical="bottom" wrapText="1"/>
    </xf>
    <xf borderId="16" fillId="8" fontId="1" numFmtId="0" xfId="0" applyAlignment="1" applyBorder="1" applyFont="1">
      <alignment shrinkToFit="0" vertical="bottom" wrapText="1"/>
    </xf>
    <xf borderId="17" fillId="2" fontId="8" numFmtId="0" xfId="0" applyAlignment="1" applyBorder="1" applyFont="1">
      <alignment readingOrder="0"/>
    </xf>
    <xf borderId="17" fillId="2" fontId="1" numFmtId="0" xfId="0" applyAlignment="1" applyBorder="1" applyFont="1">
      <alignment readingOrder="0" shrinkToFit="0" vertical="bottom" wrapText="1"/>
    </xf>
    <xf borderId="15" fillId="0" fontId="6" numFmtId="0" xfId="0" applyAlignment="1" applyBorder="1" applyFont="1">
      <alignment readingOrder="0"/>
    </xf>
    <xf borderId="18" fillId="7" fontId="1" numFmtId="164" xfId="0" applyAlignment="1" applyBorder="1" applyFont="1" applyNumberFormat="1">
      <alignment horizontal="center" shrinkToFit="0" wrapText="1"/>
    </xf>
    <xf borderId="15" fillId="7" fontId="1" numFmtId="165" xfId="0" applyAlignment="1" applyBorder="1" applyFont="1" applyNumberFormat="1">
      <alignment horizontal="center" shrinkToFit="0" wrapText="1"/>
    </xf>
    <xf borderId="19" fillId="7" fontId="1" numFmtId="166" xfId="0" applyAlignment="1" applyBorder="1" applyFont="1" applyNumberFormat="1">
      <alignment horizontal="center" shrinkToFit="0" wrapText="1"/>
    </xf>
    <xf borderId="20" fillId="2" fontId="1" numFmtId="167" xfId="0" applyAlignment="1" applyBorder="1" applyFont="1" applyNumberFormat="1">
      <alignment horizontal="center" shrinkToFit="0" vertical="bottom" wrapText="1"/>
    </xf>
    <xf borderId="15" fillId="3" fontId="1" numFmtId="3" xfId="0" applyAlignment="1" applyBorder="1" applyFont="1" applyNumberFormat="1">
      <alignment horizontal="center" shrinkToFit="0" vertical="bottom" wrapText="1"/>
    </xf>
    <xf borderId="15" fillId="3" fontId="1" numFmtId="3" xfId="0" applyAlignment="1" applyBorder="1" applyFont="1" applyNumberFormat="1">
      <alignment horizontal="right" shrinkToFit="0" vertical="bottom" wrapText="1"/>
    </xf>
    <xf borderId="19" fillId="0" fontId="5" numFmtId="168" xfId="0" applyAlignment="1" applyBorder="1" applyFont="1" applyNumberFormat="1">
      <alignment horizontal="right" shrinkToFit="0" vertical="bottom" wrapText="1"/>
    </xf>
    <xf borderId="15" fillId="4" fontId="1" numFmtId="3" xfId="0" applyAlignment="1" applyBorder="1" applyFont="1" applyNumberFormat="1">
      <alignment horizontal="right" shrinkToFit="0" vertical="bottom" wrapText="1"/>
    </xf>
    <xf borderId="19" fillId="0" fontId="1" numFmtId="169" xfId="0" applyAlignment="1" applyBorder="1" applyFont="1" applyNumberFormat="1">
      <alignment horizontal="right" shrinkToFit="0" vertical="bottom" wrapText="1"/>
    </xf>
    <xf borderId="15" fillId="5" fontId="1" numFmtId="3" xfId="0" applyAlignment="1" applyBorder="1" applyFont="1" applyNumberFormat="1">
      <alignment horizontal="right" shrinkToFit="0" vertical="bottom" wrapText="1"/>
    </xf>
    <xf borderId="15" fillId="6" fontId="1" numFmtId="3" xfId="0" applyAlignment="1" applyBorder="1" applyFont="1" applyNumberFormat="1">
      <alignment horizontal="center" shrinkToFit="0" vertical="bottom" wrapText="1"/>
    </xf>
    <xf borderId="15" fillId="6" fontId="1" numFmtId="3" xfId="0" applyAlignment="1" applyBorder="1" applyFont="1" applyNumberFormat="1">
      <alignment horizontal="right" shrinkToFit="0" vertical="bottom" wrapText="1"/>
    </xf>
    <xf borderId="15" fillId="9" fontId="1" numFmtId="0" xfId="0" applyAlignment="1" applyBorder="1" applyFill="1" applyFont="1">
      <alignment shrinkToFit="0" vertical="bottom" wrapText="1"/>
    </xf>
    <xf borderId="16" fillId="9" fontId="1" numFmtId="0" xfId="0" applyAlignment="1" applyBorder="1" applyFont="1">
      <alignment shrinkToFit="0" vertical="bottom" wrapText="1"/>
    </xf>
    <xf borderId="17" fillId="9" fontId="8" numFmtId="0" xfId="0" applyAlignment="1" applyBorder="1" applyFont="1">
      <alignment readingOrder="0"/>
    </xf>
    <xf borderId="17" fillId="9" fontId="1" numFmtId="0" xfId="0" applyAlignment="1" applyBorder="1" applyFont="1">
      <alignment readingOrder="0" shrinkToFit="0" vertical="bottom" wrapText="1"/>
    </xf>
    <xf borderId="15" fillId="9" fontId="6" numFmtId="0" xfId="0" applyAlignment="1" applyBorder="1" applyFont="1">
      <alignment readingOrder="0"/>
    </xf>
    <xf borderId="18" fillId="9" fontId="1" numFmtId="164" xfId="0" applyAlignment="1" applyBorder="1" applyFont="1" applyNumberFormat="1">
      <alignment horizontal="right" readingOrder="0" shrinkToFit="0" wrapText="1"/>
    </xf>
    <xf borderId="15" fillId="9" fontId="1" numFmtId="165" xfId="0" applyAlignment="1" applyBorder="1" applyFont="1" applyNumberFormat="1">
      <alignment horizontal="right" readingOrder="0" shrinkToFit="0" wrapText="1"/>
    </xf>
    <xf borderId="19" fillId="9" fontId="1" numFmtId="166" xfId="0" applyAlignment="1" applyBorder="1" applyFont="1" applyNumberFormat="1">
      <alignment horizontal="right" shrinkToFit="0" wrapText="1"/>
    </xf>
    <xf borderId="20" fillId="9" fontId="1" numFmtId="167" xfId="0" applyAlignment="1" applyBorder="1" applyFont="1" applyNumberFormat="1">
      <alignment horizontal="center" shrinkToFit="0" vertical="bottom" wrapText="1"/>
    </xf>
    <xf borderId="15" fillId="9" fontId="1" numFmtId="3" xfId="0" applyAlignment="1" applyBorder="1" applyFont="1" applyNumberFormat="1">
      <alignment horizontal="center" shrinkToFit="0" vertical="bottom" wrapText="1"/>
    </xf>
    <xf borderId="15" fillId="9" fontId="1" numFmtId="3" xfId="0" applyAlignment="1" applyBorder="1" applyFont="1" applyNumberFormat="1">
      <alignment horizontal="right" shrinkToFit="0" vertical="bottom" wrapText="1"/>
    </xf>
    <xf borderId="19" fillId="9" fontId="5" numFmtId="168" xfId="0" applyAlignment="1" applyBorder="1" applyFont="1" applyNumberFormat="1">
      <alignment horizontal="right" shrinkToFit="0" vertical="bottom" wrapText="1"/>
    </xf>
    <xf borderId="19" fillId="9" fontId="1" numFmtId="169" xfId="0" applyAlignment="1" applyBorder="1" applyFont="1" applyNumberFormat="1">
      <alignment horizontal="right" shrinkToFit="0" vertical="bottom" wrapText="1"/>
    </xf>
    <xf borderId="15" fillId="10" fontId="1" numFmtId="0" xfId="0" applyAlignment="1" applyBorder="1" applyFill="1" applyFont="1">
      <alignment shrinkToFit="0" vertical="bottom" wrapText="1"/>
    </xf>
    <xf borderId="15" fillId="2" fontId="5" numFmtId="0" xfId="0" applyAlignment="1" applyBorder="1" applyFont="1">
      <alignment readingOrder="0" shrinkToFit="0" vertical="bottom" wrapText="1"/>
    </xf>
    <xf borderId="16" fillId="2" fontId="1" numFmtId="0" xfId="0" applyAlignment="1" applyBorder="1" applyFont="1">
      <alignment shrinkToFit="0" vertical="bottom" wrapText="1"/>
    </xf>
    <xf borderId="18" fillId="2" fontId="1" numFmtId="164" xfId="0" applyAlignment="1" applyBorder="1" applyFont="1" applyNumberFormat="1">
      <alignment horizontal="right" readingOrder="0" shrinkToFit="0" wrapText="1"/>
    </xf>
    <xf borderId="15" fillId="2" fontId="1" numFmtId="165" xfId="0" applyAlignment="1" applyBorder="1" applyFont="1" applyNumberFormat="1">
      <alignment horizontal="right" readingOrder="0" shrinkToFit="0" wrapText="1"/>
    </xf>
    <xf borderId="19" fillId="2" fontId="5" numFmtId="166" xfId="0" applyAlignment="1" applyBorder="1" applyFont="1" applyNumberFormat="1">
      <alignment horizontal="right" readingOrder="0" shrinkToFit="0" wrapText="1"/>
    </xf>
    <xf borderId="20" fillId="2" fontId="1" numFmtId="167" xfId="0" applyAlignment="1" applyBorder="1" applyFont="1" applyNumberFormat="1">
      <alignment horizontal="center" readingOrder="0" shrinkToFit="0" vertical="bottom" wrapText="1"/>
    </xf>
    <xf borderId="15" fillId="11" fontId="1" numFmtId="3" xfId="0" applyAlignment="1" applyBorder="1" applyFill="1" applyFont="1" applyNumberFormat="1">
      <alignment horizontal="center" readingOrder="0" shrinkToFit="0" vertical="bottom" wrapText="1"/>
    </xf>
    <xf borderId="15" fillId="4" fontId="1" numFmtId="3" xfId="0" applyAlignment="1" applyBorder="1" applyFont="1" applyNumberFormat="1">
      <alignment horizontal="right" readingOrder="0" shrinkToFit="0" vertical="bottom" wrapText="1"/>
    </xf>
    <xf borderId="15" fillId="5" fontId="1" numFmtId="3" xfId="0" applyAlignment="1" applyBorder="1" applyFont="1" applyNumberFormat="1">
      <alignment horizontal="right" readingOrder="0" shrinkToFit="0" vertical="bottom" wrapText="1"/>
    </xf>
    <xf borderId="15" fillId="6" fontId="1" numFmtId="0" xfId="0" applyAlignment="1" applyBorder="1" applyFont="1">
      <alignment horizontal="center" readingOrder="0" vertical="bottom"/>
    </xf>
    <xf borderId="19" fillId="0" fontId="7" numFmtId="169" xfId="0" applyAlignment="1" applyBorder="1" applyFont="1" applyNumberFormat="1">
      <alignment horizontal="right" readingOrder="0" shrinkToFit="0" vertical="bottom" wrapText="1"/>
    </xf>
    <xf borderId="15" fillId="0" fontId="5" numFmtId="3" xfId="0" applyAlignment="1" applyBorder="1" applyFont="1" applyNumberFormat="1">
      <alignment horizontal="right" readingOrder="0" shrinkToFit="0" vertical="bottom" wrapText="1"/>
    </xf>
    <xf borderId="19" fillId="0" fontId="1" numFmtId="166" xfId="0" applyAlignment="1" applyBorder="1" applyFont="1" applyNumberFormat="1">
      <alignment horizontal="right" readingOrder="0" shrinkToFit="0" wrapText="1"/>
    </xf>
    <xf borderId="15" fillId="3" fontId="1" numFmtId="3" xfId="0" applyAlignment="1" applyBorder="1" applyFont="1" applyNumberFormat="1">
      <alignment horizontal="center" readingOrder="0" shrinkToFit="0" vertical="bottom" wrapText="1"/>
    </xf>
    <xf borderId="20" fillId="2" fontId="1" numFmtId="0" xfId="0" applyAlignment="1" applyBorder="1" applyFont="1">
      <alignment vertical="bottom"/>
    </xf>
    <xf borderId="15" fillId="6" fontId="1" numFmtId="0" xfId="0" applyAlignment="1" applyBorder="1" applyFont="1">
      <alignment horizontal="center" vertical="bottom"/>
    </xf>
    <xf borderId="15" fillId="7" fontId="1" numFmtId="0" xfId="0" applyAlignment="1" applyBorder="1" applyFont="1">
      <alignment shrinkToFit="0" vertical="bottom" wrapText="1"/>
    </xf>
    <xf borderId="16" fillId="7" fontId="1" numFmtId="0" xfId="0" applyAlignment="1" applyBorder="1" applyFont="1">
      <alignment shrinkToFit="0" vertical="bottom" wrapText="1"/>
    </xf>
    <xf borderId="17" fillId="7" fontId="1" numFmtId="0" xfId="0" applyAlignment="1" applyBorder="1" applyFont="1">
      <alignment readingOrder="0" vertical="bottom"/>
    </xf>
    <xf borderId="17" fillId="7" fontId="1" numFmtId="0" xfId="0" applyAlignment="1" applyBorder="1" applyFont="1">
      <alignment shrinkToFit="0" vertical="bottom" wrapText="1"/>
    </xf>
    <xf borderId="15" fillId="7" fontId="1" numFmtId="0" xfId="0" applyAlignment="1" applyBorder="1" applyFont="1">
      <alignment horizontal="right" shrinkToFit="0" vertical="bottom" wrapText="1"/>
    </xf>
    <xf borderId="21" fillId="7" fontId="1" numFmtId="164" xfId="0" applyBorder="1" applyFont="1" applyNumberFormat="1"/>
    <xf borderId="15" fillId="7" fontId="1" numFmtId="165" xfId="0" applyBorder="1" applyFont="1" applyNumberFormat="1"/>
    <xf borderId="19" fillId="7" fontId="1" numFmtId="166" xfId="0" applyBorder="1" applyFont="1" applyNumberFormat="1"/>
    <xf borderId="20" fillId="7" fontId="1" numFmtId="167" xfId="0" applyAlignment="1" applyBorder="1" applyFont="1" applyNumberFormat="1">
      <alignment horizontal="center" shrinkToFit="0" vertical="bottom" wrapText="1"/>
    </xf>
    <xf borderId="15" fillId="7" fontId="1" numFmtId="3" xfId="0" applyAlignment="1" applyBorder="1" applyFont="1" applyNumberFormat="1">
      <alignment horizontal="center" shrinkToFit="0" vertical="bottom" wrapText="1"/>
    </xf>
    <xf borderId="15" fillId="7" fontId="1" numFmtId="3" xfId="0" applyAlignment="1" applyBorder="1" applyFont="1" applyNumberFormat="1">
      <alignment horizontal="right" shrinkToFit="0" vertical="bottom" wrapText="1"/>
    </xf>
    <xf borderId="19" fillId="7" fontId="5" numFmtId="168" xfId="0" applyAlignment="1" applyBorder="1" applyFont="1" applyNumberFormat="1">
      <alignment horizontal="right" shrinkToFit="0" vertical="bottom" wrapText="1"/>
    </xf>
    <xf borderId="19" fillId="7" fontId="1" numFmtId="169" xfId="0" applyAlignment="1" applyBorder="1" applyFont="1" applyNumberFormat="1">
      <alignment horizontal="right" shrinkToFit="0" vertical="bottom" wrapText="1"/>
    </xf>
    <xf borderId="20" fillId="7" fontId="1" numFmtId="0" xfId="0" applyAlignment="1" applyBorder="1" applyFont="1">
      <alignment vertical="bottom"/>
    </xf>
    <xf borderId="15" fillId="7" fontId="1" numFmtId="0" xfId="0" applyAlignment="1" applyBorder="1" applyFont="1">
      <alignment horizontal="center" vertical="bottom"/>
    </xf>
    <xf borderId="19" fillId="7" fontId="7" numFmtId="169" xfId="0" applyAlignment="1" applyBorder="1" applyFont="1" applyNumberFormat="1">
      <alignment horizontal="right" shrinkToFit="0" vertical="bottom" wrapText="1"/>
    </xf>
    <xf borderId="15" fillId="10" fontId="5" numFmtId="0" xfId="0" applyAlignment="1" applyBorder="1" applyFont="1">
      <alignment readingOrder="0" shrinkToFit="0" vertical="bottom" wrapText="1"/>
    </xf>
    <xf borderId="15" fillId="2" fontId="1" numFmtId="0" xfId="0" applyAlignment="1" applyBorder="1" applyFont="1">
      <alignment readingOrder="0" shrinkToFit="0" vertical="bottom" wrapText="1"/>
    </xf>
    <xf borderId="15" fillId="0" fontId="9" numFmtId="0" xfId="0" applyAlignment="1" applyBorder="1" applyFont="1">
      <alignment readingOrder="0"/>
    </xf>
    <xf borderId="19" fillId="2" fontId="1" numFmtId="166" xfId="0" applyAlignment="1" applyBorder="1" applyFont="1" applyNumberFormat="1">
      <alignment horizontal="right" readingOrder="0" shrinkToFit="0" wrapText="1"/>
    </xf>
    <xf borderId="15" fillId="3" fontId="5" numFmtId="3" xfId="0" applyAlignment="1" applyBorder="1" applyFont="1" applyNumberFormat="1">
      <alignment horizontal="center" readingOrder="0" shrinkToFit="0" vertical="bottom" wrapText="1"/>
    </xf>
    <xf borderId="19" fillId="0" fontId="5" numFmtId="169" xfId="0" applyAlignment="1" applyBorder="1" applyFont="1" applyNumberFormat="1">
      <alignment horizontal="right" shrinkToFit="0" vertical="bottom" wrapText="1"/>
    </xf>
    <xf borderId="20" fillId="2" fontId="1" numFmtId="170" xfId="0" applyAlignment="1" applyBorder="1" applyFont="1" applyNumberFormat="1">
      <alignment readingOrder="0" vertical="bottom"/>
    </xf>
    <xf borderId="18" fillId="7" fontId="1" numFmtId="164" xfId="0" applyBorder="1" applyFont="1" applyNumberFormat="1"/>
    <xf borderId="17" fillId="7" fontId="1" numFmtId="0" xfId="0" applyAlignment="1" applyBorder="1" applyFont="1">
      <alignment horizontal="right" readingOrder="0" shrinkToFit="0" vertical="bottom" wrapText="1"/>
    </xf>
    <xf borderId="17" fillId="7" fontId="1" numFmtId="0" xfId="0" applyAlignment="1" applyBorder="1" applyFont="1">
      <alignment readingOrder="0" shrinkToFit="0" vertical="bottom" wrapText="1"/>
    </xf>
    <xf borderId="18" fillId="7" fontId="1" numFmtId="164" xfId="0" applyAlignment="1" applyBorder="1" applyFont="1" applyNumberFormat="1">
      <alignment horizontal="right" readingOrder="0" shrinkToFit="0" wrapText="1"/>
    </xf>
    <xf borderId="15" fillId="7" fontId="1" numFmtId="165" xfId="0" applyAlignment="1" applyBorder="1" applyFont="1" applyNumberFormat="1">
      <alignment horizontal="right" readingOrder="0" shrinkToFit="0" wrapText="1"/>
    </xf>
    <xf borderId="19" fillId="7" fontId="1" numFmtId="166" xfId="0" applyAlignment="1" applyBorder="1" applyFont="1" applyNumberFormat="1">
      <alignment horizontal="right" shrinkToFit="0" vertical="bottom" wrapText="1"/>
    </xf>
    <xf borderId="15" fillId="7" fontId="1" numFmtId="0" xfId="0" applyAlignment="1" applyBorder="1" applyFont="1">
      <alignment horizontal="center" shrinkToFit="0" vertical="bottom" wrapText="1"/>
    </xf>
    <xf borderId="15" fillId="7" fontId="1" numFmtId="0" xfId="0" applyAlignment="1" applyBorder="1" applyFont="1">
      <alignment vertical="bottom"/>
    </xf>
    <xf borderId="19" fillId="12" fontId="1" numFmtId="169" xfId="0" applyAlignment="1" applyBorder="1" applyFill="1" applyFont="1" applyNumberFormat="1">
      <alignment horizontal="right" shrinkToFit="0" vertical="bottom" wrapText="1"/>
    </xf>
    <xf borderId="20" fillId="12" fontId="1" numFmtId="0" xfId="0" applyAlignment="1" applyBorder="1" applyFont="1">
      <alignment vertical="bottom"/>
    </xf>
    <xf borderId="19" fillId="7" fontId="7" numFmtId="169" xfId="0" applyAlignment="1" applyBorder="1" applyFont="1" applyNumberFormat="1">
      <alignment horizontal="right" readingOrder="0" shrinkToFit="0" vertical="bottom" wrapText="1"/>
    </xf>
    <xf borderId="15" fillId="13" fontId="1" numFmtId="0" xfId="0" applyAlignment="1" applyBorder="1" applyFill="1" applyFont="1">
      <alignment shrinkToFit="0" vertical="bottom" wrapText="1"/>
    </xf>
    <xf borderId="16" fillId="13" fontId="1" numFmtId="0" xfId="0" applyAlignment="1" applyBorder="1" applyFont="1">
      <alignment shrinkToFit="0" vertical="bottom" wrapText="1"/>
    </xf>
    <xf borderId="17" fillId="13" fontId="8" numFmtId="0" xfId="0" applyAlignment="1" applyBorder="1" applyFont="1">
      <alignment readingOrder="0"/>
    </xf>
    <xf borderId="17" fillId="13" fontId="1" numFmtId="0" xfId="0" applyAlignment="1" applyBorder="1" applyFont="1">
      <alignment readingOrder="0" shrinkToFit="0" vertical="bottom" wrapText="1"/>
    </xf>
    <xf borderId="0" fillId="13" fontId="9" numFmtId="0" xfId="0" applyAlignment="1" applyFont="1">
      <alignment readingOrder="0"/>
    </xf>
    <xf borderId="18" fillId="13" fontId="1" numFmtId="164" xfId="0" applyAlignment="1" applyBorder="1" applyFont="1" applyNumberFormat="1">
      <alignment horizontal="right" readingOrder="0" shrinkToFit="0" wrapText="1"/>
    </xf>
    <xf borderId="15" fillId="13" fontId="1" numFmtId="165" xfId="0" applyAlignment="1" applyBorder="1" applyFont="1" applyNumberFormat="1">
      <alignment horizontal="right" readingOrder="0" shrinkToFit="0" wrapText="1"/>
    </xf>
    <xf borderId="19" fillId="13" fontId="1" numFmtId="166" xfId="0" applyAlignment="1" applyBorder="1" applyFont="1" applyNumberFormat="1">
      <alignment horizontal="right" readingOrder="0" shrinkToFit="0" wrapText="1"/>
    </xf>
    <xf borderId="20" fillId="13" fontId="1" numFmtId="167" xfId="0" applyAlignment="1" applyBorder="1" applyFont="1" applyNumberFormat="1">
      <alignment horizontal="center" readingOrder="0" shrinkToFit="0" vertical="bottom" wrapText="1"/>
    </xf>
    <xf borderId="19" fillId="13" fontId="5" numFmtId="168" xfId="0" applyAlignment="1" applyBorder="1" applyFont="1" applyNumberFormat="1">
      <alignment horizontal="right" shrinkToFit="0" vertical="bottom" wrapText="1"/>
    </xf>
    <xf borderId="20" fillId="13" fontId="1" numFmtId="167" xfId="0" applyAlignment="1" applyBorder="1" applyFont="1" applyNumberFormat="1">
      <alignment horizontal="center" shrinkToFit="0" vertical="bottom" wrapText="1"/>
    </xf>
    <xf borderId="15" fillId="4" fontId="1" numFmtId="3" xfId="0" applyAlignment="1" applyBorder="1" applyFont="1" applyNumberFormat="1">
      <alignment horizontal="center" shrinkToFit="0" vertical="bottom" wrapText="1"/>
    </xf>
    <xf borderId="19" fillId="13" fontId="7" numFmtId="169" xfId="0" applyAlignment="1" applyBorder="1" applyFont="1" applyNumberFormat="1">
      <alignment horizontal="right" shrinkToFit="0" vertical="bottom" wrapText="1"/>
    </xf>
    <xf borderId="15" fillId="5" fontId="1" numFmtId="3" xfId="0" applyAlignment="1" applyBorder="1" applyFont="1" applyNumberFormat="1">
      <alignment horizontal="center" shrinkToFit="0" vertical="bottom" wrapText="1"/>
    </xf>
    <xf borderId="20" fillId="13" fontId="1" numFmtId="0" xfId="0" applyAlignment="1" applyBorder="1" applyFont="1">
      <alignment vertical="bottom"/>
    </xf>
    <xf borderId="19" fillId="14" fontId="7" numFmtId="169" xfId="0" applyAlignment="1" applyBorder="1" applyFill="1" applyFont="1" applyNumberFormat="1">
      <alignment horizontal="right" readingOrder="0" shrinkToFit="0" vertical="bottom" wrapText="1"/>
    </xf>
    <xf borderId="0" fillId="14" fontId="6" numFmtId="0" xfId="0" applyAlignment="1" applyFont="1">
      <alignment readingOrder="0"/>
    </xf>
    <xf borderId="15" fillId="2" fontId="1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horizontal="right" readingOrder="0" shrinkToFit="0" vertical="bottom" wrapText="1"/>
    </xf>
    <xf borderId="15" fillId="4" fontId="1" numFmtId="3" xfId="0" applyAlignment="1" applyBorder="1" applyFont="1" applyNumberFormat="1">
      <alignment horizontal="center" readingOrder="0" shrinkToFit="0" vertical="bottom" wrapText="1"/>
    </xf>
    <xf borderId="19" fillId="13" fontId="1" numFmtId="169" xfId="0" applyAlignment="1" applyBorder="1" applyFont="1" applyNumberFormat="1">
      <alignment horizontal="right" shrinkToFit="0" vertical="bottom" wrapText="1"/>
    </xf>
    <xf borderId="15" fillId="5" fontId="1" numFmtId="3" xfId="0" applyAlignment="1" applyBorder="1" applyFont="1" applyNumberFormat="1">
      <alignment horizontal="center" readingOrder="0" shrinkToFit="0" vertical="bottom" wrapText="1"/>
    </xf>
    <xf borderId="15" fillId="13" fontId="1" numFmtId="0" xfId="0" applyAlignment="1" applyBorder="1" applyFont="1">
      <alignment readingOrder="0" shrinkToFit="0" vertical="bottom" wrapText="1"/>
    </xf>
    <xf borderId="15" fillId="13" fontId="1" numFmtId="0" xfId="0" applyAlignment="1" applyBorder="1" applyFont="1">
      <alignment horizontal="right" readingOrder="0" shrinkToFit="0" vertical="bottom" wrapText="1"/>
    </xf>
    <xf borderId="20" fillId="13" fontId="1" numFmtId="167" xfId="0" applyAlignment="1" applyBorder="1" applyFont="1" applyNumberFormat="1">
      <alignment readingOrder="0" vertical="bottom"/>
    </xf>
    <xf borderId="15" fillId="13" fontId="5" numFmtId="0" xfId="0" applyAlignment="1" applyBorder="1" applyFont="1">
      <alignment readingOrder="0" shrinkToFit="0" vertical="bottom" wrapText="1"/>
    </xf>
    <xf borderId="15" fillId="13" fontId="9" numFmtId="0" xfId="0" applyAlignment="1" applyBorder="1" applyFont="1">
      <alignment readingOrder="0"/>
    </xf>
    <xf borderId="15" fillId="6" fontId="1" numFmtId="3" xfId="0" applyAlignment="1" applyBorder="1" applyFont="1" applyNumberFormat="1">
      <alignment horizontal="center" readingOrder="0" shrinkToFit="0" vertical="bottom" wrapText="1"/>
    </xf>
    <xf borderId="19" fillId="13" fontId="7" numFmtId="169" xfId="0" applyAlignment="1" applyBorder="1" applyFont="1" applyNumberFormat="1">
      <alignment horizontal="right" readingOrder="0" shrinkToFit="0" vertical="bottom" wrapText="1"/>
    </xf>
    <xf borderId="15" fillId="13" fontId="6" numFmtId="0" xfId="0" applyAlignment="1" applyBorder="1" applyFont="1">
      <alignment readingOrder="0"/>
    </xf>
    <xf borderId="19" fillId="0" fontId="7" numFmtId="169" xfId="0" applyAlignment="1" applyBorder="1" applyFont="1" applyNumberFormat="1">
      <alignment horizontal="right" shrinkToFit="0" vertical="bottom" wrapText="1"/>
    </xf>
    <xf borderId="15" fillId="13" fontId="5" numFmtId="0" xfId="0" applyAlignment="1" applyBorder="1" applyFont="1">
      <alignment horizontal="right" readingOrder="0" shrinkToFit="0" vertical="bottom" wrapText="1"/>
    </xf>
    <xf borderId="19" fillId="13" fontId="1" numFmtId="166" xfId="0" applyAlignment="1" applyBorder="1" applyFont="1" applyNumberFormat="1">
      <alignment horizontal="right" shrinkToFit="0" vertical="bottom" wrapText="1"/>
    </xf>
    <xf borderId="16" fillId="13" fontId="5" numFmtId="0" xfId="0" applyAlignment="1" applyBorder="1" applyFont="1">
      <alignment readingOrder="0" shrinkToFit="0" vertical="bottom" wrapText="1"/>
    </xf>
    <xf borderId="19" fillId="13" fontId="1" numFmtId="166" xfId="0" applyAlignment="1" applyBorder="1" applyFont="1" applyNumberFormat="1">
      <alignment horizontal="right" readingOrder="0" shrinkToFit="0" vertical="bottom" wrapText="1"/>
    </xf>
    <xf borderId="20" fillId="13" fontId="5" numFmtId="167" xfId="0" applyAlignment="1" applyBorder="1" applyFont="1" applyNumberFormat="1">
      <alignment horizontal="center" readingOrder="0" shrinkToFit="0" vertical="bottom" wrapText="1"/>
    </xf>
    <xf borderId="15" fillId="4" fontId="1" numFmtId="0" xfId="0" applyAlignment="1" applyBorder="1" applyFont="1">
      <alignment horizontal="center" readingOrder="0" shrinkToFit="0" vertical="bottom" wrapText="1"/>
    </xf>
    <xf borderId="15" fillId="5" fontId="1" numFmtId="0" xfId="0" applyAlignment="1" applyBorder="1" applyFont="1">
      <alignment horizontal="center" readingOrder="0" shrinkToFit="0" vertical="bottom" wrapText="1"/>
    </xf>
    <xf borderId="15" fillId="0" fontId="5" numFmtId="0" xfId="0" applyAlignment="1" applyBorder="1" applyFont="1">
      <alignment horizontal="right" readingOrder="0" shrinkToFit="0" vertical="bottom" wrapText="1"/>
    </xf>
    <xf borderId="19" fillId="2" fontId="1" numFmtId="166" xfId="0" applyAlignment="1" applyBorder="1" applyFont="1" applyNumberFormat="1">
      <alignment horizontal="right" readingOrder="0" shrinkToFit="0" vertical="bottom" wrapText="1"/>
    </xf>
    <xf borderId="15" fillId="7" fontId="1" numFmtId="0" xfId="0" applyAlignment="1" applyBorder="1" applyFont="1">
      <alignment readingOrder="0" shrinkToFit="0" vertical="bottom" wrapText="1"/>
    </xf>
    <xf borderId="16" fillId="7" fontId="1" numFmtId="0" xfId="0" applyAlignment="1" applyBorder="1" applyFont="1">
      <alignment readingOrder="0" shrinkToFit="0" vertical="bottom" wrapText="1"/>
    </xf>
    <xf borderId="15" fillId="7" fontId="1" numFmtId="3" xfId="0" applyAlignment="1" applyBorder="1" applyFont="1" applyNumberFormat="1">
      <alignment horizontal="right" readingOrder="0" shrinkToFit="0" vertical="bottom" wrapText="1"/>
    </xf>
    <xf borderId="18" fillId="7" fontId="1" numFmtId="0" xfId="0" applyAlignment="1" applyBorder="1" applyFont="1">
      <alignment readingOrder="0"/>
    </xf>
    <xf borderId="15" fillId="7" fontId="5" numFmtId="3" xfId="0" applyAlignment="1" applyBorder="1" applyFont="1" applyNumberFormat="1">
      <alignment horizontal="center" shrinkToFit="0" vertical="bottom" wrapText="1"/>
    </xf>
    <xf borderId="15" fillId="7" fontId="5" numFmtId="3" xfId="0" applyAlignment="1" applyBorder="1" applyFont="1" applyNumberFormat="1">
      <alignment horizontal="right" shrinkToFit="0" vertical="bottom" wrapText="1"/>
    </xf>
    <xf borderId="0" fillId="13" fontId="6" numFmtId="0" xfId="0" applyFont="1"/>
    <xf borderId="0" fillId="13" fontId="6" numFmtId="0" xfId="0" applyAlignment="1" applyFont="1">
      <alignment readingOrder="0"/>
    </xf>
    <xf borderId="15" fillId="0" fontId="1" numFmtId="0" xfId="0" applyAlignment="1" applyBorder="1" applyFont="1">
      <alignment shrinkToFit="0" vertical="bottom" wrapText="1"/>
    </xf>
    <xf borderId="17" fillId="0" fontId="1" numFmtId="0" xfId="0" applyAlignment="1" applyBorder="1" applyFont="1">
      <alignment shrinkToFit="0" vertical="bottom" wrapText="1"/>
    </xf>
    <xf borderId="17" fillId="0" fontId="1" numFmtId="0" xfId="0" applyAlignment="1" applyBorder="1" applyFont="1">
      <alignment readingOrder="0" shrinkToFit="0" vertical="bottom" wrapText="1"/>
    </xf>
    <xf borderId="19" fillId="0" fontId="1" numFmtId="166" xfId="0" applyAlignment="1" applyBorder="1" applyFont="1" applyNumberFormat="1">
      <alignment horizontal="right" readingOrder="0" shrinkToFit="0" vertical="bottom" wrapText="1"/>
    </xf>
    <xf borderId="15" fillId="10" fontId="1" numFmtId="0" xfId="0" applyAlignment="1" applyBorder="1" applyFont="1">
      <alignment readingOrder="0" shrinkToFit="0" vertical="bottom" wrapText="1"/>
    </xf>
    <xf borderId="17" fillId="2" fontId="1" numFmtId="0" xfId="0" applyAlignment="1" applyBorder="1" applyFont="1">
      <alignment shrinkToFit="0" vertical="bottom" wrapText="1"/>
    </xf>
    <xf borderId="15" fillId="6" fontId="1" numFmtId="0" xfId="0" applyAlignment="1" applyBorder="1" applyFont="1">
      <alignment horizontal="center" readingOrder="0" shrinkToFit="0" vertical="bottom" wrapText="1"/>
    </xf>
    <xf borderId="20" fillId="2" fontId="1" numFmtId="167" xfId="0" applyAlignment="1" applyBorder="1" applyFont="1" applyNumberFormat="1">
      <alignment readingOrder="0" vertical="bottom"/>
    </xf>
    <xf borderId="15" fillId="6" fontId="1" numFmtId="0" xfId="0" applyAlignment="1" applyBorder="1" applyFont="1">
      <alignment horizontal="center" shrinkToFit="0" vertical="bottom" wrapText="1"/>
    </xf>
    <xf borderId="15" fillId="0" fontId="5" numFmtId="0" xfId="0" applyAlignment="1" applyBorder="1" applyFont="1">
      <alignment readingOrder="0" shrinkToFit="0" vertical="bottom" wrapText="1"/>
    </xf>
    <xf borderId="20" fillId="2" fontId="1" numFmtId="171" xfId="0" applyAlignment="1" applyBorder="1" applyFont="1" applyNumberFormat="1">
      <alignment horizontal="center" readingOrder="0" shrinkToFit="0" vertical="bottom" wrapText="1"/>
    </xf>
    <xf borderId="0" fillId="3" fontId="6" numFmtId="3" xfId="0" applyAlignment="1" applyFont="1" applyNumberFormat="1">
      <alignment readingOrder="0"/>
    </xf>
    <xf borderId="20" fillId="2" fontId="1" numFmtId="171" xfId="0" applyAlignment="1" applyBorder="1" applyFont="1" applyNumberFormat="1">
      <alignment readingOrder="0" vertical="bottom"/>
    </xf>
    <xf borderId="15" fillId="12" fontId="1" numFmtId="0" xfId="0" applyAlignment="1" applyBorder="1" applyFont="1">
      <alignment shrinkToFit="0" vertical="bottom" wrapText="1"/>
    </xf>
    <xf borderId="16" fillId="12" fontId="1" numFmtId="0" xfId="0" applyAlignment="1" applyBorder="1" applyFont="1">
      <alignment shrinkToFit="0" vertical="bottom" wrapText="1"/>
    </xf>
    <xf borderId="17" fillId="12" fontId="8" numFmtId="0" xfId="0" applyAlignment="1" applyBorder="1" applyFont="1">
      <alignment readingOrder="0"/>
    </xf>
    <xf borderId="17" fillId="12" fontId="1" numFmtId="0" xfId="0" applyAlignment="1" applyBorder="1" applyFont="1">
      <alignment readingOrder="0" shrinkToFit="0" vertical="bottom" wrapText="1"/>
    </xf>
    <xf borderId="15" fillId="12" fontId="1" numFmtId="0" xfId="0" applyAlignment="1" applyBorder="1" applyFont="1">
      <alignment horizontal="right" readingOrder="0" shrinkToFit="0" vertical="bottom" wrapText="1"/>
    </xf>
    <xf borderId="18" fillId="12" fontId="1" numFmtId="164" xfId="0" applyAlignment="1" applyBorder="1" applyFont="1" applyNumberFormat="1">
      <alignment horizontal="right" readingOrder="0" shrinkToFit="0" wrapText="1"/>
    </xf>
    <xf borderId="15" fillId="12" fontId="1" numFmtId="165" xfId="0" applyAlignment="1" applyBorder="1" applyFont="1" applyNumberFormat="1">
      <alignment horizontal="right" readingOrder="0" shrinkToFit="0" wrapText="1"/>
    </xf>
    <xf borderId="19" fillId="12" fontId="1" numFmtId="166" xfId="0" applyAlignment="1" applyBorder="1" applyFont="1" applyNumberFormat="1">
      <alignment readingOrder="0" vertical="bottom"/>
    </xf>
    <xf borderId="20" fillId="12" fontId="1" numFmtId="167" xfId="0" applyAlignment="1" applyBorder="1" applyFont="1" applyNumberFormat="1">
      <alignment horizontal="center" shrinkToFit="0" vertical="bottom" wrapText="1"/>
    </xf>
    <xf borderId="15" fillId="12" fontId="1" numFmtId="3" xfId="0" applyAlignment="1" applyBorder="1" applyFont="1" applyNumberFormat="1">
      <alignment horizontal="center" readingOrder="0" shrinkToFit="0" vertical="bottom" wrapText="1"/>
    </xf>
    <xf borderId="15" fillId="12" fontId="1" numFmtId="3" xfId="0" applyAlignment="1" applyBorder="1" applyFont="1" applyNumberFormat="1">
      <alignment horizontal="right" shrinkToFit="0" vertical="bottom" wrapText="1"/>
    </xf>
    <xf borderId="19" fillId="12" fontId="5" numFmtId="168" xfId="0" applyAlignment="1" applyBorder="1" applyFont="1" applyNumberFormat="1">
      <alignment horizontal="right" shrinkToFit="0" vertical="bottom" wrapText="1"/>
    </xf>
    <xf borderId="15" fillId="12" fontId="1" numFmtId="0" xfId="0" applyAlignment="1" applyBorder="1" applyFont="1">
      <alignment vertical="bottom"/>
    </xf>
    <xf borderId="19" fillId="12" fontId="7" numFmtId="169" xfId="0" applyAlignment="1" applyBorder="1" applyFont="1" applyNumberFormat="1">
      <alignment horizontal="right" shrinkToFit="0" vertical="bottom" wrapText="1"/>
    </xf>
    <xf borderId="15" fillId="12" fontId="1" numFmtId="0" xfId="0" applyAlignment="1" applyBorder="1" applyFont="1">
      <alignment horizontal="center" vertical="bottom"/>
    </xf>
    <xf borderId="15" fillId="4" fontId="1" numFmtId="0" xfId="0" applyAlignment="1" applyBorder="1" applyFont="1">
      <alignment readingOrder="0" vertical="bottom"/>
    </xf>
    <xf borderId="15" fillId="5" fontId="1" numFmtId="0" xfId="0" applyAlignment="1" applyBorder="1" applyFont="1">
      <alignment readingOrder="0" vertical="bottom"/>
    </xf>
    <xf borderId="15" fillId="0" fontId="1" numFmtId="0" xfId="0" applyAlignment="1" applyBorder="1" applyFont="1">
      <alignment readingOrder="0" shrinkToFit="0" vertical="bottom" wrapText="1"/>
    </xf>
    <xf borderId="19" fillId="2" fontId="1" numFmtId="166" xfId="0" applyAlignment="1" applyBorder="1" applyFont="1" applyNumberFormat="1">
      <alignment horizontal="right" shrinkToFit="0" vertical="bottom" wrapText="1"/>
    </xf>
    <xf borderId="17" fillId="9" fontId="1" numFmtId="0" xfId="0" applyAlignment="1" applyBorder="1" applyFont="1">
      <alignment shrinkToFit="0" vertical="bottom" wrapText="1"/>
    </xf>
    <xf borderId="15" fillId="9" fontId="9" numFmtId="0" xfId="0" applyAlignment="1" applyBorder="1" applyFont="1">
      <alignment readingOrder="0"/>
    </xf>
    <xf borderId="19" fillId="9" fontId="1" numFmtId="166" xfId="0" applyAlignment="1" applyBorder="1" applyFont="1" applyNumberFormat="1">
      <alignment horizontal="right" shrinkToFit="0" vertical="bottom" wrapText="1"/>
    </xf>
    <xf borderId="20" fillId="9" fontId="1" numFmtId="167" xfId="0" applyAlignment="1" applyBorder="1" applyFont="1" applyNumberFormat="1">
      <alignment horizontal="center" readingOrder="0" shrinkToFit="0" vertical="bottom" wrapText="1"/>
    </xf>
    <xf borderId="15" fillId="9" fontId="1" numFmtId="3" xfId="0" applyAlignment="1" applyBorder="1" applyFont="1" applyNumberFormat="1">
      <alignment horizontal="center" readingOrder="0" shrinkToFit="0" vertical="bottom" wrapText="1"/>
    </xf>
    <xf borderId="19" fillId="9" fontId="5" numFmtId="168" xfId="0" applyAlignment="1" applyBorder="1" applyFont="1" applyNumberFormat="1">
      <alignment horizontal="right" readingOrder="0" shrinkToFit="0" vertical="bottom" wrapText="1"/>
    </xf>
    <xf borderId="20" fillId="9" fontId="1" numFmtId="170" xfId="0" applyAlignment="1" applyBorder="1" applyFont="1" applyNumberFormat="1">
      <alignment readingOrder="0" vertical="bottom"/>
    </xf>
    <xf borderId="15" fillId="9" fontId="1" numFmtId="0" xfId="0" applyAlignment="1" applyBorder="1" applyFont="1">
      <alignment readingOrder="0" vertical="bottom"/>
    </xf>
    <xf borderId="15" fillId="9" fontId="1" numFmtId="0" xfId="0" applyAlignment="1" applyBorder="1" applyFont="1">
      <alignment horizontal="center" readingOrder="0" vertical="bottom"/>
    </xf>
    <xf borderId="17" fillId="13" fontId="1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5" fontId="1" numFmtId="0" xfId="0" applyAlignment="1" applyBorder="1" applyFont="1">
      <alignment vertical="bottom"/>
    </xf>
    <xf borderId="20" fillId="2" fontId="1" numFmtId="165" xfId="0" applyAlignment="1" applyBorder="1" applyFont="1" applyNumberFormat="1">
      <alignment horizontal="center" shrinkToFit="0" vertical="bottom" wrapText="1"/>
    </xf>
    <xf borderId="15" fillId="3" fontId="1" numFmtId="0" xfId="0" applyAlignment="1" applyBorder="1" applyFont="1">
      <alignment horizontal="right" readingOrder="0" shrinkToFit="0" vertical="bottom" wrapText="1"/>
    </xf>
    <xf borderId="17" fillId="8" fontId="1" numFmtId="0" xfId="0" applyAlignment="1" applyBorder="1" applyFont="1">
      <alignment shrinkToFit="0" vertical="bottom" wrapText="1"/>
    </xf>
    <xf borderId="17" fillId="8" fontId="8" numFmtId="0" xfId="0" applyAlignment="1" applyBorder="1" applyFont="1">
      <alignment readingOrder="0"/>
    </xf>
    <xf borderId="18" fillId="2" fontId="1" numFmtId="164" xfId="0" applyAlignment="1" applyBorder="1" applyFont="1" applyNumberFormat="1">
      <alignment horizontal="right" readingOrder="0" shrinkToFit="0" vertical="bottom" wrapText="1"/>
    </xf>
    <xf borderId="20" fillId="0" fontId="1" numFmtId="164" xfId="0" applyAlignment="1" applyBorder="1" applyFont="1" applyNumberFormat="1">
      <alignment horizontal="right" readingOrder="0" shrinkToFit="0" vertical="bottom" wrapText="1"/>
    </xf>
    <xf borderId="20" fillId="0" fontId="1" numFmtId="165" xfId="0" applyAlignment="1" applyBorder="1" applyFont="1" applyNumberFormat="1">
      <alignment horizontal="center" readingOrder="0" shrinkToFit="0" vertical="bottom" wrapText="1"/>
    </xf>
    <xf borderId="20" fillId="0" fontId="1" numFmtId="165" xfId="0" applyAlignment="1" applyBorder="1" applyFont="1" applyNumberFormat="1">
      <alignment horizontal="right" readingOrder="0" shrinkToFit="0" vertical="bottom" wrapText="1"/>
    </xf>
    <xf borderId="18" fillId="7" fontId="1" numFmtId="164" xfId="0" applyAlignment="1" applyBorder="1" applyFont="1" applyNumberFormat="1">
      <alignment shrinkToFit="0" vertical="bottom" wrapText="1"/>
    </xf>
    <xf borderId="20" fillId="7" fontId="1" numFmtId="164" xfId="0" applyAlignment="1" applyBorder="1" applyFont="1" applyNumberFormat="1">
      <alignment shrinkToFit="0" vertical="bottom" wrapText="1"/>
    </xf>
    <xf borderId="20" fillId="7" fontId="1" numFmtId="165" xfId="0" applyAlignment="1" applyBorder="1" applyFont="1" applyNumberFormat="1">
      <alignment horizontal="center" readingOrder="0" shrinkToFit="0" vertical="bottom" wrapText="1"/>
    </xf>
    <xf borderId="19" fillId="0" fontId="1" numFmtId="166" xfId="0" applyAlignment="1" applyBorder="1" applyFont="1" applyNumberFormat="1">
      <alignment horizontal="right" shrinkToFit="0" vertical="bottom" wrapText="1"/>
    </xf>
    <xf borderId="20" fillId="0" fontId="1" numFmtId="170" xfId="0" applyAlignment="1" applyBorder="1" applyFont="1" applyNumberFormat="1">
      <alignment readingOrder="0" vertical="bottom"/>
    </xf>
    <xf borderId="20" fillId="0" fontId="1" numFmtId="0" xfId="0" applyAlignment="1" applyBorder="1" applyFont="1">
      <alignment vertical="bottom"/>
    </xf>
    <xf borderId="18" fillId="0" fontId="1" numFmtId="164" xfId="0" applyAlignment="1" applyBorder="1" applyFont="1" applyNumberFormat="1">
      <alignment horizontal="right" readingOrder="0" shrinkToFit="0" vertical="bottom" wrapText="1"/>
    </xf>
    <xf borderId="20" fillId="0" fontId="1" numFmtId="167" xfId="0" applyAlignment="1" applyBorder="1" applyFont="1" applyNumberFormat="1">
      <alignment horizontal="center" readingOrder="0" shrinkToFit="0" vertical="bottom" wrapText="1"/>
    </xf>
    <xf borderId="19" fillId="0" fontId="1" numFmtId="172" xfId="0" applyAlignment="1" applyBorder="1" applyFont="1" applyNumberFormat="1">
      <alignment horizontal="right" readingOrder="0" shrinkToFit="0" vertical="bottom" wrapText="1"/>
    </xf>
    <xf borderId="18" fillId="7" fontId="1" numFmtId="164" xfId="0" applyAlignment="1" applyBorder="1" applyFont="1" applyNumberFormat="1">
      <alignment vertical="bottom"/>
    </xf>
    <xf borderId="15" fillId="7" fontId="1" numFmtId="165" xfId="0" applyAlignment="1" applyBorder="1" applyFont="1" applyNumberFormat="1">
      <alignment vertical="bottom"/>
    </xf>
    <xf borderId="19" fillId="7" fontId="1" numFmtId="166" xfId="0" applyAlignment="1" applyBorder="1" applyFont="1" applyNumberFormat="1">
      <alignment vertical="bottom"/>
    </xf>
    <xf borderId="17" fillId="2" fontId="8" numFmtId="167" xfId="0" applyAlignment="1" applyBorder="1" applyFont="1" applyNumberFormat="1">
      <alignment readingOrder="0"/>
    </xf>
    <xf borderId="18" fillId="0" fontId="1" numFmtId="164" xfId="0" applyAlignment="1" applyBorder="1" applyFont="1" applyNumberFormat="1">
      <alignment horizontal="center"/>
    </xf>
    <xf borderId="15" fillId="0" fontId="1" numFmtId="165" xfId="0" applyAlignment="1" applyBorder="1" applyFont="1" applyNumberFormat="1">
      <alignment horizontal="center"/>
    </xf>
    <xf borderId="19" fillId="0" fontId="1" numFmtId="166" xfId="0" applyAlignment="1" applyBorder="1" applyFont="1" applyNumberFormat="1">
      <alignment horizontal="center" shrinkToFit="0" vertical="bottom" wrapText="1"/>
    </xf>
    <xf borderId="20" fillId="2" fontId="1" numFmtId="0" xfId="0" applyAlignment="1" applyBorder="1" applyFont="1">
      <alignment horizontal="center" shrinkToFit="0" vertical="bottom" wrapText="1"/>
    </xf>
    <xf borderId="15" fillId="4" fontId="1" numFmtId="0" xfId="0" applyAlignment="1" applyBorder="1" applyFont="1">
      <alignment horizontal="center" shrinkToFit="0" vertical="bottom" wrapText="1"/>
    </xf>
    <xf borderId="19" fillId="0" fontId="1" numFmtId="169" xfId="0" applyAlignment="1" applyBorder="1" applyFont="1" applyNumberFormat="1">
      <alignment horizontal="center" shrinkToFit="0" vertical="bottom" wrapText="1"/>
    </xf>
    <xf borderId="15" fillId="5" fontId="1" numFmtId="0" xfId="0" applyAlignment="1" applyBorder="1" applyFont="1">
      <alignment horizontal="center" shrinkToFit="0" vertical="bottom" wrapText="1"/>
    </xf>
    <xf borderId="22" fillId="0" fontId="1" numFmtId="164" xfId="0" applyAlignment="1" applyBorder="1" applyFont="1" applyNumberFormat="1">
      <alignment horizontal="center"/>
    </xf>
    <xf borderId="8" fillId="0" fontId="1" numFmtId="165" xfId="0" applyAlignment="1" applyBorder="1" applyFont="1" applyNumberFormat="1">
      <alignment horizontal="center"/>
    </xf>
    <xf borderId="9" fillId="0" fontId="1" numFmtId="166" xfId="0" applyAlignment="1" applyBorder="1" applyFont="1" applyNumberFormat="1">
      <alignment horizontal="center" shrinkToFit="0" vertical="bottom" wrapText="1"/>
    </xf>
    <xf borderId="7" fillId="2" fontId="1" numFmtId="167" xfId="0" applyAlignment="1" applyBorder="1" applyFont="1" applyNumberFormat="1">
      <alignment horizontal="center" shrinkToFit="0" vertical="bottom" wrapText="1"/>
    </xf>
    <xf borderId="8" fillId="3" fontId="1" numFmtId="3" xfId="0" applyAlignment="1" applyBorder="1" applyFont="1" applyNumberFormat="1">
      <alignment horizontal="center" shrinkToFit="0" vertical="bottom" wrapText="1"/>
    </xf>
    <xf borderId="8" fillId="4" fontId="1" numFmtId="3" xfId="0" applyAlignment="1" applyBorder="1" applyFont="1" applyNumberFormat="1">
      <alignment horizontal="center" shrinkToFit="0" vertical="bottom" wrapText="1"/>
    </xf>
    <xf borderId="7" fillId="2" fontId="1" numFmtId="0" xfId="0" applyAlignment="1" applyBorder="1" applyFont="1">
      <alignment horizontal="center" shrinkToFit="0" vertical="bottom" wrapText="1"/>
    </xf>
    <xf borderId="8" fillId="5" fontId="1" numFmtId="0" xfId="0" applyAlignment="1" applyBorder="1" applyFont="1">
      <alignment horizontal="center" shrinkToFit="0" vertical="bottom" wrapText="1"/>
    </xf>
    <xf borderId="8" fillId="5" fontId="1" numFmtId="3" xfId="0" applyAlignment="1" applyBorder="1" applyFont="1" applyNumberFormat="1">
      <alignment horizontal="center" shrinkToFit="0" vertical="bottom" wrapText="1"/>
    </xf>
    <xf borderId="8" fillId="6" fontId="1" numFmtId="0" xfId="0" applyAlignment="1" applyBorder="1" applyFont="1">
      <alignment horizontal="center" shrinkToFit="0" vertical="bottom" wrapText="1"/>
    </xf>
    <xf borderId="0" fillId="0" fontId="6" numFmtId="0" xfId="0" applyFont="1"/>
    <xf borderId="0" fillId="0" fontId="9" numFmtId="0" xfId="0" applyFont="1"/>
    <xf borderId="0" fillId="0" fontId="10" numFmtId="0" xfId="0" applyFont="1"/>
    <xf borderId="23" fillId="2" fontId="11" numFmtId="0" xfId="0" applyAlignment="1" applyBorder="1" applyFont="1">
      <alignment readingOrder="0" vertical="bottom"/>
    </xf>
    <xf borderId="23" fillId="2" fontId="8" numFmtId="0" xfId="0" applyAlignment="1" applyBorder="1" applyFont="1">
      <alignment readingOrder="0" vertical="bottom"/>
    </xf>
    <xf borderId="23" fillId="2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11" numFmtId="0" xfId="0" applyAlignment="1" applyFont="1">
      <alignment horizontal="center" vertical="bottom"/>
    </xf>
    <xf borderId="24" fillId="0" fontId="11" numFmtId="0" xfId="0" applyAlignment="1" applyBorder="1" applyFont="1">
      <alignment horizontal="center" readingOrder="0" shrinkToFit="0" vertical="bottom" wrapText="1"/>
    </xf>
    <xf borderId="24" fillId="0" fontId="3" numFmtId="0" xfId="0" applyBorder="1" applyFont="1"/>
    <xf borderId="24" fillId="0" fontId="11" numFmtId="0" xfId="0" applyAlignment="1" applyBorder="1" applyFont="1">
      <alignment horizontal="center" shrinkToFit="0" vertical="bottom" wrapText="1"/>
    </xf>
    <xf borderId="15" fillId="0" fontId="11" numFmtId="0" xfId="0" applyAlignment="1" applyBorder="1" applyFont="1">
      <alignment shrinkToFit="0" wrapText="1"/>
    </xf>
    <xf borderId="15" fillId="0" fontId="11" numFmtId="0" xfId="0" applyAlignment="1" applyBorder="1" applyFont="1">
      <alignment horizontal="center" shrinkToFit="0" wrapText="1"/>
    </xf>
    <xf borderId="15" fillId="2" fontId="4" numFmtId="0" xfId="0" applyAlignment="1" applyBorder="1" applyFont="1">
      <alignment horizontal="center" readingOrder="0" shrinkToFit="0" wrapText="1"/>
    </xf>
    <xf borderId="15" fillId="2" fontId="11" numFmtId="0" xfId="0" applyAlignment="1" applyBorder="1" applyFont="1">
      <alignment horizontal="center" shrinkToFit="0" wrapText="1"/>
    </xf>
    <xf borderId="1" fillId="2" fontId="11" numFmtId="0" xfId="0" applyAlignment="1" applyBorder="1" applyFont="1">
      <alignment shrinkToFit="0" wrapText="1"/>
    </xf>
    <xf borderId="2" fillId="15" fontId="11" numFmtId="0" xfId="0" applyAlignment="1" applyBorder="1" applyFill="1" applyFont="1">
      <alignment shrinkToFit="0" wrapText="1"/>
    </xf>
    <xf borderId="3" fillId="0" fontId="8" numFmtId="0" xfId="0" applyAlignment="1" applyBorder="1" applyFont="1">
      <alignment readingOrder="0"/>
    </xf>
    <xf borderId="1" fillId="0" fontId="11" numFmtId="0" xfId="0" applyAlignment="1" applyBorder="1" applyFont="1">
      <alignment shrinkToFit="0" wrapText="1"/>
    </xf>
    <xf borderId="2" fillId="16" fontId="11" numFmtId="0" xfId="0" applyAlignment="1" applyBorder="1" applyFill="1" applyFont="1">
      <alignment shrinkToFit="0" wrapText="1"/>
    </xf>
    <xf borderId="25" fillId="0" fontId="8" numFmtId="0" xfId="0" applyBorder="1" applyFont="1"/>
    <xf borderId="5" fillId="0" fontId="11" numFmtId="0" xfId="0" applyAlignment="1" applyBorder="1" applyFont="1">
      <alignment shrinkToFit="0" wrapText="1"/>
    </xf>
    <xf borderId="2" fillId="17" fontId="11" numFmtId="0" xfId="0" applyAlignment="1" applyBorder="1" applyFill="1" applyFont="1">
      <alignment shrinkToFit="0" wrapText="1"/>
    </xf>
    <xf borderId="15" fillId="2" fontId="8" numFmtId="0" xfId="0" applyBorder="1" applyFont="1"/>
    <xf borderId="15" fillId="2" fontId="8" numFmtId="0" xfId="0" applyAlignment="1" applyBorder="1" applyFont="1">
      <alignment vertical="bottom"/>
    </xf>
    <xf borderId="26" fillId="0" fontId="1" numFmtId="0" xfId="0" applyAlignment="1" applyBorder="1" applyFont="1">
      <alignment readingOrder="0" vertical="bottom"/>
    </xf>
    <xf borderId="15" fillId="2" fontId="8" numFmtId="0" xfId="0" applyAlignment="1" applyBorder="1" applyFont="1">
      <alignment readingOrder="0"/>
    </xf>
    <xf borderId="15" fillId="0" fontId="12" numFmtId="0" xfId="0" applyAlignment="1" applyBorder="1" applyFont="1">
      <alignment horizontal="right" readingOrder="0" vertical="bottom"/>
    </xf>
    <xf borderId="15" fillId="0" fontId="8" numFmtId="167" xfId="0" applyAlignment="1" applyBorder="1" applyFont="1" applyNumberFormat="1">
      <alignment horizontal="center" readingOrder="0"/>
    </xf>
    <xf borderId="20" fillId="2" fontId="8" numFmtId="167" xfId="0" applyAlignment="1" applyBorder="1" applyFont="1" applyNumberFormat="1">
      <alignment horizontal="right" readingOrder="0"/>
    </xf>
    <xf borderId="15" fillId="15" fontId="8" numFmtId="0" xfId="0" applyAlignment="1" applyBorder="1" applyFont="1">
      <alignment horizontal="right" readingOrder="0" vertical="bottom"/>
    </xf>
    <xf borderId="15" fillId="15" fontId="8" numFmtId="0" xfId="0" applyAlignment="1" applyBorder="1" applyFont="1">
      <alignment horizontal="right" vertical="bottom"/>
    </xf>
    <xf borderId="16" fillId="10" fontId="8" numFmtId="0" xfId="0" applyAlignment="1" applyBorder="1" applyFont="1">
      <alignment horizontal="right" vertical="bottom"/>
    </xf>
    <xf borderId="20" fillId="2" fontId="8" numFmtId="167" xfId="0" applyAlignment="1" applyBorder="1" applyFont="1" applyNumberFormat="1">
      <alignment horizontal="right" readingOrder="0" vertical="bottom"/>
    </xf>
    <xf borderId="15" fillId="16" fontId="8" numFmtId="0" xfId="0" applyAlignment="1" applyBorder="1" applyFont="1">
      <alignment horizontal="right" readingOrder="0" vertical="bottom"/>
    </xf>
    <xf borderId="15" fillId="16" fontId="8" numFmtId="0" xfId="0" applyAlignment="1" applyBorder="1" applyFont="1">
      <alignment horizontal="right" vertical="bottom"/>
    </xf>
    <xf borderId="19" fillId="2" fontId="8" numFmtId="0" xfId="0" applyAlignment="1" applyBorder="1" applyFont="1">
      <alignment horizontal="right" vertical="bottom"/>
    </xf>
    <xf borderId="21" fillId="2" fontId="8" numFmtId="167" xfId="0" applyAlignment="1" applyBorder="1" applyFont="1" applyNumberFormat="1">
      <alignment horizontal="right" readingOrder="0" vertical="bottom"/>
    </xf>
    <xf borderId="15" fillId="17" fontId="8" numFmtId="0" xfId="0" applyAlignment="1" applyBorder="1" applyFont="1">
      <alignment horizontal="right" readingOrder="0" vertical="bottom"/>
    </xf>
    <xf borderId="15" fillId="17" fontId="8" numFmtId="0" xfId="0" applyAlignment="1" applyBorder="1" applyFont="1">
      <alignment horizontal="right" vertical="bottom"/>
    </xf>
    <xf borderId="19" fillId="10" fontId="8" numFmtId="0" xfId="0" applyAlignment="1" applyBorder="1" applyFont="1">
      <alignment horizontal="right" vertical="bottom"/>
    </xf>
    <xf borderId="15" fillId="12" fontId="8" numFmtId="0" xfId="0" applyBorder="1" applyFont="1"/>
    <xf borderId="15" fillId="12" fontId="8" numFmtId="0" xfId="0" applyAlignment="1" applyBorder="1" applyFont="1">
      <alignment vertical="bottom"/>
    </xf>
    <xf borderId="15" fillId="12" fontId="8" numFmtId="0" xfId="0" applyAlignment="1" applyBorder="1" applyFont="1">
      <alignment readingOrder="0"/>
    </xf>
    <xf borderId="19" fillId="12" fontId="13" numFmtId="0" xfId="0" applyAlignment="1" applyBorder="1" applyFont="1">
      <alignment horizontal="right" vertical="bottom"/>
    </xf>
    <xf borderId="15" fillId="0" fontId="12" numFmtId="167" xfId="0" applyAlignment="1" applyBorder="1" applyFont="1" applyNumberFormat="1">
      <alignment horizontal="center" readingOrder="0"/>
    </xf>
    <xf borderId="16" fillId="2" fontId="8" numFmtId="0" xfId="0" applyAlignment="1" applyBorder="1" applyFont="1">
      <alignment horizontal="right" vertical="bottom"/>
    </xf>
    <xf borderId="20" fillId="2" fontId="8" numFmtId="170" xfId="0" applyAlignment="1" applyBorder="1" applyFont="1" applyNumberFormat="1">
      <alignment readingOrder="0" vertical="bottom"/>
    </xf>
    <xf borderId="15" fillId="16" fontId="8" numFmtId="0" xfId="0" applyAlignment="1" applyBorder="1" applyFont="1">
      <alignment readingOrder="0" vertical="bottom"/>
    </xf>
    <xf borderId="15" fillId="16" fontId="8" numFmtId="0" xfId="0" applyAlignment="1" applyBorder="1" applyFont="1">
      <alignment vertical="bottom"/>
    </xf>
    <xf borderId="21" fillId="2" fontId="8" numFmtId="170" xfId="0" applyAlignment="1" applyBorder="1" applyFont="1" applyNumberFormat="1">
      <alignment readingOrder="0" vertical="bottom"/>
    </xf>
    <xf borderId="15" fillId="17" fontId="8" numFmtId="0" xfId="0" applyAlignment="1" applyBorder="1" applyFont="1">
      <alignment readingOrder="0" vertical="bottom"/>
    </xf>
    <xf borderId="15" fillId="17" fontId="8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15" fillId="2" fontId="8" numFmtId="0" xfId="0" applyAlignment="1" applyBorder="1" applyFont="1">
      <alignment readingOrder="0" vertical="bottom"/>
    </xf>
    <xf borderId="15" fillId="0" fontId="8" numFmtId="0" xfId="0" applyAlignment="1" applyBorder="1" applyFont="1">
      <alignment horizontal="right" readingOrder="0" vertical="bottom"/>
    </xf>
    <xf borderId="20" fillId="2" fontId="8" numFmtId="167" xfId="0" applyAlignment="1" applyBorder="1" applyFont="1" applyNumberFormat="1">
      <alignment horizontal="right"/>
    </xf>
    <xf borderId="20" fillId="2" fontId="8" numFmtId="167" xfId="0" applyAlignment="1" applyBorder="1" applyFont="1" applyNumberFormat="1">
      <alignment horizontal="right" vertical="bottom"/>
    </xf>
    <xf borderId="21" fillId="2" fontId="8" numFmtId="167" xfId="0" applyAlignment="1" applyBorder="1" applyFont="1" applyNumberFormat="1">
      <alignment horizontal="right" vertical="bottom"/>
    </xf>
    <xf borderId="19" fillId="14" fontId="8" numFmtId="0" xfId="0" applyAlignment="1" applyBorder="1" applyFont="1">
      <alignment horizontal="right" vertical="bottom"/>
    </xf>
    <xf borderId="15" fillId="12" fontId="8" numFmtId="0" xfId="0" applyAlignment="1" applyBorder="1" applyFont="1">
      <alignment readingOrder="0" vertical="bottom"/>
    </xf>
    <xf borderId="15" fillId="12" fontId="8" numFmtId="0" xfId="0" applyAlignment="1" applyBorder="1" applyFont="1">
      <alignment horizontal="right" vertical="bottom"/>
    </xf>
    <xf borderId="20" fillId="12" fontId="8" numFmtId="167" xfId="0" applyAlignment="1" applyBorder="1" applyFont="1" applyNumberFormat="1">
      <alignment horizontal="right"/>
    </xf>
    <xf borderId="16" fillId="12" fontId="8" numFmtId="0" xfId="0" applyAlignment="1" applyBorder="1" applyFont="1">
      <alignment horizontal="right" vertical="bottom"/>
    </xf>
    <xf borderId="20" fillId="12" fontId="8" numFmtId="0" xfId="0" applyAlignment="1" applyBorder="1" applyFont="1">
      <alignment vertical="bottom"/>
    </xf>
    <xf borderId="19" fillId="12" fontId="8" numFmtId="0" xfId="0" applyAlignment="1" applyBorder="1" applyFont="1">
      <alignment horizontal="right" readingOrder="0" vertical="bottom"/>
    </xf>
    <xf borderId="15" fillId="0" fontId="8" numFmtId="0" xfId="0" applyAlignment="1" applyBorder="1" applyFont="1">
      <alignment vertical="bottom"/>
    </xf>
    <xf borderId="15" fillId="0" fontId="8" numFmtId="0" xfId="0" applyAlignment="1" applyBorder="1" applyFont="1">
      <alignment readingOrder="0" vertical="bottom"/>
    </xf>
    <xf borderId="15" fillId="0" fontId="8" numFmtId="173" xfId="0" applyAlignment="1" applyBorder="1" applyFont="1" applyNumberFormat="1">
      <alignment horizontal="center" readingOrder="0"/>
    </xf>
    <xf borderId="20" fillId="2" fontId="8" numFmtId="170" xfId="0" applyAlignment="1" applyBorder="1" applyFont="1" applyNumberFormat="1">
      <alignment readingOrder="0"/>
    </xf>
    <xf borderId="20" fillId="0" fontId="8" numFmtId="0" xfId="0" applyAlignment="1" applyBorder="1" applyFont="1">
      <alignment vertical="bottom"/>
    </xf>
    <xf borderId="18" fillId="0" fontId="8" numFmtId="0" xfId="0" applyAlignment="1" applyBorder="1" applyFont="1">
      <alignment vertical="bottom"/>
    </xf>
    <xf borderId="15" fillId="0" fontId="8" numFmtId="0" xfId="0" applyBorder="1" applyFont="1"/>
    <xf borderId="20" fillId="0" fontId="8" numFmtId="167" xfId="0" applyAlignment="1" applyBorder="1" applyFont="1" applyNumberFormat="1">
      <alignment horizontal="right" readingOrder="0" vertical="bottom"/>
    </xf>
    <xf borderId="18" fillId="0" fontId="8" numFmtId="167" xfId="0" applyAlignment="1" applyBorder="1" applyFont="1" applyNumberFormat="1">
      <alignment horizontal="right" readingOrder="0" vertical="bottom"/>
    </xf>
    <xf borderId="15" fillId="10" fontId="8" numFmtId="167" xfId="0" applyAlignment="1" applyBorder="1" applyFont="1" applyNumberFormat="1">
      <alignment horizontal="center" readingOrder="0"/>
    </xf>
    <xf borderId="20" fillId="2" fontId="12" numFmtId="167" xfId="0" applyAlignment="1" applyBorder="1" applyFont="1" applyNumberFormat="1">
      <alignment horizontal="right" readingOrder="0"/>
    </xf>
    <xf borderId="20" fillId="0" fontId="8" numFmtId="171" xfId="0" applyAlignment="1" applyBorder="1" applyFont="1" applyNumberFormat="1">
      <alignment readingOrder="0" vertical="bottom"/>
    </xf>
    <xf borderId="18" fillId="0" fontId="8" numFmtId="167" xfId="0" applyAlignment="1" applyBorder="1" applyFont="1" applyNumberFormat="1">
      <alignment readingOrder="0" vertical="bottom"/>
    </xf>
    <xf borderId="15" fillId="0" fontId="12" numFmtId="0" xfId="0" applyAlignment="1" applyBorder="1" applyFont="1">
      <alignment readingOrder="0" vertical="bottom"/>
    </xf>
    <xf borderId="20" fillId="0" fontId="8" numFmtId="167" xfId="0" applyAlignment="1" applyBorder="1" applyFont="1" applyNumberFormat="1">
      <alignment horizontal="right" vertical="bottom"/>
    </xf>
    <xf borderId="18" fillId="0" fontId="8" numFmtId="167" xfId="0" applyAlignment="1" applyBorder="1" applyFont="1" applyNumberFormat="1">
      <alignment horizontal="right" vertical="bottom"/>
    </xf>
    <xf borderId="15" fillId="12" fontId="8" numFmtId="0" xfId="0" applyAlignment="1" applyBorder="1" applyFont="1">
      <alignment horizontal="right"/>
    </xf>
    <xf borderId="20" fillId="12" fontId="8" numFmtId="0" xfId="0" applyBorder="1" applyFont="1"/>
    <xf borderId="15" fillId="12" fontId="8" numFmtId="0" xfId="0" applyAlignment="1" applyBorder="1" applyFont="1">
      <alignment horizontal="right" readingOrder="0"/>
    </xf>
    <xf borderId="21" fillId="12" fontId="8" numFmtId="0" xfId="0" applyBorder="1" applyFont="1"/>
    <xf borderId="15" fillId="4" fontId="12" numFmtId="0" xfId="0" applyAlignment="1" applyBorder="1" applyFont="1">
      <alignment readingOrder="0"/>
    </xf>
    <xf borderId="15" fillId="12" fontId="8" numFmtId="167" xfId="0" applyAlignment="1" applyBorder="1" applyFont="1" applyNumberFormat="1">
      <alignment horizontal="center"/>
    </xf>
    <xf borderId="19" fillId="12" fontId="8" numFmtId="0" xfId="0" applyAlignment="1" applyBorder="1" applyFont="1">
      <alignment horizontal="right" vertical="bottom"/>
    </xf>
    <xf borderId="15" fillId="2" fontId="14" numFmtId="0" xfId="0" applyAlignment="1" applyBorder="1" applyFont="1">
      <alignment readingOrder="0" vertical="bottom"/>
    </xf>
    <xf borderId="20" fillId="0" fontId="8" numFmtId="170" xfId="0" applyAlignment="1" applyBorder="1" applyFont="1" applyNumberFormat="1">
      <alignment readingOrder="0" vertical="bottom"/>
    </xf>
    <xf borderId="18" fillId="0" fontId="8" numFmtId="170" xfId="0" applyAlignment="1" applyBorder="1" applyFont="1" applyNumberFormat="1">
      <alignment readingOrder="0" vertical="bottom"/>
    </xf>
    <xf borderId="20" fillId="2" fontId="8" numFmtId="171" xfId="0" applyAlignment="1" applyBorder="1" applyFont="1" applyNumberFormat="1">
      <alignment horizontal="right" readingOrder="0"/>
    </xf>
    <xf borderId="15" fillId="13" fontId="8" numFmtId="0" xfId="0" applyBorder="1" applyFont="1"/>
    <xf borderId="15" fillId="13" fontId="8" numFmtId="0" xfId="0" applyAlignment="1" applyBorder="1" applyFont="1">
      <alignment vertical="bottom"/>
    </xf>
    <xf borderId="15" fillId="13" fontId="8" numFmtId="0" xfId="0" applyAlignment="1" applyBorder="1" applyFont="1">
      <alignment readingOrder="0" vertical="bottom"/>
    </xf>
    <xf borderId="15" fillId="13" fontId="8" numFmtId="0" xfId="0" applyAlignment="1" applyBorder="1" applyFont="1">
      <alignment horizontal="right" readingOrder="0" vertical="bottom"/>
    </xf>
    <xf borderId="15" fillId="13" fontId="8" numFmtId="167" xfId="0" applyAlignment="1" applyBorder="1" applyFont="1" applyNumberFormat="1">
      <alignment horizontal="center"/>
    </xf>
    <xf borderId="15" fillId="13" fontId="8" numFmtId="167" xfId="0" applyAlignment="1" applyBorder="1" applyFont="1" applyNumberFormat="1">
      <alignment horizontal="center" readingOrder="0"/>
    </xf>
    <xf borderId="20" fillId="13" fontId="8" numFmtId="167" xfId="0" applyAlignment="1" applyBorder="1" applyFont="1" applyNumberFormat="1">
      <alignment horizontal="right"/>
    </xf>
    <xf borderId="15" fillId="18" fontId="8" numFmtId="0" xfId="0" applyAlignment="1" applyBorder="1" applyFill="1" applyFont="1">
      <alignment horizontal="right" vertical="bottom"/>
    </xf>
    <xf borderId="15" fillId="13" fontId="8" numFmtId="170" xfId="0" applyAlignment="1" applyBorder="1" applyFont="1" applyNumberFormat="1">
      <alignment horizontal="right" readingOrder="0" vertical="bottom"/>
    </xf>
    <xf borderId="19" fillId="13" fontId="8" numFmtId="0" xfId="0" applyAlignment="1" applyBorder="1" applyFont="1">
      <alignment horizontal="right" vertical="bottom"/>
    </xf>
    <xf borderId="15" fillId="12" fontId="12" numFmtId="0" xfId="0" applyAlignment="1" applyBorder="1" applyFont="1">
      <alignment horizontal="right" readingOrder="0" vertical="bottom"/>
    </xf>
    <xf borderId="15" fillId="12" fontId="8" numFmtId="167" xfId="0" applyAlignment="1" applyBorder="1" applyFont="1" applyNumberFormat="1">
      <alignment horizontal="center" readingOrder="0"/>
    </xf>
    <xf borderId="20" fillId="12" fontId="8" numFmtId="167" xfId="0" applyAlignment="1" applyBorder="1" applyFont="1" applyNumberFormat="1">
      <alignment horizontal="right" readingOrder="0"/>
    </xf>
    <xf borderId="15" fillId="12" fontId="8" numFmtId="0" xfId="0" applyAlignment="1" applyBorder="1" applyFont="1">
      <alignment horizontal="right" readingOrder="0" vertical="bottom"/>
    </xf>
    <xf borderId="20" fillId="12" fontId="8" numFmtId="167" xfId="0" applyAlignment="1" applyBorder="1" applyFont="1" applyNumberFormat="1">
      <alignment horizontal="right" vertical="bottom"/>
    </xf>
    <xf borderId="18" fillId="12" fontId="8" numFmtId="167" xfId="0" applyAlignment="1" applyBorder="1" applyFont="1" applyNumberFormat="1">
      <alignment horizontal="right" vertical="bottom"/>
    </xf>
    <xf borderId="15" fillId="2" fontId="8" numFmtId="10" xfId="0" applyAlignment="1" applyBorder="1" applyFont="1" applyNumberFormat="1">
      <alignment vertical="bottom"/>
    </xf>
    <xf borderId="15" fillId="0" fontId="12" numFmtId="3" xfId="0" applyAlignment="1" applyBorder="1" applyFont="1" applyNumberFormat="1">
      <alignment horizontal="right" readingOrder="0" vertical="bottom"/>
    </xf>
    <xf borderId="15" fillId="13" fontId="8" numFmtId="167" xfId="0" applyAlignment="1" applyBorder="1" applyFont="1" applyNumberFormat="1">
      <alignment readingOrder="0"/>
    </xf>
    <xf borderId="20" fillId="13" fontId="8" numFmtId="0" xfId="0" applyAlignment="1" applyBorder="1" applyFont="1">
      <alignment horizontal="right" readingOrder="0"/>
    </xf>
    <xf borderId="16" fillId="10" fontId="8" numFmtId="3" xfId="0" applyAlignment="1" applyBorder="1" applyFont="1" applyNumberFormat="1">
      <alignment horizontal="right" vertical="bottom"/>
    </xf>
    <xf borderId="20" fillId="10" fontId="8" numFmtId="171" xfId="0" applyAlignment="1" applyBorder="1" applyFont="1" applyNumberFormat="1">
      <alignment readingOrder="0" vertical="bottom"/>
    </xf>
    <xf borderId="19" fillId="2" fontId="8" numFmtId="3" xfId="0" applyAlignment="1" applyBorder="1" applyFont="1" applyNumberFormat="1">
      <alignment horizontal="right" vertical="bottom"/>
    </xf>
    <xf borderId="21" fillId="13" fontId="8" numFmtId="171" xfId="0" applyAlignment="1" applyBorder="1" applyFont="1" applyNumberFormat="1">
      <alignment readingOrder="0" vertical="bottom"/>
    </xf>
    <xf borderId="19" fillId="13" fontId="8" numFmtId="3" xfId="0" applyAlignment="1" applyBorder="1" applyFont="1" applyNumberFormat="1">
      <alignment horizontal="right" vertical="bottom"/>
    </xf>
    <xf borderId="15" fillId="2" fontId="12" numFmtId="0" xfId="0" applyAlignment="1" applyBorder="1" applyFont="1">
      <alignment readingOrder="0"/>
    </xf>
    <xf borderId="16" fillId="13" fontId="8" numFmtId="3" xfId="0" applyAlignment="1" applyBorder="1" applyFont="1" applyNumberFormat="1">
      <alignment horizontal="right" vertical="bottom"/>
    </xf>
    <xf borderId="19" fillId="8" fontId="8" numFmtId="3" xfId="0" applyAlignment="1" applyBorder="1" applyFont="1" applyNumberFormat="1">
      <alignment horizontal="right" vertical="bottom"/>
    </xf>
    <xf borderId="15" fillId="2" fontId="12" numFmtId="0" xfId="0" applyAlignment="1" applyBorder="1" applyFont="1">
      <alignment readingOrder="0" vertical="bottom"/>
    </xf>
    <xf borderId="15" fillId="0" fontId="8" numFmtId="167" xfId="0" applyAlignment="1" applyBorder="1" applyFont="1" applyNumberFormat="1">
      <alignment horizontal="center" readingOrder="0" vertical="bottom"/>
    </xf>
    <xf borderId="15" fillId="15" fontId="8" numFmtId="3" xfId="0" applyAlignment="1" applyBorder="1" applyFont="1" applyNumberFormat="1">
      <alignment horizontal="right" vertical="bottom"/>
    </xf>
    <xf borderId="16" fillId="2" fontId="8" numFmtId="3" xfId="0" applyAlignment="1" applyBorder="1" applyFont="1" applyNumberFormat="1">
      <alignment horizontal="right" vertical="bottom"/>
    </xf>
    <xf borderId="21" fillId="2" fontId="8" numFmtId="167" xfId="0" applyAlignment="1" applyBorder="1" applyFont="1" applyNumberFormat="1">
      <alignment readingOrder="0" vertical="bottom"/>
    </xf>
    <xf borderId="15" fillId="0" fontId="12" numFmtId="0" xfId="0" applyAlignment="1" applyBorder="1" applyFont="1">
      <alignment readingOrder="0"/>
    </xf>
    <xf borderId="15" fillId="10" fontId="12" numFmtId="167" xfId="0" applyAlignment="1" applyBorder="1" applyFont="1" applyNumberFormat="1">
      <alignment horizontal="center" readingOrder="0"/>
    </xf>
    <xf borderId="15" fillId="5" fontId="8" numFmtId="3" xfId="0" applyAlignment="1" applyBorder="1" applyFont="1" applyNumberFormat="1">
      <alignment horizontal="right" readingOrder="0" vertical="bottom"/>
    </xf>
    <xf borderId="20" fillId="0" fontId="8" numFmtId="174" xfId="0" applyAlignment="1" applyBorder="1" applyFont="1" applyNumberFormat="1">
      <alignment readingOrder="0" vertical="bottom"/>
    </xf>
    <xf borderId="18" fillId="0" fontId="8" numFmtId="174" xfId="0" applyAlignment="1" applyBorder="1" applyFont="1" applyNumberFormat="1">
      <alignment readingOrder="0" vertical="bottom"/>
    </xf>
    <xf borderId="15" fillId="12" fontId="8" numFmtId="167" xfId="0" applyBorder="1" applyFont="1" applyNumberFormat="1"/>
    <xf borderId="21" fillId="12" fontId="8" numFmtId="167" xfId="0" applyAlignment="1" applyBorder="1" applyFont="1" applyNumberFormat="1">
      <alignment horizontal="right"/>
    </xf>
    <xf borderId="15" fillId="12" fontId="8" numFmtId="3" xfId="0" applyAlignment="1" applyBorder="1" applyFont="1" applyNumberFormat="1">
      <alignment horizontal="right" readingOrder="0" vertical="bottom"/>
    </xf>
    <xf borderId="15" fillId="12" fontId="8" numFmtId="3" xfId="0" applyAlignment="1" applyBorder="1" applyFont="1" applyNumberFormat="1">
      <alignment horizontal="right" vertical="bottom"/>
    </xf>
    <xf borderId="16" fillId="12" fontId="8" numFmtId="3" xfId="0" applyAlignment="1" applyBorder="1" applyFont="1" applyNumberFormat="1">
      <alignment horizontal="right" vertical="bottom"/>
    </xf>
    <xf borderId="20" fillId="12" fontId="8" numFmtId="170" xfId="0" applyAlignment="1" applyBorder="1" applyFont="1" applyNumberFormat="1">
      <alignment readingOrder="0" vertical="bottom"/>
    </xf>
    <xf borderId="19" fillId="12" fontId="8" numFmtId="3" xfId="0" applyAlignment="1" applyBorder="1" applyFont="1" applyNumberFormat="1">
      <alignment horizontal="right" vertical="bottom"/>
    </xf>
    <xf borderId="18" fillId="12" fontId="8" numFmtId="170" xfId="0" applyAlignment="1" applyBorder="1" applyFont="1" applyNumberFormat="1">
      <alignment readingOrder="0" vertical="bottom"/>
    </xf>
    <xf borderId="15" fillId="12" fontId="12" numFmtId="0" xfId="0" applyAlignment="1" applyBorder="1" applyFont="1">
      <alignment readingOrder="0"/>
    </xf>
    <xf borderId="20" fillId="12" fontId="8" numFmtId="167" xfId="0" applyAlignment="1" applyBorder="1" applyFont="1" applyNumberFormat="1">
      <alignment horizontal="right" readingOrder="0" vertical="bottom"/>
    </xf>
    <xf borderId="18" fillId="12" fontId="8" numFmtId="167" xfId="0" applyAlignment="1" applyBorder="1" applyFont="1" applyNumberFormat="1">
      <alignment horizontal="right" readingOrder="0" vertical="bottom"/>
    </xf>
    <xf borderId="18" fillId="12" fontId="8" numFmtId="0" xfId="0" applyAlignment="1" applyBorder="1" applyFont="1">
      <alignment vertical="bottom"/>
    </xf>
    <xf borderId="20" fillId="12" fontId="8" numFmtId="167" xfId="0" applyAlignment="1" applyBorder="1" applyFont="1" applyNumberFormat="1">
      <alignment readingOrder="0"/>
    </xf>
    <xf borderId="20" fillId="12" fontId="8" numFmtId="171" xfId="0" applyAlignment="1" applyBorder="1" applyFont="1" applyNumberFormat="1">
      <alignment readingOrder="0" vertical="bottom"/>
    </xf>
    <xf borderId="18" fillId="12" fontId="8" numFmtId="171" xfId="0" applyAlignment="1" applyBorder="1" applyFont="1" applyNumberFormat="1">
      <alignment readingOrder="0" vertical="bottom"/>
    </xf>
    <xf borderId="21" fillId="2" fontId="8" numFmtId="167" xfId="0" applyAlignment="1" applyBorder="1" applyFont="1" applyNumberFormat="1">
      <alignment horizontal="right" readingOrder="0"/>
    </xf>
    <xf borderId="21" fillId="2" fontId="8" numFmtId="167" xfId="0" applyAlignment="1" applyBorder="1" applyFont="1" applyNumberFormat="1">
      <alignment horizontal="right"/>
    </xf>
    <xf borderId="15" fillId="0" fontId="8" numFmtId="167" xfId="0" applyAlignment="1" applyBorder="1" applyFont="1" applyNumberFormat="1">
      <alignment readingOrder="0"/>
    </xf>
    <xf borderId="20" fillId="2" fontId="8" numFmtId="167" xfId="0" applyAlignment="1" applyBorder="1" applyFont="1" applyNumberFormat="1">
      <alignment readingOrder="0"/>
    </xf>
    <xf borderId="20" fillId="2" fontId="8" numFmtId="167" xfId="0" applyBorder="1" applyFont="1" applyNumberFormat="1"/>
    <xf borderId="15" fillId="15" fontId="8" numFmtId="0" xfId="0" applyAlignment="1" applyBorder="1" applyFont="1">
      <alignment readingOrder="0" vertical="bottom"/>
    </xf>
    <xf borderId="15" fillId="12" fontId="12" numFmtId="0" xfId="0" applyAlignment="1" applyBorder="1" applyFont="1">
      <alignment vertical="bottom"/>
    </xf>
    <xf borderId="20" fillId="12" fontId="8" numFmtId="167" xfId="0" applyBorder="1" applyFont="1" applyNumberFormat="1"/>
    <xf borderId="15" fillId="13" fontId="12" numFmtId="0" xfId="0" applyAlignment="1" applyBorder="1" applyFont="1">
      <alignment horizontal="right" readingOrder="0" vertical="bottom"/>
    </xf>
    <xf borderId="20" fillId="13" fontId="8" numFmtId="171" xfId="0" applyAlignment="1" applyBorder="1" applyFont="1" applyNumberFormat="1">
      <alignment horizontal="right" readingOrder="0"/>
    </xf>
    <xf borderId="15" fillId="13" fontId="8" numFmtId="0" xfId="0" applyAlignment="1" applyBorder="1" applyFont="1">
      <alignment readingOrder="0"/>
    </xf>
    <xf borderId="20" fillId="13" fontId="8" numFmtId="167" xfId="0" applyAlignment="1" applyBorder="1" applyFont="1" applyNumberFormat="1">
      <alignment horizontal="right" readingOrder="0"/>
    </xf>
    <xf borderId="15" fillId="2" fontId="12" numFmtId="0" xfId="0" applyAlignment="1" applyBorder="1" applyFont="1">
      <alignment horizontal="right" readingOrder="0" vertical="bottom"/>
    </xf>
    <xf borderId="15" fillId="2" fontId="8" numFmtId="167" xfId="0" applyAlignment="1" applyBorder="1" applyFont="1" applyNumberFormat="1">
      <alignment horizontal="center" readingOrder="0"/>
    </xf>
    <xf borderId="20" fillId="2" fontId="8" numFmtId="0" xfId="0" applyAlignment="1" applyBorder="1" applyFont="1">
      <alignment vertical="bottom"/>
    </xf>
    <xf borderId="18" fillId="2" fontId="8" numFmtId="167" xfId="0" applyAlignment="1" applyBorder="1" applyFont="1" applyNumberFormat="1">
      <alignment horizontal="right" vertical="bottom"/>
    </xf>
    <xf borderId="20" fillId="0" fontId="8" numFmtId="167" xfId="0" applyAlignment="1" applyBorder="1" applyFont="1" applyNumberFormat="1">
      <alignment readingOrder="0" vertical="bottom"/>
    </xf>
    <xf borderId="15" fillId="2" fontId="8" numFmtId="0" xfId="0" applyAlignment="1" applyBorder="1" applyFont="1">
      <alignment horizontal="left" vertical="bottom"/>
    </xf>
    <xf borderId="15" fillId="4" fontId="8" numFmtId="0" xfId="0" applyBorder="1" applyFont="1"/>
    <xf borderId="15" fillId="0" fontId="8" numFmtId="167" xfId="0" applyAlignment="1" applyBorder="1" applyFont="1" applyNumberFormat="1">
      <alignment horizontal="center"/>
    </xf>
    <xf borderId="7" fillId="2" fontId="8" numFmtId="167" xfId="0" applyBorder="1" applyFont="1" applyNumberFormat="1"/>
    <xf borderId="8" fillId="15" fontId="8" numFmtId="0" xfId="0" applyAlignment="1" applyBorder="1" applyFont="1">
      <alignment horizontal="right" vertical="bottom"/>
    </xf>
    <xf borderId="7" fillId="0" fontId="8" numFmtId="0" xfId="0" applyAlignment="1" applyBorder="1" applyFont="1">
      <alignment vertical="bottom"/>
    </xf>
    <xf borderId="8" fillId="16" fontId="8" numFmtId="0" xfId="0" applyAlignment="1" applyBorder="1" applyFont="1">
      <alignment horizontal="right" vertical="bottom"/>
    </xf>
    <xf borderId="22" fillId="0" fontId="8" numFmtId="0" xfId="0" applyAlignment="1" applyBorder="1" applyFont="1">
      <alignment vertical="bottom"/>
    </xf>
    <xf borderId="8" fillId="17" fontId="8" numFmtId="0" xfId="0" applyAlignment="1" applyBorder="1" applyFont="1">
      <alignment horizontal="right" vertical="bottom"/>
    </xf>
    <xf borderId="9" fillId="10" fontId="8" numFmtId="0" xfId="0" applyAlignment="1" applyBorder="1" applyFont="1">
      <alignment horizontal="right" vertical="bottom"/>
    </xf>
    <xf borderId="0" fillId="0" fontId="8" numFmtId="0" xfId="0" applyAlignment="1" applyFont="1">
      <alignment readingOrder="0" vertical="bottom"/>
    </xf>
    <xf borderId="24" fillId="0" fontId="15" numFmtId="0" xfId="0" applyAlignment="1" applyBorder="1" applyFont="1">
      <alignment horizontal="center" vertical="bottom"/>
    </xf>
    <xf borderId="24" fillId="0" fontId="15" numFmtId="0" xfId="0" applyAlignment="1" applyBorder="1" applyFont="1">
      <alignment horizontal="center" readingOrder="0" vertical="bottom"/>
    </xf>
    <xf borderId="27" fillId="0" fontId="15" numFmtId="0" xfId="0" applyAlignment="1" applyBorder="1" applyFont="1">
      <alignment horizontal="center" shrinkToFit="0" wrapText="1"/>
    </xf>
    <xf borderId="28" fillId="0" fontId="15" numFmtId="0" xfId="0" applyAlignment="1" applyBorder="1" applyFont="1">
      <alignment horizontal="center" shrinkToFit="0" wrapText="1"/>
    </xf>
    <xf borderId="29" fillId="0" fontId="15" numFmtId="0" xfId="0" applyAlignment="1" applyBorder="1" applyFont="1">
      <alignment horizontal="center" shrinkToFit="0" wrapText="1"/>
    </xf>
    <xf borderId="29" fillId="0" fontId="15" numFmtId="0" xfId="0" applyAlignment="1" applyBorder="1" applyFont="1">
      <alignment horizontal="center" readingOrder="0" shrinkToFit="0" wrapText="1"/>
    </xf>
    <xf borderId="30" fillId="2" fontId="15" numFmtId="164" xfId="0" applyAlignment="1" applyBorder="1" applyFont="1" applyNumberFormat="1">
      <alignment horizontal="center" shrinkToFit="0" wrapText="1"/>
    </xf>
    <xf borderId="31" fillId="2" fontId="15" numFmtId="0" xfId="0" applyAlignment="1" applyBorder="1" applyFont="1">
      <alignment horizontal="center" shrinkToFit="0" wrapText="1"/>
    </xf>
    <xf borderId="32" fillId="15" fontId="15" numFmtId="0" xfId="0" applyAlignment="1" applyBorder="1" applyFont="1">
      <alignment horizontal="center" shrinkToFit="0" wrapText="1"/>
    </xf>
    <xf borderId="28" fillId="0" fontId="8" numFmtId="0" xfId="0" applyAlignment="1" applyBorder="1" applyFont="1">
      <alignment horizontal="center" readingOrder="0"/>
    </xf>
    <xf borderId="32" fillId="16" fontId="15" numFmtId="0" xfId="0" applyAlignment="1" applyBorder="1" applyFont="1">
      <alignment horizontal="center" shrinkToFit="0" wrapText="1"/>
    </xf>
    <xf borderId="28" fillId="0" fontId="8" numFmtId="0" xfId="0" applyAlignment="1" applyBorder="1" applyFont="1">
      <alignment horizontal="center"/>
    </xf>
    <xf borderId="32" fillId="17" fontId="15" numFmtId="0" xfId="0" applyAlignment="1" applyBorder="1" applyFont="1">
      <alignment horizontal="center" shrinkToFit="0" wrapText="1"/>
    </xf>
    <xf borderId="32" fillId="19" fontId="15" numFmtId="0" xfId="0" applyAlignment="1" applyBorder="1" applyFill="1" applyFont="1">
      <alignment horizontal="center" shrinkToFit="0" wrapText="1"/>
    </xf>
    <xf borderId="15" fillId="12" fontId="16" numFmtId="0" xfId="0" applyAlignment="1" applyBorder="1" applyFont="1">
      <alignment vertical="bottom"/>
    </xf>
    <xf borderId="15" fillId="12" fontId="16" numFmtId="0" xfId="0" applyAlignment="1" applyBorder="1" applyFont="1">
      <alignment readingOrder="0" vertical="bottom"/>
    </xf>
    <xf borderId="16" fillId="12" fontId="8" numFmtId="0" xfId="0" applyAlignment="1" applyBorder="1" applyFont="1">
      <alignment vertical="bottom"/>
    </xf>
    <xf borderId="19" fillId="12" fontId="8" numFmtId="0" xfId="0" applyAlignment="1" applyBorder="1" applyFont="1">
      <alignment vertical="bottom"/>
    </xf>
    <xf borderId="15" fillId="12" fontId="16" numFmtId="0" xfId="0" applyAlignment="1" applyBorder="1" applyFont="1">
      <alignment horizontal="right" vertical="bottom"/>
    </xf>
    <xf borderId="21" fillId="12" fontId="8" numFmtId="0" xfId="0" applyAlignment="1" applyBorder="1" applyFont="1">
      <alignment vertical="bottom"/>
    </xf>
    <xf borderId="15" fillId="13" fontId="17" numFmtId="0" xfId="0" applyAlignment="1" applyBorder="1" applyFont="1">
      <alignment readingOrder="0"/>
    </xf>
    <xf borderId="15" fillId="13" fontId="16" numFmtId="0" xfId="0" applyBorder="1" applyFont="1"/>
    <xf borderId="15" fillId="0" fontId="16" numFmtId="0" xfId="0" applyAlignment="1" applyBorder="1" applyFont="1">
      <alignment readingOrder="0"/>
    </xf>
    <xf borderId="15" fillId="0" fontId="16" numFmtId="0" xfId="0" applyBorder="1" applyFont="1"/>
    <xf borderId="17" fillId="0" fontId="16" numFmtId="0" xfId="0" applyAlignment="1" applyBorder="1" applyFont="1">
      <alignment horizontal="right" readingOrder="0" vertical="bottom"/>
    </xf>
    <xf borderId="20" fillId="2" fontId="16" numFmtId="167" xfId="0" applyAlignment="1" applyBorder="1" applyFont="1" applyNumberFormat="1">
      <alignment horizontal="right" readingOrder="0"/>
    </xf>
    <xf borderId="15" fillId="15" fontId="16" numFmtId="0" xfId="0" applyAlignment="1" applyBorder="1" applyFont="1">
      <alignment horizontal="right" readingOrder="0" vertical="bottom"/>
    </xf>
    <xf borderId="15" fillId="15" fontId="16" numFmtId="0" xfId="0" applyAlignment="1" applyBorder="1" applyFont="1">
      <alignment horizontal="right" vertical="bottom"/>
    </xf>
    <xf borderId="19" fillId="13" fontId="16" numFmtId="0" xfId="0" applyAlignment="1" applyBorder="1" applyFont="1">
      <alignment horizontal="right" vertical="bottom"/>
    </xf>
    <xf borderId="20" fillId="0" fontId="16" numFmtId="167" xfId="0" applyAlignment="1" applyBorder="1" applyFont="1" applyNumberFormat="1">
      <alignment horizontal="right" vertical="bottom"/>
    </xf>
    <xf borderId="15" fillId="16" fontId="16" numFmtId="0" xfId="0" applyAlignment="1" applyBorder="1" applyFont="1">
      <alignment horizontal="right" readingOrder="0" vertical="bottom"/>
    </xf>
    <xf borderId="15" fillId="16" fontId="16" numFmtId="0" xfId="0" applyAlignment="1" applyBorder="1" applyFont="1">
      <alignment horizontal="right" vertical="bottom"/>
    </xf>
    <xf borderId="19" fillId="0" fontId="16" numFmtId="3" xfId="0" applyAlignment="1" applyBorder="1" applyFont="1" applyNumberFormat="1">
      <alignment horizontal="right" vertical="bottom"/>
    </xf>
    <xf borderId="20" fillId="0" fontId="16" numFmtId="167" xfId="0" applyAlignment="1" applyBorder="1" applyFont="1" applyNumberFormat="1">
      <alignment horizontal="right" readingOrder="0" vertical="bottom"/>
    </xf>
    <xf borderId="15" fillId="17" fontId="16" numFmtId="0" xfId="0" applyAlignment="1" applyBorder="1" applyFont="1">
      <alignment horizontal="right" readingOrder="0" vertical="bottom"/>
    </xf>
    <xf borderId="15" fillId="17" fontId="16" numFmtId="0" xfId="0" applyAlignment="1" applyBorder="1" applyFont="1">
      <alignment horizontal="right" vertical="bottom"/>
    </xf>
    <xf borderId="15" fillId="13" fontId="16" numFmtId="0" xfId="0" applyAlignment="1" applyBorder="1" applyFont="1">
      <alignment horizontal="right" vertical="bottom"/>
    </xf>
    <xf borderId="18" fillId="0" fontId="16" numFmtId="167" xfId="0" applyAlignment="1" applyBorder="1" applyFont="1" applyNumberFormat="1">
      <alignment horizontal="right" vertical="bottom"/>
    </xf>
    <xf borderId="15" fillId="19" fontId="16" numFmtId="0" xfId="0" applyAlignment="1" applyBorder="1" applyFont="1">
      <alignment horizontal="right" vertical="bottom"/>
    </xf>
    <xf borderId="15" fillId="2" fontId="16" numFmtId="0" xfId="0" applyAlignment="1" applyBorder="1" applyFont="1">
      <alignment horizontal="right" vertical="bottom"/>
    </xf>
    <xf borderId="15" fillId="2" fontId="17" numFmtId="0" xfId="0" applyAlignment="1" applyBorder="1" applyFont="1">
      <alignment readingOrder="0"/>
    </xf>
    <xf borderId="15" fillId="0" fontId="17" numFmtId="0" xfId="0" applyAlignment="1" applyBorder="1" applyFont="1">
      <alignment readingOrder="0"/>
    </xf>
    <xf borderId="17" fillId="0" fontId="17" numFmtId="3" xfId="0" applyAlignment="1" applyBorder="1" applyFont="1" applyNumberFormat="1">
      <alignment horizontal="right" readingOrder="0" vertical="bottom"/>
    </xf>
    <xf borderId="19" fillId="13" fontId="16" numFmtId="3" xfId="0" applyAlignment="1" applyBorder="1" applyFont="1" applyNumberFormat="1">
      <alignment horizontal="right" vertical="bottom"/>
    </xf>
    <xf borderId="15" fillId="13" fontId="16" numFmtId="3" xfId="0" applyAlignment="1" applyBorder="1" applyFont="1" applyNumberFormat="1">
      <alignment horizontal="right" vertical="bottom"/>
    </xf>
    <xf borderId="15" fillId="19" fontId="16" numFmtId="0" xfId="0" applyAlignment="1" applyBorder="1" applyFont="1">
      <alignment horizontal="right" readingOrder="0" vertical="bottom"/>
    </xf>
    <xf borderId="15" fillId="2" fontId="16" numFmtId="3" xfId="0" applyAlignment="1" applyBorder="1" applyFont="1" applyNumberFormat="1">
      <alignment horizontal="right" vertical="bottom"/>
    </xf>
    <xf borderId="15" fillId="2" fontId="16" numFmtId="0" xfId="0" applyBorder="1" applyFont="1"/>
    <xf borderId="15" fillId="2" fontId="17" numFmtId="0" xfId="0" applyAlignment="1" applyBorder="1" applyFont="1">
      <alignment readingOrder="0" vertical="bottom"/>
    </xf>
    <xf borderId="19" fillId="2" fontId="16" numFmtId="0" xfId="0" applyAlignment="1" applyBorder="1" applyFont="1">
      <alignment horizontal="right" vertical="bottom"/>
    </xf>
    <xf borderId="19" fillId="0" fontId="16" numFmtId="0" xfId="0" applyAlignment="1" applyBorder="1" applyFont="1">
      <alignment horizontal="right" vertical="bottom"/>
    </xf>
    <xf borderId="18" fillId="0" fontId="16" numFmtId="167" xfId="0" applyAlignment="1" applyBorder="1" applyFont="1" applyNumberFormat="1">
      <alignment horizontal="right" readingOrder="0" vertical="bottom"/>
    </xf>
    <xf borderId="17" fillId="0" fontId="17" numFmtId="0" xfId="0" applyAlignment="1" applyBorder="1" applyFont="1">
      <alignment horizontal="right" readingOrder="0" vertical="bottom"/>
    </xf>
    <xf borderId="0" fillId="15" fontId="6" numFmtId="0" xfId="0" applyAlignment="1" applyFont="1">
      <alignment readingOrder="0"/>
    </xf>
    <xf borderId="20" fillId="0" fontId="8" numFmtId="167" xfId="0" applyAlignment="1" applyBorder="1" applyFont="1" applyNumberFormat="1">
      <alignment vertical="bottom"/>
    </xf>
    <xf borderId="15" fillId="0" fontId="8" numFmtId="0" xfId="0" applyAlignment="1" applyBorder="1" applyFont="1">
      <alignment readingOrder="0"/>
    </xf>
    <xf borderId="20" fillId="2" fontId="16" numFmtId="167" xfId="0" applyAlignment="1" applyBorder="1" applyFont="1" applyNumberFormat="1">
      <alignment horizontal="right"/>
    </xf>
    <xf borderId="21" fillId="2" fontId="16" numFmtId="167" xfId="0" applyAlignment="1" applyBorder="1" applyFont="1" applyNumberFormat="1">
      <alignment horizontal="right"/>
    </xf>
    <xf borderId="15" fillId="2" fontId="16" numFmtId="0" xfId="0" applyAlignment="1" applyBorder="1" applyFont="1">
      <alignment readingOrder="0"/>
    </xf>
    <xf borderId="15" fillId="15" fontId="17" numFmtId="0" xfId="0" applyAlignment="1" applyBorder="1" applyFont="1">
      <alignment horizontal="right" readingOrder="0" vertical="bottom"/>
    </xf>
    <xf borderId="15" fillId="16" fontId="17" numFmtId="0" xfId="0" applyAlignment="1" applyBorder="1" applyFont="1">
      <alignment horizontal="right" readingOrder="0" vertical="bottom"/>
    </xf>
    <xf borderId="15" fillId="12" fontId="16" numFmtId="0" xfId="0" applyBorder="1" applyFont="1"/>
    <xf borderId="16" fillId="12" fontId="16" numFmtId="0" xfId="0" applyAlignment="1" applyBorder="1" applyFont="1">
      <alignment horizontal="right" vertical="bottom"/>
    </xf>
    <xf borderId="20" fillId="12" fontId="16" numFmtId="167" xfId="0" applyAlignment="1" applyBorder="1" applyFont="1" applyNumberFormat="1">
      <alignment horizontal="right"/>
    </xf>
    <xf borderId="19" fillId="12" fontId="16" numFmtId="0" xfId="0" applyAlignment="1" applyBorder="1" applyFont="1">
      <alignment horizontal="right" vertical="bottom"/>
    </xf>
    <xf borderId="19" fillId="12" fontId="16" numFmtId="3" xfId="0" applyAlignment="1" applyBorder="1" applyFont="1" applyNumberFormat="1">
      <alignment horizontal="right" readingOrder="0" vertical="bottom"/>
    </xf>
    <xf borderId="20" fillId="12" fontId="16" numFmtId="167" xfId="0" applyAlignment="1" applyBorder="1" applyFont="1" applyNumberFormat="1">
      <alignment horizontal="right" vertical="bottom"/>
    </xf>
    <xf borderId="15" fillId="12" fontId="16" numFmtId="0" xfId="0" applyAlignment="1" applyBorder="1" applyFont="1">
      <alignment horizontal="right" readingOrder="0" vertical="bottom"/>
    </xf>
    <xf borderId="19" fillId="12" fontId="16" numFmtId="0" xfId="0" applyAlignment="1" applyBorder="1" applyFont="1">
      <alignment horizontal="right" readingOrder="0" vertical="bottom"/>
    </xf>
    <xf borderId="19" fillId="0" fontId="8" numFmtId="0" xfId="0" applyAlignment="1" applyBorder="1" applyFont="1">
      <alignment vertical="bottom"/>
    </xf>
    <xf borderId="15" fillId="14" fontId="16" numFmtId="0" xfId="0" applyAlignment="1" applyBorder="1" applyFont="1">
      <alignment horizontal="right" vertical="bottom"/>
    </xf>
    <xf borderId="15" fillId="19" fontId="8" numFmtId="0" xfId="0" applyAlignment="1" applyBorder="1" applyFont="1">
      <alignment vertical="bottom"/>
    </xf>
    <xf borderId="7" fillId="2" fontId="8" numFmtId="167" xfId="0" applyAlignment="1" applyBorder="1" applyFont="1" applyNumberFormat="1">
      <alignment readingOrder="0"/>
    </xf>
    <xf borderId="8" fillId="15" fontId="16" numFmtId="0" xfId="0" applyAlignment="1" applyBorder="1" applyFont="1">
      <alignment horizontal="right" readingOrder="0" vertical="bottom"/>
    </xf>
    <xf borderId="8" fillId="15" fontId="16" numFmtId="0" xfId="0" applyAlignment="1" applyBorder="1" applyFont="1">
      <alignment horizontal="right" vertical="bottom"/>
    </xf>
    <xf borderId="8" fillId="16" fontId="8" numFmtId="0" xfId="0" applyAlignment="1" applyBorder="1" applyFont="1">
      <alignment readingOrder="0" vertical="bottom"/>
    </xf>
    <xf borderId="8" fillId="16" fontId="8" numFmtId="0" xfId="0" applyAlignment="1" applyBorder="1" applyFont="1">
      <alignment vertical="bottom"/>
    </xf>
    <xf borderId="8" fillId="17" fontId="8" numFmtId="0" xfId="0" applyAlignment="1" applyBorder="1" applyFont="1">
      <alignment readingOrder="0" vertical="bottom"/>
    </xf>
    <xf borderId="8" fillId="17" fontId="8" numFmtId="0" xfId="0" applyAlignment="1" applyBorder="1" applyFont="1">
      <alignment vertical="bottom"/>
    </xf>
    <xf borderId="33" fillId="0" fontId="8" numFmtId="0" xfId="0" applyAlignment="1" applyBorder="1" applyFont="1">
      <alignment readingOrder="0" vertical="bottom"/>
    </xf>
    <xf borderId="34" fillId="0" fontId="8" numFmtId="0" xfId="0" applyAlignment="1" applyBorder="1" applyFont="1">
      <alignment vertical="bottom"/>
    </xf>
    <xf borderId="35" fillId="0" fontId="8" numFmtId="0" xfId="0" applyAlignment="1" applyBorder="1" applyFont="1">
      <alignment vertical="bottom"/>
    </xf>
    <xf borderId="36" fillId="2" fontId="18" numFmtId="0" xfId="0" applyAlignment="1" applyBorder="1" applyFont="1">
      <alignment horizontal="center"/>
    </xf>
    <xf borderId="34" fillId="0" fontId="3" numFmtId="0" xfId="0" applyBorder="1" applyFont="1"/>
    <xf borderId="37" fillId="0" fontId="3" numFmtId="0" xfId="0" applyBorder="1" applyFont="1"/>
    <xf borderId="34" fillId="0" fontId="18" numFmtId="0" xfId="0" applyAlignment="1" applyBorder="1" applyFont="1">
      <alignment horizontal="center" readingOrder="0"/>
    </xf>
    <xf borderId="34" fillId="0" fontId="18" numFmtId="0" xfId="0" applyAlignment="1" applyBorder="1" applyFont="1">
      <alignment horizontal="center"/>
    </xf>
    <xf borderId="38" fillId="0" fontId="15" numFmtId="0" xfId="0" applyAlignment="1" applyBorder="1" applyFont="1">
      <alignment horizontal="center" shrinkToFit="0" wrapText="1"/>
    </xf>
    <xf borderId="39" fillId="0" fontId="15" numFmtId="0" xfId="0" applyAlignment="1" applyBorder="1" applyFont="1">
      <alignment horizontal="center" shrinkToFit="0" wrapText="1"/>
    </xf>
    <xf borderId="0" fillId="2" fontId="4" numFmtId="0" xfId="0" applyAlignment="1" applyFont="1">
      <alignment horizontal="center" readingOrder="0" shrinkToFit="0" wrapText="1"/>
    </xf>
    <xf borderId="1" fillId="2" fontId="15" numFmtId="0" xfId="0" applyAlignment="1" applyBorder="1" applyFont="1">
      <alignment horizontal="center" shrinkToFit="0" wrapText="1"/>
    </xf>
    <xf borderId="2" fillId="15" fontId="15" numFmtId="0" xfId="0" applyAlignment="1" applyBorder="1" applyFont="1">
      <alignment horizontal="center" shrinkToFit="0" wrapText="1"/>
    </xf>
    <xf borderId="25" fillId="0" fontId="8" numFmtId="0" xfId="0" applyAlignment="1" applyBorder="1" applyFont="1">
      <alignment horizontal="center" readingOrder="0"/>
    </xf>
    <xf borderId="40" fillId="17" fontId="15" numFmtId="0" xfId="0" applyAlignment="1" applyBorder="1" applyFont="1">
      <alignment horizontal="center" shrinkToFit="0" wrapText="1"/>
    </xf>
    <xf borderId="38" fillId="0" fontId="8" numFmtId="0" xfId="0" applyAlignment="1" applyBorder="1" applyFont="1">
      <alignment horizontal="center"/>
    </xf>
    <xf borderId="40" fillId="19" fontId="15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5" fillId="7" fontId="16" numFmtId="0" xfId="0" applyBorder="1" applyFont="1"/>
    <xf borderId="15" fillId="7" fontId="16" numFmtId="0" xfId="0" applyAlignment="1" applyBorder="1" applyFont="1">
      <alignment readingOrder="0"/>
    </xf>
    <xf borderId="15" fillId="7" fontId="16" numFmtId="0" xfId="0" applyAlignment="1" applyBorder="1" applyFont="1">
      <alignment readingOrder="0" vertical="bottom"/>
    </xf>
    <xf borderId="26" fillId="7" fontId="1" numFmtId="0" xfId="0" applyAlignment="1" applyBorder="1" applyFont="1">
      <alignment readingOrder="0" vertical="bottom"/>
    </xf>
    <xf borderId="15" fillId="7" fontId="16" numFmtId="0" xfId="0" applyAlignment="1" applyBorder="1" applyFont="1">
      <alignment horizontal="right" vertical="bottom"/>
    </xf>
    <xf borderId="15" fillId="7" fontId="16" numFmtId="167" xfId="0" applyAlignment="1" applyBorder="1" applyFont="1" applyNumberFormat="1">
      <alignment horizontal="right"/>
    </xf>
    <xf borderId="20" fillId="7" fontId="16" numFmtId="167" xfId="0" applyAlignment="1" applyBorder="1" applyFont="1" applyNumberFormat="1">
      <alignment horizontal="right"/>
    </xf>
    <xf borderId="19" fillId="7" fontId="16" numFmtId="0" xfId="0" applyAlignment="1" applyBorder="1" applyFont="1">
      <alignment horizontal="right" vertical="bottom"/>
    </xf>
    <xf borderId="20" fillId="7" fontId="8" numFmtId="0" xfId="0" applyAlignment="1" applyBorder="1" applyFont="1">
      <alignment vertical="bottom"/>
    </xf>
    <xf borderId="18" fillId="7" fontId="8" numFmtId="0" xfId="0" applyAlignment="1" applyBorder="1" applyFont="1">
      <alignment vertical="bottom"/>
    </xf>
    <xf borderId="15" fillId="7" fontId="8" numFmtId="0" xfId="0" applyAlignment="1" applyBorder="1" applyFont="1">
      <alignment vertical="bottom"/>
    </xf>
    <xf borderId="15" fillId="13" fontId="16" numFmtId="0" xfId="0" applyAlignment="1" applyBorder="1" applyFont="1">
      <alignment readingOrder="0"/>
    </xf>
    <xf borderId="15" fillId="2" fontId="16" numFmtId="0" xfId="0" applyAlignment="1" applyBorder="1" applyFont="1">
      <alignment readingOrder="0" vertical="bottom"/>
    </xf>
    <xf borderId="15" fillId="2" fontId="17" numFmtId="0" xfId="0" applyAlignment="1" applyBorder="1" applyFont="1">
      <alignment horizontal="right" readingOrder="0" vertical="bottom"/>
    </xf>
    <xf borderId="15" fillId="13" fontId="16" numFmtId="167" xfId="0" applyAlignment="1" applyBorder="1" applyFont="1" applyNumberFormat="1">
      <alignment horizontal="right"/>
    </xf>
    <xf borderId="19" fillId="10" fontId="16" numFmtId="0" xfId="0" applyAlignment="1" applyBorder="1" applyFont="1">
      <alignment horizontal="right" vertical="bottom"/>
    </xf>
    <xf borderId="15" fillId="0" fontId="16" numFmtId="0" xfId="0" applyAlignment="1" applyBorder="1" applyFont="1">
      <alignment horizontal="right" vertical="bottom"/>
    </xf>
    <xf borderId="15" fillId="13" fontId="16" numFmtId="167" xfId="0" applyAlignment="1" applyBorder="1" applyFont="1" applyNumberFormat="1">
      <alignment horizontal="right" readingOrder="0"/>
    </xf>
    <xf borderId="20" fillId="2" fontId="17" numFmtId="167" xfId="0" applyAlignment="1" applyBorder="1" applyFont="1" applyNumberFormat="1">
      <alignment horizontal="right" readingOrder="0"/>
    </xf>
    <xf borderId="19" fillId="10" fontId="16" numFmtId="0" xfId="0" applyAlignment="1" applyBorder="1" applyFont="1">
      <alignment horizontal="right" readingOrder="0" vertical="bottom"/>
    </xf>
    <xf borderId="15" fillId="0" fontId="16" numFmtId="167" xfId="0" applyAlignment="1" applyBorder="1" applyFont="1" applyNumberFormat="1">
      <alignment horizontal="right" vertical="bottom"/>
    </xf>
    <xf borderId="15" fillId="0" fontId="16" numFmtId="167" xfId="0" applyAlignment="1" applyBorder="1" applyFont="1" applyNumberFormat="1">
      <alignment horizontal="right" readingOrder="0" vertical="bottom"/>
    </xf>
    <xf borderId="15" fillId="2" fontId="16" numFmtId="167" xfId="0" applyAlignment="1" applyBorder="1" applyFont="1" applyNumberFormat="1">
      <alignment horizontal="right" readingOrder="0"/>
    </xf>
    <xf borderId="15" fillId="2" fontId="16" numFmtId="0" xfId="0" applyAlignment="1" applyBorder="1" applyFont="1">
      <alignment vertical="bottom"/>
    </xf>
    <xf borderId="15" fillId="13" fontId="17" numFmtId="167" xfId="0" applyAlignment="1" applyBorder="1" applyFont="1" applyNumberFormat="1">
      <alignment horizontal="right" readingOrder="0"/>
    </xf>
    <xf borderId="15" fillId="0" fontId="16" numFmtId="0" xfId="0" applyAlignment="1" applyBorder="1" applyFont="1">
      <alignment vertical="bottom"/>
    </xf>
    <xf borderId="15" fillId="0" fontId="16" numFmtId="167" xfId="0" applyAlignment="1" applyBorder="1" applyFont="1" applyNumberFormat="1">
      <alignment horizontal="right" readingOrder="0"/>
    </xf>
    <xf borderId="15" fillId="0" fontId="16" numFmtId="167" xfId="0" applyAlignment="1" applyBorder="1" applyFont="1" applyNumberFormat="1">
      <alignment horizontal="right"/>
    </xf>
    <xf borderId="7" fillId="0" fontId="8" numFmtId="167" xfId="0" applyAlignment="1" applyBorder="1" applyFont="1" applyNumberFormat="1">
      <alignment readingOrder="0" vertical="bottom"/>
    </xf>
    <xf borderId="8" fillId="16" fontId="16" numFmtId="0" xfId="0" applyAlignment="1" applyBorder="1" applyFont="1">
      <alignment horizontal="right" readingOrder="0" vertical="bottom"/>
    </xf>
    <xf borderId="15" fillId="0" fontId="8" numFmtId="167" xfId="0" applyAlignment="1" applyBorder="1" applyFont="1" applyNumberFormat="1">
      <alignment readingOrder="0" vertical="bottom"/>
    </xf>
    <xf borderId="24" fillId="0" fontId="8" numFmtId="0" xfId="0" applyAlignment="1" applyBorder="1" applyFont="1">
      <alignment horizontal="center" vertical="bottom"/>
    </xf>
    <xf borderId="15" fillId="0" fontId="15" numFmtId="0" xfId="0" applyAlignment="1" applyBorder="1" applyFont="1">
      <alignment shrinkToFit="0" wrapText="1"/>
    </xf>
    <xf borderId="15" fillId="0" fontId="15" numFmtId="0" xfId="0" applyAlignment="1" applyBorder="1" applyFont="1">
      <alignment horizontal="center" shrinkToFit="0" wrapText="1"/>
    </xf>
    <xf borderId="41" fillId="2" fontId="4" numFmtId="0" xfId="0" applyAlignment="1" applyBorder="1" applyFont="1">
      <alignment horizontal="center" readingOrder="0" shrinkToFit="0" wrapText="1"/>
    </xf>
    <xf borderId="15" fillId="20" fontId="15" numFmtId="0" xfId="0" applyAlignment="1" applyBorder="1" applyFill="1" applyFont="1">
      <alignment horizontal="center" shrinkToFit="0" wrapText="1"/>
    </xf>
    <xf borderId="20" fillId="2" fontId="15" numFmtId="0" xfId="0" applyAlignment="1" applyBorder="1" applyFont="1">
      <alignment horizontal="center" shrinkToFit="0" wrapText="1"/>
    </xf>
    <xf borderId="15" fillId="15" fontId="15" numFmtId="0" xfId="0" applyAlignment="1" applyBorder="1" applyFont="1">
      <alignment horizontal="center" shrinkToFit="0" wrapText="1"/>
    </xf>
    <xf borderId="19" fillId="0" fontId="8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shrinkToFit="0" wrapText="1"/>
    </xf>
    <xf borderId="2" fillId="16" fontId="15" numFmtId="0" xfId="0" applyAlignment="1" applyBorder="1" applyFont="1">
      <alignment horizontal="center" shrinkToFit="0" wrapText="1"/>
    </xf>
    <xf borderId="2" fillId="4" fontId="15" numFmtId="0" xfId="0" applyAlignment="1" applyBorder="1" applyFont="1">
      <alignment horizontal="center" shrinkToFit="0" wrapText="1"/>
    </xf>
    <xf borderId="25" fillId="0" fontId="8" numFmtId="0" xfId="0" applyAlignment="1" applyBorder="1" applyFont="1">
      <alignment horizontal="center"/>
    </xf>
    <xf borderId="2" fillId="17" fontId="15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/>
    </xf>
    <xf borderId="15" fillId="12" fontId="16" numFmtId="0" xfId="0" applyAlignment="1" applyBorder="1" applyFont="1">
      <alignment shrinkToFit="0" wrapText="1"/>
    </xf>
    <xf borderId="19" fillId="12" fontId="8" numFmtId="0" xfId="0" applyBorder="1" applyFont="1"/>
    <xf borderId="15" fillId="21" fontId="16" numFmtId="0" xfId="0" applyAlignment="1" applyBorder="1" applyFill="1" applyFont="1">
      <alignment shrinkToFit="0" wrapText="1"/>
    </xf>
    <xf borderId="20" fillId="2" fontId="8" numFmtId="0" xfId="0" applyBorder="1" applyFont="1"/>
    <xf borderId="19" fillId="2" fontId="8" numFmtId="0" xfId="0" applyBorder="1" applyFont="1"/>
    <xf borderId="15" fillId="0" fontId="17" numFmtId="0" xfId="0" applyAlignment="1" applyBorder="1" applyFont="1">
      <alignment readingOrder="0" vertical="bottom"/>
    </xf>
    <xf borderId="15" fillId="0" fontId="16" numFmtId="0" xfId="0" applyAlignment="1" applyBorder="1" applyFont="1">
      <alignment horizontal="right" readingOrder="0" vertical="bottom"/>
    </xf>
    <xf borderId="19" fillId="22" fontId="16" numFmtId="0" xfId="0" applyAlignment="1" applyBorder="1" applyFill="1" applyFont="1">
      <alignment horizontal="right" vertical="bottom"/>
    </xf>
    <xf borderId="15" fillId="0" fontId="17" numFmtId="0" xfId="0" applyAlignment="1" applyBorder="1" applyFont="1">
      <alignment horizontal="right" readingOrder="0" vertical="bottom"/>
    </xf>
    <xf borderId="20" fillId="2" fontId="16" numFmtId="167" xfId="0" applyAlignment="1" applyBorder="1" applyFont="1" applyNumberFormat="1">
      <alignment horizontal="right" readingOrder="0" vertical="bottom"/>
    </xf>
    <xf borderId="20" fillId="2" fontId="16" numFmtId="167" xfId="0" applyAlignment="1" applyBorder="1" applyFont="1" applyNumberFormat="1">
      <alignment horizontal="right" vertical="bottom"/>
    </xf>
    <xf borderId="15" fillId="4" fontId="16" numFmtId="0" xfId="0" applyBorder="1" applyFont="1"/>
    <xf borderId="19" fillId="14" fontId="16" numFmtId="0" xfId="0" applyAlignment="1" applyBorder="1" applyFont="1">
      <alignment horizontal="right" vertical="bottom"/>
    </xf>
    <xf borderId="18" fillId="0" fontId="8" numFmtId="171" xfId="0" applyAlignment="1" applyBorder="1" applyFont="1" applyNumberFormat="1">
      <alignment readingOrder="0" vertical="bottom"/>
    </xf>
    <xf borderId="15" fillId="12" fontId="19" numFmtId="0" xfId="0" applyBorder="1" applyFont="1"/>
    <xf borderId="20" fillId="12" fontId="19" numFmtId="167" xfId="0" applyAlignment="1" applyBorder="1" applyFont="1" applyNumberFormat="1">
      <alignment horizontal="right"/>
    </xf>
    <xf borderId="15" fillId="0" fontId="19" numFmtId="0" xfId="0" applyBorder="1" applyFont="1"/>
    <xf borderId="15" fillId="0" fontId="20" numFmtId="0" xfId="0" applyAlignment="1" applyBorder="1" applyFont="1">
      <alignment readingOrder="0"/>
    </xf>
    <xf borderId="20" fillId="2" fontId="19" numFmtId="167" xfId="0" applyAlignment="1" applyBorder="1" applyFont="1" applyNumberFormat="1">
      <alignment horizontal="right" readingOrder="0"/>
    </xf>
    <xf borderId="7" fillId="2" fontId="19" numFmtId="167" xfId="0" applyAlignment="1" applyBorder="1" applyFont="1" applyNumberFormat="1">
      <alignment horizontal="right"/>
    </xf>
    <xf borderId="7" fillId="0" fontId="8" numFmtId="170" xfId="0" applyAlignment="1" applyBorder="1" applyFont="1" applyNumberFormat="1">
      <alignment readingOrder="0" vertical="bottom"/>
    </xf>
    <xf borderId="8" fillId="16" fontId="16" numFmtId="0" xfId="0" applyAlignment="1" applyBorder="1" applyFont="1">
      <alignment horizontal="right" vertical="bottom"/>
    </xf>
    <xf borderId="9" fillId="13" fontId="16" numFmtId="0" xfId="0" applyAlignment="1" applyBorder="1" applyFont="1">
      <alignment horizontal="right" vertical="bottom"/>
    </xf>
    <xf borderId="8" fillId="17" fontId="16" numFmtId="0" xfId="0" applyAlignment="1" applyBorder="1" applyFont="1">
      <alignment horizontal="right" vertical="bottom"/>
    </xf>
    <xf borderId="0" fillId="0" fontId="8" numFmtId="0" xfId="0" applyAlignment="1" applyFont="1">
      <alignment readingOrder="0"/>
    </xf>
    <xf borderId="0" fillId="0" fontId="8" numFmtId="14" xfId="0" applyAlignment="1" applyFont="1" applyNumberFormat="1">
      <alignment readingOrder="0"/>
    </xf>
    <xf borderId="0" fillId="0" fontId="8" numFmtId="0" xfId="0" applyFont="1"/>
    <xf borderId="42" fillId="2" fontId="18" numFmtId="0" xfId="0" applyAlignment="1" applyBorder="1" applyFont="1">
      <alignment horizontal="center" shrinkToFit="0" wrapText="1"/>
    </xf>
    <xf borderId="43" fillId="0" fontId="3" numFmtId="0" xfId="0" applyBorder="1" applyFont="1"/>
    <xf borderId="44" fillId="0" fontId="3" numFmtId="0" xfId="0" applyBorder="1" applyFont="1"/>
    <xf borderId="0" fillId="0" fontId="18" numFmtId="0" xfId="0" applyAlignment="1" applyFont="1">
      <alignment horizontal="center" shrinkToFit="0" wrapText="1"/>
    </xf>
    <xf borderId="16" fillId="2" fontId="2" numFmtId="164" xfId="0" applyAlignment="1" applyBorder="1" applyFont="1" applyNumberFormat="1">
      <alignment horizontal="center" shrinkToFit="0" wrapText="1"/>
    </xf>
    <xf borderId="1" fillId="2" fontId="15" numFmtId="0" xfId="0" applyAlignment="1" applyBorder="1" applyFont="1">
      <alignment shrinkToFit="0" wrapText="1"/>
    </xf>
    <xf borderId="2" fillId="15" fontId="15" numFmtId="0" xfId="0" applyAlignment="1" applyBorder="1" applyFont="1">
      <alignment shrinkToFit="0" wrapText="1"/>
    </xf>
    <xf borderId="25" fillId="0" fontId="8" numFmtId="0" xfId="0" applyAlignment="1" applyBorder="1" applyFont="1">
      <alignment readingOrder="0"/>
    </xf>
    <xf borderId="1" fillId="0" fontId="15" numFmtId="0" xfId="0" applyAlignment="1" applyBorder="1" applyFont="1">
      <alignment shrinkToFit="0" wrapText="1"/>
    </xf>
    <xf borderId="2" fillId="16" fontId="15" numFmtId="0" xfId="0" applyAlignment="1" applyBorder="1" applyFont="1">
      <alignment shrinkToFit="0" wrapText="1"/>
    </xf>
    <xf borderId="2" fillId="17" fontId="15" numFmtId="0" xfId="0" applyAlignment="1" applyBorder="1" applyFont="1">
      <alignment shrinkToFit="0" wrapText="1"/>
    </xf>
    <xf borderId="2" fillId="19" fontId="15" numFmtId="0" xfId="0" applyAlignment="1" applyBorder="1" applyFont="1">
      <alignment shrinkToFit="0" wrapText="1"/>
    </xf>
    <xf borderId="15" fillId="21" fontId="19" numFmtId="0" xfId="0" applyBorder="1" applyFont="1"/>
    <xf borderId="15" fillId="21" fontId="8" numFmtId="0" xfId="0" applyBorder="1" applyFont="1"/>
    <xf borderId="26" fillId="21" fontId="1" numFmtId="0" xfId="0" applyAlignment="1" applyBorder="1" applyFont="1">
      <alignment readingOrder="0" vertical="bottom"/>
    </xf>
    <xf borderId="17" fillId="21" fontId="16" numFmtId="0" xfId="0" applyAlignment="1" applyBorder="1" applyFont="1">
      <alignment horizontal="right" vertical="bottom"/>
    </xf>
    <xf borderId="20" fillId="2" fontId="19" numFmtId="167" xfId="0" applyAlignment="1" applyBorder="1" applyFont="1" applyNumberFormat="1">
      <alignment horizontal="right"/>
    </xf>
    <xf borderId="15" fillId="8" fontId="19" numFmtId="0" xfId="0" applyBorder="1" applyFont="1"/>
    <xf borderId="15" fillId="8" fontId="20" numFmtId="0" xfId="0" applyAlignment="1" applyBorder="1" applyFont="1">
      <alignment readingOrder="0"/>
    </xf>
    <xf borderId="26" fillId="8" fontId="1" numFmtId="0" xfId="0" applyAlignment="1" applyBorder="1" applyFont="1">
      <alignment readingOrder="0" vertical="bottom"/>
    </xf>
    <xf borderId="17" fillId="8" fontId="16" numFmtId="0" xfId="0" applyAlignment="1" applyBorder="1" applyFont="1">
      <alignment horizontal="right" readingOrder="0" vertical="bottom"/>
    </xf>
    <xf borderId="7" fillId="2" fontId="19" numFmtId="167" xfId="0" applyAlignment="1" applyBorder="1" applyFont="1" applyNumberFormat="1">
      <alignment horizontal="right" readingOrder="0"/>
    </xf>
    <xf borderId="9" fillId="2" fontId="16" numFmtId="0" xfId="0" applyAlignment="1" applyBorder="1" applyFont="1">
      <alignment horizontal="right" vertical="bottom"/>
    </xf>
    <xf borderId="7" fillId="0" fontId="16" numFmtId="167" xfId="0" applyAlignment="1" applyBorder="1" applyFont="1" applyNumberFormat="1">
      <alignment horizontal="right" readingOrder="0" vertical="bottom"/>
    </xf>
    <xf borderId="9" fillId="0" fontId="16" numFmtId="0" xfId="0" applyAlignment="1" applyBorder="1" applyFont="1">
      <alignment horizontal="right" vertical="bottom"/>
    </xf>
    <xf borderId="8" fillId="17" fontId="16" numFmtId="0" xfId="0" applyAlignment="1" applyBorder="1" applyFont="1">
      <alignment horizontal="right" readingOrder="0" vertical="bottom"/>
    </xf>
    <xf borderId="8" fillId="19" fontId="16" numFmtId="0" xfId="0" applyAlignment="1" applyBorder="1" applyFont="1">
      <alignment horizontal="right" readingOrder="0" vertical="bottom"/>
    </xf>
    <xf borderId="8" fillId="19" fontId="16" numFmtId="0" xfId="0" applyAlignment="1" applyBorder="1" applyFont="1">
      <alignment horizontal="right" vertical="bottom"/>
    </xf>
    <xf borderId="45" fillId="0" fontId="15" numFmtId="0" xfId="0" applyAlignment="1" applyBorder="1" applyFont="1">
      <alignment horizontal="center" shrinkToFit="0" wrapText="1"/>
    </xf>
    <xf borderId="19" fillId="0" fontId="15" numFmtId="0" xfId="0" applyAlignment="1" applyBorder="1" applyFont="1">
      <alignment horizontal="center" shrinkToFit="0" wrapText="1"/>
    </xf>
    <xf borderId="46" fillId="0" fontId="15" numFmtId="0" xfId="0" applyAlignment="1" applyBorder="1" applyFont="1">
      <alignment horizontal="center" shrinkToFit="0" wrapText="1"/>
    </xf>
    <xf borderId="47" fillId="0" fontId="15" numFmtId="0" xfId="0" applyAlignment="1" applyBorder="1" applyFont="1">
      <alignment horizontal="center" shrinkToFit="0" wrapText="1"/>
    </xf>
    <xf borderId="48" fillId="2" fontId="4" numFmtId="0" xfId="0" applyAlignment="1" applyBorder="1" applyFont="1">
      <alignment horizontal="center" readingOrder="0" shrinkToFit="0" wrapText="1"/>
    </xf>
    <xf borderId="17" fillId="0" fontId="15" numFmtId="0" xfId="0" applyAlignment="1" applyBorder="1" applyFont="1">
      <alignment horizontal="center" readingOrder="0" shrinkToFit="0" wrapText="1"/>
    </xf>
    <xf borderId="15" fillId="2" fontId="2" numFmtId="164" xfId="0" applyAlignment="1" applyBorder="1" applyFont="1" applyNumberFormat="1">
      <alignment horizontal="center" shrinkToFit="0" wrapText="1"/>
    </xf>
    <xf borderId="15" fillId="2" fontId="2" numFmtId="167" xfId="0" applyAlignment="1" applyBorder="1" applyFont="1" applyNumberFormat="1">
      <alignment horizontal="center" shrinkToFit="0" wrapText="1"/>
    </xf>
    <xf borderId="15" fillId="2" fontId="2" numFmtId="166" xfId="0" applyAlignment="1" applyBorder="1" applyFont="1" applyNumberFormat="1">
      <alignment horizontal="center" shrinkToFit="0" wrapText="1"/>
    </xf>
    <xf borderId="15" fillId="15" fontId="16" numFmtId="0" xfId="0" applyAlignment="1" applyBorder="1" applyFont="1">
      <alignment horizontal="center" vertical="bottom"/>
    </xf>
    <xf borderId="20" fillId="0" fontId="15" numFmtId="0" xfId="0" applyAlignment="1" applyBorder="1" applyFont="1">
      <alignment horizontal="center" shrinkToFit="0" wrapText="1"/>
    </xf>
    <xf borderId="49" fillId="16" fontId="15" numFmtId="0" xfId="0" applyAlignment="1" applyBorder="1" applyFont="1">
      <alignment horizontal="center" shrinkToFit="0" wrapText="1"/>
    </xf>
    <xf borderId="50" fillId="16" fontId="15" numFmtId="0" xfId="0" applyAlignment="1" applyBorder="1" applyFont="1">
      <alignment horizontal="center" shrinkToFit="0" wrapText="1"/>
    </xf>
    <xf borderId="50" fillId="0" fontId="8" numFmtId="0" xfId="0" applyAlignment="1" applyBorder="1" applyFont="1">
      <alignment horizontal="center"/>
    </xf>
    <xf borderId="49" fillId="17" fontId="15" numFmtId="0" xfId="0" applyAlignment="1" applyBorder="1" applyFont="1">
      <alignment horizontal="center" shrinkToFit="0" wrapText="1"/>
    </xf>
    <xf borderId="50" fillId="17" fontId="15" numFmtId="0" xfId="0" applyAlignment="1" applyBorder="1" applyFont="1">
      <alignment horizontal="center" shrinkToFit="0" wrapText="1"/>
    </xf>
    <xf borderId="49" fillId="19" fontId="15" numFmtId="0" xfId="0" applyAlignment="1" applyBorder="1" applyFont="1">
      <alignment horizontal="center" shrinkToFit="0" wrapText="1"/>
    </xf>
    <xf borderId="50" fillId="19" fontId="15" numFmtId="0" xfId="0" applyAlignment="1" applyBorder="1" applyFont="1">
      <alignment horizontal="center" shrinkToFit="0" wrapText="1"/>
    </xf>
    <xf borderId="5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15" fillId="0" fontId="16" numFmtId="0" xfId="0" applyAlignment="1" applyBorder="1" applyFont="1">
      <alignment horizontal="right"/>
    </xf>
    <xf borderId="0" fillId="13" fontId="16" numFmtId="0" xfId="0" applyAlignment="1" applyFont="1">
      <alignment horizontal="right" vertical="bottom"/>
    </xf>
    <xf borderId="20" fillId="0" fontId="16" numFmtId="167" xfId="0" applyAlignment="1" applyBorder="1" applyFont="1" applyNumberFormat="1">
      <alignment readingOrder="0" vertical="bottom"/>
    </xf>
    <xf borderId="7" fillId="2" fontId="16" numFmtId="167" xfId="0" applyAlignment="1" applyBorder="1" applyFont="1" applyNumberFormat="1">
      <alignment horizontal="right"/>
    </xf>
    <xf borderId="7" fillId="0" fontId="16" numFmtId="167" xfId="0" applyAlignment="1" applyBorder="1" applyFont="1" applyNumberFormat="1">
      <alignment vertical="bottom"/>
    </xf>
    <xf borderId="8" fillId="16" fontId="16" numFmtId="0" xfId="0" applyAlignment="1" applyBorder="1" applyFont="1">
      <alignment vertical="bottom"/>
    </xf>
    <xf borderId="8" fillId="17" fontId="16" numFmtId="0" xfId="0" applyAlignment="1" applyBorder="1" applyFont="1">
      <alignment vertical="bottom"/>
    </xf>
    <xf borderId="8" fillId="19" fontId="16" numFmtId="0" xfId="0" applyAlignment="1" applyBorder="1" applyFont="1">
      <alignment vertical="bottom"/>
    </xf>
    <xf borderId="15" fillId="0" fontId="16" numFmtId="0" xfId="0" applyAlignment="1" applyBorder="1" applyFont="1">
      <alignment horizontal="right" readingOrder="0"/>
    </xf>
    <xf borderId="7" fillId="2" fontId="16" numFmtId="167" xfId="0" applyAlignment="1" applyBorder="1" applyFont="1" applyNumberFormat="1">
      <alignment horizontal="right" readingOrder="0"/>
    </xf>
    <xf borderId="7" fillId="0" fontId="16" numFmtId="167" xfId="0" applyAlignment="1" applyBorder="1" applyFont="1" applyNumberFormat="1">
      <alignment readingOrder="0" vertical="bottom"/>
    </xf>
    <xf borderId="8" fillId="16" fontId="16" numFmtId="0" xfId="0" applyAlignment="1" applyBorder="1" applyFont="1">
      <alignment readingOrder="0" vertical="bottom"/>
    </xf>
    <xf borderId="8" fillId="17" fontId="16" numFmtId="0" xfId="0" applyAlignment="1" applyBorder="1" applyFont="1">
      <alignment readingOrder="0" vertical="bottom"/>
    </xf>
    <xf borderId="8" fillId="19" fontId="16" numFmtId="0" xfId="0" applyAlignment="1" applyBorder="1" applyFont="1">
      <alignment readingOrder="0" vertical="bottom"/>
    </xf>
    <xf borderId="0" fillId="2" fontId="16" numFmtId="0" xfId="0" applyFont="1"/>
    <xf borderId="0" fillId="0" fontId="16" numFmtId="0" xfId="0" applyFont="1"/>
    <xf borderId="0" fillId="0" fontId="16" numFmtId="0" xfId="0" applyAlignment="1" applyFont="1">
      <alignment horizontal="right"/>
    </xf>
    <xf borderId="0" fillId="0" fontId="1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16" numFmtId="0" xfId="0" applyAlignment="1" applyFont="1">
      <alignment vertical="bottom"/>
    </xf>
    <xf borderId="0" fillId="2" fontId="16" numFmtId="167" xfId="0" applyAlignment="1" applyFont="1" applyNumberFormat="1">
      <alignment horizontal="right"/>
    </xf>
    <xf borderId="0" fillId="15" fontId="16" numFmtId="0" xfId="0" applyAlignment="1" applyFont="1">
      <alignment horizontal="right" vertical="bottom"/>
    </xf>
    <xf borderId="0" fillId="0" fontId="16" numFmtId="167" xfId="0" applyAlignment="1" applyFont="1" applyNumberFormat="1">
      <alignment vertical="bottom"/>
    </xf>
    <xf borderId="0" fillId="16" fontId="16" numFmtId="0" xfId="0" applyAlignment="1" applyFont="1">
      <alignment vertical="bottom"/>
    </xf>
    <xf borderId="0" fillId="16" fontId="16" numFmtId="0" xfId="0" applyAlignment="1" applyFont="1">
      <alignment horizontal="right" vertical="bottom"/>
    </xf>
    <xf borderId="0" fillId="10" fontId="16" numFmtId="0" xfId="0" applyAlignment="1" applyFont="1">
      <alignment horizontal="right" vertical="bottom"/>
    </xf>
    <xf borderId="0" fillId="17" fontId="16" numFmtId="0" xfId="0" applyAlignment="1" applyFont="1">
      <alignment vertical="bottom"/>
    </xf>
    <xf borderId="0" fillId="17" fontId="16" numFmtId="0" xfId="0" applyAlignment="1" applyFont="1">
      <alignment horizontal="right" vertical="bottom"/>
    </xf>
    <xf borderId="0" fillId="19" fontId="16" numFmtId="0" xfId="0" applyAlignment="1" applyFont="1">
      <alignment vertical="bottom"/>
    </xf>
    <xf borderId="0" fillId="19" fontId="16" numFmtId="0" xfId="0" applyAlignment="1" applyFont="1">
      <alignment horizontal="right" vertical="bottom"/>
    </xf>
    <xf borderId="27" fillId="0" fontId="15" numFmtId="0" xfId="0" applyAlignment="1" applyBorder="1" applyFont="1">
      <alignment shrinkToFit="0" wrapText="1"/>
    </xf>
    <xf borderId="32" fillId="16" fontId="15" numFmtId="0" xfId="0" applyAlignment="1" applyBorder="1" applyFont="1">
      <alignment shrinkToFit="0" wrapText="1"/>
    </xf>
    <xf borderId="28" fillId="0" fontId="8" numFmtId="0" xfId="0" applyBorder="1" applyFont="1"/>
    <xf borderId="32" fillId="17" fontId="15" numFmtId="0" xfId="0" applyAlignment="1" applyBorder="1" applyFont="1">
      <alignment shrinkToFit="0" wrapText="1"/>
    </xf>
    <xf borderId="32" fillId="19" fontId="15" numFmtId="0" xfId="0" applyAlignment="1" applyBorder="1" applyFont="1">
      <alignment shrinkToFit="0" wrapText="1"/>
    </xf>
    <xf borderId="15" fillId="4" fontId="16" numFmtId="0" xfId="0" applyAlignment="1" applyBorder="1" applyFont="1">
      <alignment shrinkToFit="0" wrapText="1"/>
    </xf>
    <xf borderId="15" fillId="0" fontId="16" numFmtId="0" xfId="0" applyAlignment="1" applyBorder="1" applyFont="1">
      <alignment shrinkToFit="0" wrapText="1"/>
    </xf>
    <xf borderId="15" fillId="0" fontId="16" numFmtId="0" xfId="0" applyAlignment="1" applyBorder="1" applyFont="1">
      <alignment horizontal="right" shrinkToFit="0" wrapText="1"/>
    </xf>
    <xf borderId="15" fillId="0" fontId="17" numFmtId="0" xfId="0" applyAlignment="1" applyBorder="1" applyFont="1">
      <alignment readingOrder="0" shrinkToFit="0" wrapText="1"/>
    </xf>
    <xf borderId="15" fillId="0" fontId="8" numFmtId="170" xfId="0" applyAlignment="1" applyBorder="1" applyFont="1" applyNumberFormat="1">
      <alignment readingOrder="0"/>
    </xf>
    <xf borderId="15" fillId="14" fontId="16" numFmtId="167" xfId="0" applyAlignment="1" applyBorder="1" applyFont="1" applyNumberFormat="1">
      <alignment horizontal="right"/>
    </xf>
    <xf borderId="15" fillId="15" fontId="16" numFmtId="0" xfId="0" applyAlignment="1" applyBorder="1" applyFont="1">
      <alignment horizontal="right"/>
    </xf>
    <xf borderId="19" fillId="0" fontId="16" numFmtId="0" xfId="0" applyAlignment="1" applyBorder="1" applyFont="1">
      <alignment horizontal="right"/>
    </xf>
    <xf borderId="20" fillId="0" fontId="8" numFmtId="0" xfId="0" applyBorder="1" applyFont="1"/>
    <xf borderId="15" fillId="16" fontId="16" numFmtId="0" xfId="0" applyAlignment="1" applyBorder="1" applyFont="1">
      <alignment horizontal="right"/>
    </xf>
    <xf borderId="15" fillId="17" fontId="16" numFmtId="0" xfId="0" applyAlignment="1" applyBorder="1" applyFont="1">
      <alignment horizontal="right"/>
    </xf>
    <xf borderId="15" fillId="19" fontId="16" numFmtId="0" xfId="0" applyAlignment="1" applyBorder="1" applyFont="1">
      <alignment horizontal="right"/>
    </xf>
    <xf borderId="0" fillId="0" fontId="16" numFmtId="0" xfId="0" applyAlignment="1" applyFont="1">
      <alignment horizontal="right" readingOrder="0"/>
    </xf>
    <xf borderId="26" fillId="13" fontId="1" numFmtId="0" xfId="0" applyAlignment="1" applyBorder="1" applyFont="1">
      <alignment readingOrder="0" vertical="bottom"/>
    </xf>
    <xf borderId="15" fillId="13" fontId="16" numFmtId="0" xfId="0" applyAlignment="1" applyBorder="1" applyFont="1">
      <alignment horizontal="right" readingOrder="0" vertical="bottom"/>
    </xf>
    <xf borderId="20" fillId="13" fontId="16" numFmtId="167" xfId="0" applyAlignment="1" applyBorder="1" applyFont="1" applyNumberFormat="1">
      <alignment horizontal="right" readingOrder="0"/>
    </xf>
    <xf borderId="19" fillId="13" fontId="16" numFmtId="0" xfId="0" applyAlignment="1" applyBorder="1" applyFont="1">
      <alignment horizontal="right"/>
    </xf>
    <xf borderId="15" fillId="16" fontId="16" numFmtId="0" xfId="0" applyAlignment="1" applyBorder="1" applyFont="1">
      <alignment horizontal="right" readingOrder="0"/>
    </xf>
    <xf borderId="15" fillId="23" fontId="16" numFmtId="0" xfId="0" applyAlignment="1" applyBorder="1" applyFill="1" applyFont="1">
      <alignment horizontal="right" readingOrder="0"/>
    </xf>
    <xf borderId="15" fillId="23" fontId="16" numFmtId="0" xfId="0" applyAlignment="1" applyBorder="1" applyFont="1">
      <alignment horizontal="right"/>
    </xf>
    <xf borderId="15" fillId="4" fontId="16" numFmtId="0" xfId="0" applyAlignment="1" applyBorder="1" applyFont="1">
      <alignment horizontal="right" readingOrder="0"/>
    </xf>
    <xf borderId="15" fillId="4" fontId="16" numFmtId="0" xfId="0" applyAlignment="1" applyBorder="1" applyFont="1">
      <alignment horizontal="right"/>
    </xf>
    <xf borderId="0" fillId="13" fontId="16" numFmtId="0" xfId="0" applyAlignment="1" applyFont="1">
      <alignment horizontal="right"/>
    </xf>
    <xf borderId="15" fillId="0" fontId="17" numFmtId="167" xfId="0" applyAlignment="1" applyBorder="1" applyFont="1" applyNumberFormat="1">
      <alignment horizontal="right" readingOrder="0"/>
    </xf>
    <xf borderId="20" fillId="0" fontId="16" numFmtId="167" xfId="0" applyAlignment="1" applyBorder="1" applyFont="1" applyNumberFormat="1">
      <alignment horizontal="right" readingOrder="0"/>
    </xf>
    <xf borderId="15" fillId="17" fontId="16" numFmtId="0" xfId="0" applyAlignment="1" applyBorder="1" applyFont="1">
      <alignment horizontal="right" readingOrder="0"/>
    </xf>
    <xf borderId="15" fillId="19" fontId="16" numFmtId="0" xfId="0" applyAlignment="1" applyBorder="1" applyFont="1">
      <alignment horizontal="right" readingOrder="0"/>
    </xf>
    <xf borderId="8" fillId="15" fontId="16" numFmtId="0" xfId="0" applyAlignment="1" applyBorder="1" applyFont="1">
      <alignment horizontal="right"/>
    </xf>
    <xf borderId="9" fillId="0" fontId="16" numFmtId="0" xfId="0" applyAlignment="1" applyBorder="1" applyFont="1">
      <alignment horizontal="right"/>
    </xf>
    <xf borderId="8" fillId="16" fontId="16" numFmtId="0" xfId="0" applyAlignment="1" applyBorder="1" applyFont="1">
      <alignment horizontal="right"/>
    </xf>
    <xf borderId="8" fillId="17" fontId="16" numFmtId="0" xfId="0" applyAlignment="1" applyBorder="1" applyFont="1">
      <alignment horizontal="right"/>
    </xf>
    <xf borderId="8" fillId="19" fontId="16" numFmtId="0" xfId="0" applyAlignment="1" applyBorder="1" applyFont="1">
      <alignment horizontal="right"/>
    </xf>
    <xf borderId="45" fillId="0" fontId="8" numFmtId="0" xfId="0" applyAlignment="1" applyBorder="1" applyFont="1">
      <alignment readingOrder="0"/>
    </xf>
    <xf borderId="52" fillId="0" fontId="8" numFmtId="0" xfId="0" applyBorder="1" applyFont="1"/>
    <xf borderId="53" fillId="0" fontId="8" numFmtId="0" xfId="0" applyBorder="1" applyFont="1"/>
    <xf borderId="53" fillId="0" fontId="18" numFmtId="0" xfId="0" applyAlignment="1" applyBorder="1" applyFont="1">
      <alignment horizontal="center" shrinkToFit="0" wrapText="1"/>
    </xf>
    <xf borderId="54" fillId="0" fontId="18" numFmtId="0" xfId="0" applyAlignment="1" applyBorder="1" applyFont="1">
      <alignment horizontal="center" shrinkToFit="0" wrapText="1"/>
    </xf>
    <xf borderId="52" fillId="0" fontId="3" numFmtId="0" xfId="0" applyBorder="1" applyFont="1"/>
    <xf borderId="55" fillId="0" fontId="3" numFmtId="0" xfId="0" applyBorder="1" applyFont="1"/>
    <xf borderId="52" fillId="0" fontId="18" numFmtId="0" xfId="0" applyAlignment="1" applyBorder="1" applyFont="1">
      <alignment horizontal="center" shrinkToFit="0" wrapText="1"/>
    </xf>
    <xf borderId="52" fillId="0" fontId="18" numFmtId="0" xfId="0" applyAlignment="1" applyBorder="1" applyFont="1">
      <alignment horizontal="center" readingOrder="0" shrinkToFit="0" wrapText="1"/>
    </xf>
    <xf borderId="41" fillId="0" fontId="4" numFmtId="0" xfId="0" applyAlignment="1" applyBorder="1" applyFont="1">
      <alignment horizontal="center" readingOrder="0" shrinkToFit="0" wrapText="1"/>
    </xf>
    <xf borderId="8" fillId="0" fontId="4" numFmtId="0" xfId="0" applyAlignment="1" applyBorder="1" applyFont="1">
      <alignment horizontal="center" readingOrder="0" shrinkToFit="0" wrapText="1"/>
    </xf>
    <xf borderId="15" fillId="0" fontId="2" numFmtId="164" xfId="0" applyAlignment="1" applyBorder="1" applyFont="1" applyNumberFormat="1">
      <alignment horizontal="center" shrinkToFit="0" wrapText="1"/>
    </xf>
    <xf borderId="15" fillId="0" fontId="15" numFmtId="0" xfId="0" applyAlignment="1" applyBorder="1" applyFont="1">
      <alignment readingOrder="0" shrinkToFit="0" wrapText="1"/>
    </xf>
    <xf borderId="15" fillId="24" fontId="15" numFmtId="0" xfId="0" applyAlignment="1" applyBorder="1" applyFill="1" applyFont="1">
      <alignment shrinkToFit="0" wrapText="1"/>
    </xf>
    <xf borderId="15" fillId="24" fontId="8" numFmtId="0" xfId="0" applyAlignment="1" applyBorder="1" applyFont="1">
      <alignment readingOrder="0"/>
    </xf>
    <xf borderId="5" fillId="25" fontId="15" numFmtId="0" xfId="0" applyAlignment="1" applyBorder="1" applyFill="1" applyFont="1">
      <alignment shrinkToFit="0" wrapText="1"/>
    </xf>
    <xf borderId="2" fillId="25" fontId="15" numFmtId="0" xfId="0" applyAlignment="1" applyBorder="1" applyFont="1">
      <alignment shrinkToFit="0" wrapText="1"/>
    </xf>
    <xf borderId="25" fillId="25" fontId="8" numFmtId="0" xfId="0" applyBorder="1" applyFont="1"/>
    <xf borderId="1" fillId="26" fontId="15" numFmtId="0" xfId="0" applyAlignment="1" applyBorder="1" applyFill="1" applyFont="1">
      <alignment shrinkToFit="0" wrapText="1"/>
    </xf>
    <xf borderId="2" fillId="26" fontId="15" numFmtId="0" xfId="0" applyAlignment="1" applyBorder="1" applyFont="1">
      <alignment shrinkToFit="0" wrapText="1"/>
    </xf>
    <xf borderId="2" fillId="26" fontId="8" numFmtId="0" xfId="0" applyBorder="1" applyFont="1"/>
    <xf borderId="25" fillId="27" fontId="15" numFmtId="0" xfId="0" applyAlignment="1" applyBorder="1" applyFill="1" applyFont="1">
      <alignment shrinkToFit="0" wrapText="1"/>
    </xf>
    <xf borderId="1" fillId="27" fontId="15" numFmtId="0" xfId="0" applyAlignment="1" applyBorder="1" applyFont="1">
      <alignment shrinkToFit="0" wrapText="1"/>
    </xf>
    <xf borderId="2" fillId="27" fontId="15" numFmtId="0" xfId="0" applyAlignment="1" applyBorder="1" applyFont="1">
      <alignment shrinkToFit="0" wrapText="1"/>
    </xf>
    <xf borderId="25" fillId="27" fontId="8" numFmtId="0" xfId="0" applyBorder="1" applyFont="1"/>
    <xf borderId="1" fillId="28" fontId="15" numFmtId="0" xfId="0" applyAlignment="1" applyBorder="1" applyFill="1" applyFont="1">
      <alignment shrinkToFit="0" wrapText="1"/>
    </xf>
    <xf borderId="2" fillId="28" fontId="15" numFmtId="0" xfId="0" applyAlignment="1" applyBorder="1" applyFont="1">
      <alignment shrinkToFit="0" wrapText="1"/>
    </xf>
    <xf borderId="2" fillId="28" fontId="8" numFmtId="0" xfId="0" applyBorder="1" applyFont="1"/>
    <xf borderId="2" fillId="0" fontId="15" numFmtId="0" xfId="0" applyAlignment="1" applyBorder="1" applyFont="1">
      <alignment shrinkToFit="0" wrapText="1"/>
    </xf>
    <xf borderId="2" fillId="0" fontId="8" numFmtId="0" xfId="0" applyBorder="1" applyFont="1"/>
    <xf borderId="15" fillId="0" fontId="21" numFmtId="0" xfId="0" applyBorder="1" applyFont="1"/>
    <xf borderId="15" fillId="0" fontId="8" numFmtId="167" xfId="0" applyBorder="1" applyFont="1" applyNumberFormat="1"/>
    <xf borderId="15" fillId="24" fontId="8" numFmtId="167" xfId="0" applyBorder="1" applyFont="1" applyNumberFormat="1"/>
    <xf borderId="15" fillId="24" fontId="8" numFmtId="0" xfId="0" applyAlignment="1" applyBorder="1" applyFont="1">
      <alignment vertical="bottom"/>
    </xf>
    <xf borderId="18" fillId="25" fontId="8" numFmtId="0" xfId="0" applyAlignment="1" applyBorder="1" applyFont="1">
      <alignment vertical="bottom"/>
    </xf>
    <xf borderId="15" fillId="25" fontId="8" numFmtId="0" xfId="0" applyAlignment="1" applyBorder="1" applyFont="1">
      <alignment vertical="bottom"/>
    </xf>
    <xf borderId="19" fillId="25" fontId="8" numFmtId="0" xfId="0" applyAlignment="1" applyBorder="1" applyFont="1">
      <alignment vertical="bottom"/>
    </xf>
    <xf borderId="20" fillId="26" fontId="8" numFmtId="0" xfId="0" applyAlignment="1" applyBorder="1" applyFont="1">
      <alignment vertical="bottom"/>
    </xf>
    <xf borderId="15" fillId="26" fontId="8" numFmtId="0" xfId="0" applyAlignment="1" applyBorder="1" applyFont="1">
      <alignment vertical="bottom"/>
    </xf>
    <xf borderId="19" fillId="27" fontId="8" numFmtId="0" xfId="0" applyAlignment="1" applyBorder="1" applyFont="1">
      <alignment vertical="bottom"/>
    </xf>
    <xf borderId="20" fillId="27" fontId="8" numFmtId="0" xfId="0" applyAlignment="1" applyBorder="1" applyFont="1">
      <alignment vertical="bottom"/>
    </xf>
    <xf borderId="15" fillId="27" fontId="8" numFmtId="0" xfId="0" applyAlignment="1" applyBorder="1" applyFont="1">
      <alignment vertical="bottom"/>
    </xf>
    <xf borderId="20" fillId="28" fontId="8" numFmtId="0" xfId="0" applyAlignment="1" applyBorder="1" applyFont="1">
      <alignment vertical="bottom"/>
    </xf>
    <xf borderId="15" fillId="28" fontId="8" numFmtId="0" xfId="0" applyAlignment="1" applyBorder="1" applyFont="1">
      <alignment vertical="bottom"/>
    </xf>
    <xf borderId="15" fillId="0" fontId="19" numFmtId="167" xfId="0" applyAlignment="1" applyBorder="1" applyFont="1" applyNumberFormat="1">
      <alignment horizontal="right"/>
    </xf>
    <xf borderId="15" fillId="0" fontId="19" numFmtId="0" xfId="0" applyAlignment="1" applyBorder="1" applyFont="1">
      <alignment horizontal="right" readingOrder="0"/>
    </xf>
    <xf borderId="15" fillId="24" fontId="19" numFmtId="167" xfId="0" applyAlignment="1" applyBorder="1" applyFont="1" applyNumberFormat="1">
      <alignment horizontal="right"/>
    </xf>
    <xf borderId="15" fillId="24" fontId="16" numFmtId="0" xfId="0" applyAlignment="1" applyBorder="1" applyFont="1">
      <alignment horizontal="right" vertical="bottom"/>
    </xf>
    <xf borderId="18" fillId="25" fontId="8" numFmtId="0" xfId="0" applyBorder="1" applyFont="1"/>
    <xf borderId="15" fillId="25" fontId="8" numFmtId="0" xfId="0" applyBorder="1" applyFont="1"/>
    <xf borderId="19" fillId="25" fontId="8" numFmtId="0" xfId="0" applyBorder="1" applyFont="1"/>
    <xf borderId="20" fillId="26" fontId="8" numFmtId="0" xfId="0" applyBorder="1" applyFont="1"/>
    <xf borderId="15" fillId="26" fontId="8" numFmtId="0" xfId="0" applyBorder="1" applyFont="1"/>
    <xf borderId="19" fillId="27" fontId="8" numFmtId="0" xfId="0" applyBorder="1" applyFont="1"/>
    <xf borderId="20" fillId="27" fontId="8" numFmtId="0" xfId="0" applyBorder="1" applyFont="1"/>
    <xf borderId="15" fillId="27" fontId="8" numFmtId="0" xfId="0" applyBorder="1" applyFont="1"/>
    <xf borderId="20" fillId="28" fontId="8" numFmtId="0" xfId="0" applyBorder="1" applyFont="1"/>
    <xf borderId="15" fillId="28" fontId="8" numFmtId="0" xfId="0" applyBorder="1" applyFont="1"/>
    <xf borderId="15" fillId="0" fontId="21" numFmtId="0" xfId="0" applyAlignment="1" applyBorder="1" applyFont="1">
      <alignment vertical="bottom"/>
    </xf>
    <xf borderId="15" fillId="0" fontId="22" numFmtId="0" xfId="0" applyAlignment="1" applyBorder="1" applyFont="1">
      <alignment readingOrder="0" vertical="bottom"/>
    </xf>
    <xf borderId="15" fillId="0" fontId="22" numFmtId="0" xfId="0" applyAlignment="1" applyBorder="1" applyFont="1">
      <alignment readingOrder="0"/>
    </xf>
    <xf borderId="15" fillId="24" fontId="19" numFmtId="167" xfId="0" applyAlignment="1" applyBorder="1" applyFont="1" applyNumberFormat="1">
      <alignment horizontal="right" readingOrder="0"/>
    </xf>
    <xf borderId="15" fillId="24" fontId="16" numFmtId="0" xfId="0" applyAlignment="1" applyBorder="1" applyFont="1">
      <alignment horizontal="right" readingOrder="0" vertical="bottom"/>
    </xf>
    <xf borderId="15" fillId="0" fontId="21" numFmtId="0" xfId="0" applyAlignment="1" applyBorder="1" applyFont="1">
      <alignment readingOrder="0"/>
    </xf>
    <xf borderId="15" fillId="25" fontId="19" numFmtId="167" xfId="0" applyAlignment="1" applyBorder="1" applyFont="1" applyNumberFormat="1">
      <alignment horizontal="right" readingOrder="0"/>
    </xf>
    <xf borderId="15" fillId="25" fontId="16" numFmtId="0" xfId="0" applyAlignment="1" applyBorder="1" applyFont="1">
      <alignment horizontal="right" readingOrder="0" vertical="bottom"/>
    </xf>
    <xf borderId="15" fillId="25" fontId="16" numFmtId="0" xfId="0" applyAlignment="1" applyBorder="1" applyFont="1">
      <alignment horizontal="right" vertical="bottom"/>
    </xf>
    <xf borderId="19" fillId="25" fontId="16" numFmtId="0" xfId="0" applyAlignment="1" applyBorder="1" applyFont="1">
      <alignment horizontal="right" vertical="bottom"/>
    </xf>
    <xf borderId="15" fillId="26" fontId="19" numFmtId="167" xfId="0" applyAlignment="1" applyBorder="1" applyFont="1" applyNumberFormat="1">
      <alignment horizontal="right" readingOrder="0"/>
    </xf>
    <xf borderId="15" fillId="26" fontId="8" numFmtId="0" xfId="0" applyAlignment="1" applyBorder="1" applyFont="1">
      <alignment readingOrder="0" vertical="bottom"/>
    </xf>
    <xf borderId="15" fillId="28" fontId="19" numFmtId="167" xfId="0" applyAlignment="1" applyBorder="1" applyFont="1" applyNumberFormat="1">
      <alignment horizontal="right" readingOrder="0"/>
    </xf>
    <xf borderId="15" fillId="28" fontId="8" numFmtId="0" xfId="0" applyAlignment="1" applyBorder="1" applyFont="1">
      <alignment readingOrder="0" vertical="bottom"/>
    </xf>
    <xf borderId="15" fillId="0" fontId="19" numFmtId="167" xfId="0" applyAlignment="1" applyBorder="1" applyFont="1" applyNumberFormat="1">
      <alignment horizontal="right" readingOrder="0"/>
    </xf>
    <xf borderId="18" fillId="26" fontId="8" numFmtId="0" xfId="0" applyAlignment="1" applyBorder="1" applyFont="1">
      <alignment vertical="bottom"/>
    </xf>
    <xf borderId="18" fillId="28" fontId="8" numFmtId="0" xfId="0" applyAlignment="1" applyBorder="1" applyFont="1">
      <alignment vertical="bottom"/>
    </xf>
    <xf borderId="18" fillId="25" fontId="12" numFmtId="167" xfId="0" applyAlignment="1" applyBorder="1" applyFont="1" applyNumberFormat="1">
      <alignment readingOrder="0" vertical="bottom"/>
    </xf>
    <xf borderId="15" fillId="25" fontId="17" numFmtId="0" xfId="0" applyAlignment="1" applyBorder="1" applyFont="1">
      <alignment horizontal="right" readingOrder="0" vertical="bottom"/>
    </xf>
    <xf borderId="18" fillId="26" fontId="8" numFmtId="167" xfId="0" applyAlignment="1" applyBorder="1" applyFont="1" applyNumberFormat="1">
      <alignment readingOrder="0" vertical="bottom"/>
    </xf>
    <xf borderId="19" fillId="27" fontId="8" numFmtId="167" xfId="0" applyAlignment="1" applyBorder="1" applyFont="1" applyNumberFormat="1">
      <alignment readingOrder="0" vertical="bottom"/>
    </xf>
    <xf borderId="20" fillId="27" fontId="8" numFmtId="0" xfId="0" applyAlignment="1" applyBorder="1" applyFont="1">
      <alignment readingOrder="0" vertical="bottom"/>
    </xf>
    <xf borderId="0" fillId="27" fontId="8" numFmtId="0" xfId="0" applyAlignment="1" applyFont="1">
      <alignment readingOrder="0" vertical="bottom"/>
    </xf>
    <xf borderId="18" fillId="28" fontId="8" numFmtId="167" xfId="0" applyAlignment="1" applyBorder="1" applyFont="1" applyNumberFormat="1">
      <alignment readingOrder="0" vertical="bottom"/>
    </xf>
    <xf borderId="15" fillId="0" fontId="1" numFmtId="0" xfId="0" applyAlignment="1" applyBorder="1" applyFont="1">
      <alignment readingOrder="0" vertical="bottom"/>
    </xf>
    <xf borderId="15" fillId="0" fontId="21" numFmtId="0" xfId="0" applyAlignment="1" applyBorder="1" applyFont="1">
      <alignment horizontal="right" readingOrder="0"/>
    </xf>
    <xf borderId="0" fillId="27" fontId="8" numFmtId="0" xfId="0" applyAlignment="1" applyFont="1">
      <alignment vertical="bottom"/>
    </xf>
    <xf borderId="15" fillId="2" fontId="21" numFmtId="0" xfId="0" applyBorder="1" applyFont="1"/>
    <xf borderId="15" fillId="2" fontId="21" numFmtId="0" xfId="0" applyAlignment="1" applyBorder="1" applyFont="1">
      <alignment vertical="bottom"/>
    </xf>
    <xf borderId="26" fillId="2" fontId="1" numFmtId="0" xfId="0" applyAlignment="1" applyBorder="1" applyFont="1">
      <alignment readingOrder="0" vertical="bottom"/>
    </xf>
    <xf borderId="15" fillId="2" fontId="16" numFmtId="167" xfId="0" applyAlignment="1" applyBorder="1" applyFont="1" applyNumberFormat="1">
      <alignment horizontal="right"/>
    </xf>
    <xf borderId="15" fillId="2" fontId="16" numFmtId="0" xfId="0" applyAlignment="1" applyBorder="1" applyFont="1">
      <alignment horizontal="right" readingOrder="0"/>
    </xf>
    <xf borderId="15" fillId="24" fontId="16" numFmtId="167" xfId="0" applyAlignment="1" applyBorder="1" applyFont="1" applyNumberFormat="1">
      <alignment horizontal="right" readingOrder="0"/>
    </xf>
    <xf borderId="18" fillId="25" fontId="16" numFmtId="167" xfId="0" applyAlignment="1" applyBorder="1" applyFont="1" applyNumberFormat="1">
      <alignment horizontal="right"/>
    </xf>
    <xf borderId="20" fillId="22" fontId="8" numFmtId="0" xfId="0" applyBorder="1" applyFont="1"/>
    <xf borderId="15" fillId="22" fontId="8" numFmtId="0" xfId="0" applyBorder="1" applyFont="1"/>
    <xf borderId="0" fillId="22" fontId="8" numFmtId="0" xfId="0" applyFont="1"/>
    <xf borderId="15" fillId="24" fontId="8" numFmtId="167" xfId="0" applyAlignment="1" applyBorder="1" applyFont="1" applyNumberFormat="1">
      <alignment readingOrder="0"/>
    </xf>
    <xf borderId="20" fillId="28" fontId="8" numFmtId="167" xfId="0" applyAlignment="1" applyBorder="1" applyFont="1" applyNumberFormat="1">
      <alignment readingOrder="0"/>
    </xf>
    <xf borderId="15" fillId="28" fontId="8" numFmtId="0" xfId="0" applyAlignment="1" applyBorder="1" applyFont="1">
      <alignment readingOrder="0"/>
    </xf>
    <xf borderId="20" fillId="0" fontId="8" numFmtId="167" xfId="0" applyAlignment="1" applyBorder="1" applyFont="1" applyNumberFormat="1">
      <alignment readingOrder="0"/>
    </xf>
    <xf borderId="15" fillId="0" fontId="21" numFmtId="0" xfId="0" applyAlignment="1" applyBorder="1" applyFont="1">
      <alignment readingOrder="0" vertical="bottom"/>
    </xf>
    <xf borderId="15" fillId="24" fontId="8" numFmtId="0" xfId="0" applyAlignment="1" applyBorder="1" applyFont="1">
      <alignment readingOrder="0" vertical="bottom"/>
    </xf>
    <xf borderId="56" fillId="25" fontId="8" numFmtId="0" xfId="0" applyBorder="1" applyFont="1"/>
    <xf borderId="41" fillId="25" fontId="8" numFmtId="0" xfId="0" applyBorder="1" applyFont="1"/>
    <xf borderId="57" fillId="25" fontId="8" numFmtId="0" xfId="0" applyBorder="1" applyFont="1"/>
    <xf borderId="58" fillId="26" fontId="8" numFmtId="0" xfId="0" applyBorder="1" applyFont="1"/>
    <xf borderId="41" fillId="26" fontId="8" numFmtId="0" xfId="0" applyBorder="1" applyFont="1"/>
    <xf borderId="57" fillId="27" fontId="8" numFmtId="0" xfId="0" applyBorder="1" applyFont="1"/>
    <xf borderId="58" fillId="27" fontId="8" numFmtId="0" xfId="0" applyBorder="1" applyFont="1"/>
    <xf borderId="41" fillId="27" fontId="8" numFmtId="0" xfId="0" applyBorder="1" applyFont="1"/>
    <xf borderId="58" fillId="28" fontId="8" numFmtId="0" xfId="0" applyBorder="1" applyFont="1"/>
    <xf borderId="41" fillId="28" fontId="8" numFmtId="0" xfId="0" applyBorder="1" applyFont="1"/>
    <xf borderId="58" fillId="0" fontId="8" numFmtId="0" xfId="0" applyAlignment="1" applyBorder="1" applyFont="1">
      <alignment readingOrder="0"/>
    </xf>
    <xf borderId="41" fillId="0" fontId="8" numFmtId="0" xfId="0" applyBorder="1" applyFont="1"/>
    <xf borderId="15" fillId="0" fontId="6" numFmtId="0" xfId="0" applyBorder="1" applyFont="1"/>
    <xf borderId="15" fillId="24" fontId="6" numFmtId="0" xfId="0" applyBorder="1" applyFont="1"/>
    <xf borderId="59" fillId="0" fontId="8" numFmtId="0" xfId="0" applyAlignment="1" applyBorder="1" applyFont="1">
      <alignment readingOrder="0"/>
    </xf>
    <xf borderId="59" fillId="0" fontId="8" numFmtId="0" xfId="0" applyBorder="1" applyFont="1"/>
    <xf borderId="33" fillId="0" fontId="23" numFmtId="0" xfId="0" applyAlignment="1" applyBorder="1" applyFont="1">
      <alignment horizontal="center"/>
    </xf>
    <xf borderId="35" fillId="0" fontId="3" numFmtId="0" xfId="0" applyBorder="1" applyFont="1"/>
    <xf borderId="59" fillId="0" fontId="2" numFmtId="0" xfId="0" applyAlignment="1" applyBorder="1" applyFont="1">
      <alignment shrinkToFit="0" wrapText="1"/>
    </xf>
    <xf borderId="59" fillId="0" fontId="2" numFmtId="0" xfId="0" applyAlignment="1" applyBorder="1" applyFont="1">
      <alignment horizontal="center"/>
    </xf>
    <xf borderId="59" fillId="0" fontId="8" numFmtId="0" xfId="0" applyAlignment="1" applyBorder="1" applyFont="1">
      <alignment readingOrder="0"/>
    </xf>
    <xf borderId="59" fillId="0" fontId="2" numFmtId="0" xfId="0" applyAlignment="1" applyBorder="1" applyFont="1">
      <alignment horizontal="center" shrinkToFit="0" wrapText="1"/>
    </xf>
    <xf borderId="26" fillId="29" fontId="1" numFmtId="0" xfId="0" applyAlignment="1" applyBorder="1" applyFill="1" applyFont="1">
      <alignment vertical="bottom"/>
    </xf>
    <xf borderId="26" fillId="29" fontId="1" numFmtId="0" xfId="0" applyAlignment="1" applyBorder="1" applyFont="1">
      <alignment readingOrder="0" vertical="bottom"/>
    </xf>
    <xf borderId="10" fillId="29" fontId="1" numFmtId="167" xfId="0" applyAlignment="1" applyBorder="1" applyFont="1" applyNumberFormat="1">
      <alignment horizontal="center" readingOrder="0" vertical="bottom"/>
    </xf>
    <xf borderId="10" fillId="29" fontId="1" numFmtId="0" xfId="0" applyAlignment="1" applyBorder="1" applyFont="1">
      <alignment horizontal="right" readingOrder="0" vertical="bottom"/>
    </xf>
    <xf borderId="10" fillId="29" fontId="1" numFmtId="0" xfId="0" applyAlignment="1" applyBorder="1" applyFont="1">
      <alignment horizontal="right" vertical="bottom"/>
    </xf>
    <xf borderId="15" fillId="21" fontId="1" numFmtId="0" xfId="0" applyAlignment="1" applyBorder="1" applyFont="1">
      <alignment vertical="bottom"/>
    </xf>
    <xf borderId="15" fillId="21" fontId="8" numFmtId="0" xfId="0" applyAlignment="1" applyBorder="1" applyFont="1">
      <alignment vertical="bottom"/>
    </xf>
    <xf borderId="15" fillId="21" fontId="1" numFmtId="167" xfId="0" applyAlignment="1" applyBorder="1" applyFont="1" applyNumberFormat="1">
      <alignment horizontal="center" vertical="bottom"/>
    </xf>
    <xf borderId="15" fillId="21" fontId="1" numFmtId="0" xfId="0" applyAlignment="1" applyBorder="1" applyFont="1">
      <alignment horizontal="right" vertical="bottom"/>
    </xf>
    <xf borderId="15" fillId="29" fontId="1" numFmtId="0" xfId="0" applyAlignment="1" applyBorder="1" applyFont="1">
      <alignment vertical="bottom"/>
    </xf>
    <xf borderId="15" fillId="29" fontId="1" numFmtId="167" xfId="0" applyAlignment="1" applyBorder="1" applyFont="1" applyNumberFormat="1">
      <alignment horizontal="center" readingOrder="0" vertical="bottom"/>
    </xf>
    <xf borderId="15" fillId="29" fontId="1" numFmtId="0" xfId="0" applyAlignment="1" applyBorder="1" applyFont="1">
      <alignment horizontal="right" readingOrder="0" vertical="bottom"/>
    </xf>
    <xf borderId="15" fillId="29" fontId="5" numFmtId="0" xfId="0" applyAlignment="1" applyBorder="1" applyFont="1">
      <alignment horizontal="right" readingOrder="0" vertical="bottom"/>
    </xf>
    <xf borderId="15" fillId="29" fontId="1" numFmtId="0" xfId="0" applyAlignment="1" applyBorder="1" applyFont="1">
      <alignment horizontal="right" vertical="bottom"/>
    </xf>
    <xf borderId="15" fillId="30" fontId="1" numFmtId="0" xfId="0" applyAlignment="1" applyBorder="1" applyFill="1" applyFont="1">
      <alignment vertical="bottom"/>
    </xf>
    <xf borderId="15" fillId="30" fontId="1" numFmtId="167" xfId="0" applyAlignment="1" applyBorder="1" applyFont="1" applyNumberFormat="1">
      <alignment horizontal="center" readingOrder="0" vertical="bottom"/>
    </xf>
    <xf borderId="15" fillId="30" fontId="8" numFmtId="0" xfId="0" applyAlignment="1" applyBorder="1" applyFont="1">
      <alignment vertical="bottom"/>
    </xf>
    <xf borderId="15" fillId="30" fontId="1" numFmtId="0" xfId="0" applyAlignment="1" applyBorder="1" applyFont="1">
      <alignment horizontal="right" vertical="bottom"/>
    </xf>
    <xf borderId="10" fillId="30" fontId="1" numFmtId="0" xfId="0" applyAlignment="1" applyBorder="1" applyFont="1">
      <alignment horizontal="right" vertical="bottom"/>
    </xf>
    <xf borderId="0" fillId="0" fontId="24" numFmtId="0" xfId="0" applyAlignment="1" applyFont="1">
      <alignment vertical="bottom"/>
    </xf>
    <xf borderId="15" fillId="30" fontId="1" numFmtId="0" xfId="0" applyAlignment="1" applyBorder="1" applyFont="1">
      <alignment horizontal="right" readingOrder="0" vertical="bottom"/>
    </xf>
    <xf borderId="15" fillId="29" fontId="1" numFmtId="0" xfId="0" applyAlignment="1" applyBorder="1" applyFont="1">
      <alignment readingOrder="0" vertical="bottom"/>
    </xf>
    <xf borderId="15" fillId="29" fontId="17" numFmtId="0" xfId="0" applyAlignment="1" applyBorder="1" applyFont="1">
      <alignment horizontal="right" readingOrder="0" vertical="bottom"/>
    </xf>
    <xf borderId="15" fillId="29" fontId="1" numFmtId="171" xfId="0" applyAlignment="1" applyBorder="1" applyFont="1" applyNumberFormat="1">
      <alignment horizontal="center" readingOrder="0" vertical="bottom"/>
    </xf>
    <xf borderId="15" fillId="29" fontId="8" numFmtId="0" xfId="0" applyAlignment="1" applyBorder="1" applyFont="1">
      <alignment vertical="bottom"/>
    </xf>
    <xf borderId="0" fillId="29" fontId="25" numFmtId="0" xfId="0" applyAlignment="1" applyFont="1">
      <alignment readingOrder="0"/>
    </xf>
    <xf borderId="15" fillId="29" fontId="8" numFmtId="171" xfId="0" applyAlignment="1" applyBorder="1" applyFont="1" applyNumberFormat="1">
      <alignment readingOrder="0" vertical="bottom"/>
    </xf>
    <xf borderId="15" fillId="29" fontId="8" numFmtId="0" xfId="0" applyAlignment="1" applyBorder="1" applyFont="1">
      <alignment horizontal="right" readingOrder="0" vertical="bottom"/>
    </xf>
    <xf borderId="15" fillId="29" fontId="12" numFmtId="0" xfId="0" applyAlignment="1" applyBorder="1" applyFont="1">
      <alignment horizontal="right" readingOrder="0" vertical="bottom"/>
    </xf>
    <xf borderId="15" fillId="29" fontId="8" numFmtId="0" xfId="0" applyAlignment="1" applyBorder="1" applyFont="1">
      <alignment readingOrder="0" vertical="bottom"/>
    </xf>
    <xf borderId="15" fillId="29" fontId="8" numFmtId="170" xfId="0" applyAlignment="1" applyBorder="1" applyFont="1" applyNumberFormat="1">
      <alignment readingOrder="0" vertical="bottom"/>
    </xf>
    <xf borderId="15" fillId="29" fontId="8" numFmtId="0" xfId="0" applyAlignment="1" applyBorder="1" applyFont="1">
      <alignment horizontal="right" vertical="bottom"/>
    </xf>
    <xf borderId="0" fillId="0" fontId="15" numFmtId="0" xfId="0" applyAlignment="1" applyFont="1">
      <alignment horizontal="center" readingOrder="0" shrinkToFit="0" wrapText="1"/>
    </xf>
    <xf borderId="0" fillId="0" fontId="15" numFmtId="0" xfId="0" applyAlignment="1" applyFont="1">
      <alignment horizontal="center" shrinkToFit="0" wrapText="1"/>
    </xf>
    <xf borderId="0" fillId="13" fontId="15" numFmtId="0" xfId="0" applyAlignment="1" applyFont="1">
      <alignment horizontal="center" readingOrder="0" shrinkToFit="0" wrapText="1"/>
    </xf>
    <xf borderId="0" fillId="31" fontId="15" numFmtId="0" xfId="0" applyAlignment="1" applyFill="1" applyFont="1">
      <alignment horizontal="center" shrinkToFit="0" wrapText="1"/>
    </xf>
    <xf borderId="0" fillId="2" fontId="8" numFmtId="0" xfId="0" applyFont="1"/>
    <xf borderId="15" fillId="0" fontId="15" numFmtId="0" xfId="0" applyAlignment="1" applyBorder="1" applyFont="1">
      <alignment horizontal="center" readingOrder="0" shrinkToFit="0" wrapText="1"/>
    </xf>
    <xf borderId="15" fillId="13" fontId="15" numFmtId="0" xfId="0" applyAlignment="1" applyBorder="1" applyFont="1">
      <alignment horizontal="center" readingOrder="0" shrinkToFit="0" wrapText="1"/>
    </xf>
    <xf borderId="15" fillId="31" fontId="15" numFmtId="0" xfId="0" applyAlignment="1" applyBorder="1" applyFont="1">
      <alignment horizontal="center" shrinkToFit="0" wrapText="1"/>
    </xf>
    <xf borderId="15" fillId="31" fontId="16" numFmtId="167" xfId="0" applyAlignment="1" applyBorder="1" applyFont="1" applyNumberFormat="1">
      <alignment horizontal="right" readingOrder="0" vertical="bottom"/>
    </xf>
    <xf borderId="15" fillId="13" fontId="16" numFmtId="0" xfId="0" applyAlignment="1" applyBorder="1" applyFont="1">
      <alignment horizontal="right" readingOrder="0"/>
    </xf>
    <xf borderId="15" fillId="31" fontId="16" numFmtId="167" xfId="0" applyAlignment="1" applyBorder="1" applyFont="1" applyNumberFormat="1">
      <alignment horizontal="right" readingOrder="0"/>
    </xf>
    <xf borderId="15" fillId="0" fontId="16" numFmtId="0" xfId="0" applyAlignment="1" applyBorder="1" applyFont="1">
      <alignment readingOrder="0" vertical="bottom"/>
    </xf>
    <xf borderId="0" fillId="0" fontId="6" numFmtId="3" xfId="0" applyFont="1" applyNumberFormat="1"/>
    <xf borderId="0" fillId="0" fontId="6" numFmtId="172" xfId="0" applyFont="1" applyNumberFormat="1"/>
    <xf borderId="0" fillId="0" fontId="6" numFmtId="175" xfId="0" applyFont="1" applyNumberFormat="1"/>
    <xf borderId="0" fillId="0" fontId="6" numFmtId="170" xfId="0" applyFont="1" applyNumberFormat="1"/>
    <xf borderId="0" fillId="0" fontId="6" numFmtId="176" xfId="0" applyFont="1" applyNumberFormat="1"/>
    <xf borderId="0" fillId="0" fontId="6" numFmtId="177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miro Gomez" id="{928ad0d0-69c9-4e68-a2d5-9b72a334e52b}" providerId="google-sheets"/>
  <x18tc:person displayName="Patricio Dunstan" id="{67fea83f-d6b3-43a1-b905-d563daf9fab1}" providerId="google-sheets"/>
  <x18tc:person displayName="Eduard Sandoval" id="{ff1e4e32-89ab-4d4a-89b5-be5da392bab7}" providerId="google-sheets"/>
  <x18tc:person displayName="Yesenia Catalan" id="{408b55b7-fd7e-4726-9236-abdc0dd468b7}" providerId="google-sheets"/>
  <x18tc:person displayName="Jorge Arias {Constructora Harcha}" id="{d48f6f0e-d4c7-480f-a474-1916e13339a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5" dT="2025-05-26T21:51:50.00" personId="{ff1e4e32-89ab-4d4a-89b5-be5da392bab7}" id="{af2bdc47-25be-4d77-a835-ae66a723c464}" done="1">
    <x18tc:text xml:space="preserve">panna</x18tc:text>
  </x18tc:threadedComment>
  <x18tc:threadedComment ref="A28" dT="2025-12-02T14:50:58.00" personId="{67fea83f-d6b3-43a1-b905-d563daf9fab1}" id="{59cc4c02-fb97-4fdb-8999-096024370acc}" done="1">
    <x18tc:text xml:space="preserve">panne soto</x18tc:text>
  </x18tc:threadedComment>
  <x18tc:threadedComment ref="A25" dT="2025-08-12T18:21:36.00" personId="{ff1e4e32-89ab-4d4a-89b5-be5da392bab7}" id="{46f9c152-6d31-480d-b3c4-3e395f45d438}" done="1">
    <x18tc:text xml:space="preserve">en panna, se va a lanco</x18tc:text>
  </x18tc:threadedComment>
  <x18tc:threadedComment ref="A19" dT="2025-09-12T19:19:54.00" personId="{ff1e4e32-89ab-4d4a-89b5-be5da392bab7}" id="{201208c3-5fad-45b5-82e3-d853cc27156a}" done="1">
    <x18tc:text xml:space="preserve">REPARACION LANCO</x18tc:text>
  </x18tc:threadedComment>
  <x18tc:threadedComment ref="A29" dT="2025-08-05T19:10:39.00" personId="{ff1e4e32-89ab-4d4a-89b5-be5da392bab7}" id="{3b2603d4-bb09-4694-8571-c0433fcfc6e9}" done="1">
    <x18tc:text xml:space="preserve">mantenimiento salfasur</x18tc:text>
  </x18tc:threadedComment>
  <x18tc:threadedComment ref="A42" dT="2025-09-12T19:12:22.00" personId="{ff1e4e32-89ab-4d4a-89b5-be5da392bab7}" id="{aab37e5c-b124-4a09-8b2e-e7acbfb110c9}" done="1">
    <x18tc:text xml:space="preserve">Reparación</x18tc:text>
  </x18tc:threadedComment>
  <x18tc:threadedComment ref="A36" dT="2025-07-29T18:51:13.00" personId="{ff1e4e32-89ab-4d4a-89b5-be5da392bab7}" id="{f2d73f35-c512-4da4-bd84-dc58e9e254ed}" done="1">
    <x18tc:text xml:space="preserve">chocada</x18tc:text>
  </x18tc:threadedComment>
  <x18tc:threadedComment ref="A29" dT="2025-09-12T19:21:00.00" personId="{ff1e4e32-89ab-4d4a-89b5-be5da392bab7}" id="{36aefe6a-8eb0-4073-94a0-a691dfac390a}" done="1">
    <x18tc:text xml:space="preserve">REPARACION SALFA</x18tc:text>
  </x18tc:threadedComment>
  <x18tc:threadedComment ref="A25" dT="2025-06-09T15:13:51.00" personId="{ff1e4e32-89ab-4d4a-89b5-be5da392bab7}" id="{80fa1640-1bfc-4faa-8674-56860e187ee3}" done="1">
    <x18tc:text xml:space="preserve">Panna</x18tc:text>
  </x18tc:threadedComment>
  <x18tc:threadedComment ref="A25" dT="2025-09-12T19:20:31.00" personId="{ff1e4e32-89ab-4d4a-89b5-be5da392bab7}" id="{d3228b92-bce5-4b4f-8860-2acd5d800ea2}" done="1">
    <x18tc:text xml:space="preserve">REPARACION LANCO</x18tc:text>
  </x18tc:threadedComment>
  <x18tc:threadedComment ref="A47" dT="2025-07-29T18:50:55.00" personId="{ff1e4e32-89ab-4d4a-89b5-be5da392bab7}" id="{0c7713ff-d20e-464f-875b-234fa111feb9}" done="1">
    <x18tc:text xml:space="preserve">reparación castillo valdivia</x18tc:text>
  </x18tc:threadedComment>
  <x18tc:threadedComment ref="F20" dT="2025-06-03T13:43:18.00" personId="{67fea83f-d6b3-43a1-b905-d563daf9fab1}" id="{a3016d39-cb2c-44a6-9e2b-21ab08eeca6c}" done="1">
    <x18tc:text xml:space="preserve">no actualizado desde ultimo repo</x18tc:text>
  </x18tc:threadedComment>
  <x18tc:threadedComment ref="F15" dT="2025-06-03T13:46:01.00" personId="{67fea83f-d6b3-43a1-b905-d563daf9fab1}" id="{229e5df5-57ad-4b0f-ac10-f9161fa918ef}" done="1">
    <x18tc:text xml:space="preserve">03/06/2025   264434</x18tc:text>
  </x18tc:threadedComment>
  <x18tc:threadedComment ref="A16" dT="2025-07-29T16:43:41.00" personId="{ff1e4e32-89ab-4d4a-89b5-be5da392bab7}" id="{f53d7bd1-a81b-4ac2-8265-6bbdee55e280}" done="1">
    <x18tc:text xml:space="preserve">reparación en castillo Valdivia</x18tc:text>
  </x18tc:threadedComment>
  <x18tc:threadedComment ref="A26" dT="2025-07-28T19:07:57.00" personId="{ff1e4e32-89ab-4d4a-89b5-be5da392bab7}" id="{317787cd-607a-4446-9b61-f957ff62ed22}" done="1">
    <x18tc:text xml:space="preserve">Parada en la entrada a taller</x18tc:text>
  </x18tc:threadedComment>
  <x18tc:threadedComment ref="B27" dT="2025-06-09T21:46:07.00" personId="{ff1e4e32-89ab-4d4a-89b5-be5da392bab7}" id="{da5cd897-2873-4be8-b5e3-77b45643c7a3}" done="1">
    <x18tc:text xml:space="preserve">nunca la arreglaron, la llevan a taller externo</x18tc:text>
  </x18tc:threadedComment>
  <x18tc:threadedComment ref="A28" dT="2025-07-28T19:06:05.00" personId="{ff1e4e32-89ab-4d4a-89b5-be5da392bab7}" id="{9abeed2b-a205-4cce-ba18-6abbad74e44b}" done="1">
    <x18tc:text xml:space="preserve">En taller</x18tc:text>
  </x18tc:threadedComment>
  <x18tc:threadedComment ref="H4" dT="2025-03-14T13:26:02.00" personId="{928ad0d0-69c9-4e68-a2d5-9b72a334e52b}" id="{04cac3fa-233a-471b-ac3e-46cc61ad52bd}" done="0">
    <x18tc:text xml:space="preserve">No tendrá documentación, solo trabajo interno</x18tc:text>
  </x18tc:threadedComment>
  <x18tc:threadedComment ref="I4" dT="2025-03-14T13:26:12.00" personId="{928ad0d0-69c9-4e68-a2d5-9b72a334e52b}" id="{f562568a-fb73-4907-b04a-fc65ce55fca7}" done="0">
    <x18tc:text xml:space="preserve">No tendrá documentación, solo trabajo interno</x18tc:text>
  </x18tc:threadedComment>
  <x18tc:threadedComment ref="A1" dT="2025-02-17T17:54:01.00" personId="{d48f6f0e-d4c7-480f-a474-1916e13339a0}" id="{ce21b570-2720-406b-afcd-79624f55c862}" done="0">
    <x18tc:text xml:space="preserve">J.DEERE</x18tc:text>
  </x18tc:threadedComment>
  <x18tc:threadedComment ref="A1" dT="2025-02-17T18:20:54.00" personId="{67fea83f-d6b3-43a1-b905-d563daf9fab1}" id="{331648d5-e9eb-4a5c-8e3e-60344641cedd}" parentId="{ce21b570-2720-406b-afcd-79624f55c862}">
    <x18tc:text xml:space="preserve">realizado el cambio</x18tc:text>
  </x18tc:threadedComment>
  <x18tc:threadedComment ref="B15" dT="2025-06-09T21:47:23.00" personId="{ff1e4e32-89ab-4d4a-89b5-be5da392bab7}" id="{474f033c-13d2-45e4-8759-0a5f15641822}" done="1">
    <x18tc:text xml:space="preserve">en panna, en casa de coronado</x18tc:text>
  </x18tc:threadedComment>
  <x18tc:threadedComment ref="A42" dT="2025-12-02T14:06:20.00" personId="{67fea83f-d6b3-43a1-b905-d563daf9fab1}" id="{7055c6a4-914c-4635-80a4-f148eff44ca4}" done="1">
    <x18tc:text xml:space="preserve">volcada</x18tc:text>
  </x18tc:threadedComment>
  <x18tc:threadedComment ref="A47" dT="2025-07-29T16:42:27.00" personId="{ff1e4e32-89ab-4d4a-89b5-be5da392bab7}" id="{da02fa45-c4a2-400a-95db-350348ed6c1b}" done="1">
    <x18tc:text xml:space="preserve">castillo Valdivia</x18tc:text>
  </x18tc:threadedComment>
  <x18tc:threadedComment ref="A42" dT="2025-09-12T19:22:14.00" personId="{ff1e4e32-89ab-4d4a-89b5-be5da392bab7}" id="{1a6948ea-6033-430f-b080-76c5082b7195}" done="1">
    <x18tc:text xml:space="preserve">REPARACION ECMA TALLER</x18tc:text>
  </x18tc:threadedComment>
  <x18tc:threadedComment ref="G4" dT="2025-03-14T13:25:53.00" personId="{928ad0d0-69c9-4e68-a2d5-9b72a334e52b}" id="{d333e460-6b24-485d-b646-aee85db87da8}" done="0">
    <x18tc:text xml:space="preserve">No tendrá documentación, solo trabajo interno</x18tc:text>
  </x18tc:threadedComment>
  <x18tc:threadedComment ref="A6" dT="2025-12-02T14:49:37.00" personId="{67fea83f-d6b3-43a1-b905-d563daf9fab1}" id="{8fd271a7-9e98-4699-a172-da0936525116}" done="1">
    <x18tc:text xml:space="preserve">panne taller</x18tc:text>
  </x18tc:threadedComment>
  <x18tc:threadedComment ref="A1" dT="2025-02-17T17:51:31.00" personId="{d48f6f0e-d4c7-480f-a474-1916e13339a0}" id="{e1720476-066f-4b5e-8570-d047a29dba69}" done="0">
    <x18tc:text xml:space="preserve">emilinar,  se  vendio</x18tc:text>
  </x18tc:threadedComment>
  <x18tc:threadedComment ref="A1" dT="2025-02-17T18:20:13.00" personId="{67fea83f-d6b3-43a1-b905-d563daf9fab1}" id="{575e67ae-463d-4da5-b298-241bdf5b390f}" parentId="{e1720476-066f-4b5e-8570-d047a29dba69}">
    <x18tc:text xml:space="preserve">los dejare con el estado para acordarme mientras lo implemento en la aplicación de harcha maquinaria</x18tc:text>
  </x18tc:threadedComment>
  <x18tc:threadedComment ref="A1" dT="2025-02-17T17:52:08.00" personId="{d48f6f0e-d4c7-480f-a474-1916e13339a0}" id="{30a310c9-2060-457f-abcc-fcb25799d117}" done="0">
    <x18tc:text xml:space="preserve">eliminar  esta desarmada como domente</x18tc:text>
  </x18tc:threadedComment>
  <x18tc:threadedComment ref="A1" dT="2025-02-17T18:20:32.00" personId="{67fea83f-d6b3-43a1-b905-d563daf9fab1}" id="{baccb98b-9135-41d5-9f9b-a4cd171b4fb2}" parentId="{30a310c9-2060-457f-abcc-fcb25799d117}">
    <x18tc:text xml:space="preserve">la dejare con el estado para acordarme mientras lo implemento en la aplicación de harcha maquinaria</x18tc:text>
  </x18tc:threadedComment>
  <x18tc:threadedComment ref="B36" dT="2025-05-26T21:46:19.00" personId="{ff1e4e32-89ab-4d4a-89b5-be5da392bab7}" id="{3cf5cdd2-392a-40fe-8928-4f346cc9e807}" done="1">
    <x18tc:text xml:space="preserve">chocada</x18tc:text>
  </x18tc:threadedComment>
  <x18tc:threadedComment ref="A13" dT="2025-12-02T14:49:51.00" personId="{67fea83f-d6b3-43a1-b905-d563daf9fab1}" id="{51d758b2-b816-4520-a0ec-17aab33f3c78}" done="1">
    <x18tc:text xml:space="preserve">panne valdivia</x18tc:text>
  </x18tc:threadedComment>
  <x18tc:threadedComment ref="F17" dT="2025-06-03T13:49:42.00" personId="{67fea83f-d6b3-43a1-b905-d563daf9fab1}" id="{9c0af73a-4798-4f9d-9429-d61060b768c1}" done="1">
    <x18tc:text xml:space="preserve">03/06/2025  362286</x18tc:text>
  </x18tc:threadedComment>
  <x18tc:threadedComment ref="A1" dT="2025-02-17T17:52:58.00" personId="{d48f6f0e-d4c7-480f-a474-1916e13339a0}" id="{0f3700e0-d9a1-4a31-a69c-6b892046ee25}" done="0">
    <x18tc:text xml:space="preserve">eliminar,  esta  como reliquia, entrada oficina</x18tc:text>
  </x18tc:threadedComment>
  <x18tc:threadedComment ref="A1" dT="2025-02-17T18:20:37.00" personId="{67fea83f-d6b3-43a1-b905-d563daf9fab1}" id="{cfe9e5c8-982f-4a61-9e36-3ddc02dca069}" parentId="{0f3700e0-d9a1-4a31-a69c-6b892046ee25}">
    <x18tc:text xml:space="preserve">los dejare con el estado para acordarme mientras lo implemento en la aplicación de harcha maquinaria</x18tc:text>
  </x18tc:threadedComment>
  <x18tc:threadedComment ref="A16" dT="2025-12-02T14:50:23.00" personId="{67fea83f-d6b3-43a1-b905-d563daf9fab1}" id="{bd07b2f3-eb7b-4dd0-a3c5-1f74d3ca29fd}" done="1">
    <x18tc:text xml:space="preserve">panne lanco</x18tc:text>
  </x18tc:threadedComment>
  <x18tc:threadedComment ref="A1" dT="2025-02-18T14:36:36.00" personId="{408b55b7-fd7e-4726-9236-abdc0dd468b7}" id="{6ec8a499-22dc-4220-a073-e3aad196b5e9}" done="0">
    <x18tc:text xml:space="preserve">la patente es RCKP0</x18tc:text>
  </x18tc:threadedComment>
  <x18tc:threadedComment ref="A1" dT="2025-02-17T17:53:40.00" personId="{d48f6f0e-d4c7-480f-a474-1916e13339a0}" id="{5cc7559b-72d9-47f8-b91b-03652dbffd7b}" done="0">
    <x18tc:text xml:space="preserve">JCB</x18tc:text>
  </x18tc:threadedComment>
  <x18tc:threadedComment ref="A1" dT="2025-02-17T18:20:45.00" personId="{67fea83f-d6b3-43a1-b905-d563daf9fab1}" id="{beaab679-5b36-4a09-a3e2-671ac2a1c56d}" parentId="{5cc7559b-72d9-47f8-b91b-03652dbffd7b}">
    <x18tc:text xml:space="preserve">realizado el cambio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9" dT="2025-03-14T13:25:23.00" personId="{928ad0d0-69c9-4e68-a2d5-9b72a334e52b}" id="{47323619-d3d0-4a73-83e0-70bd40ba0f25}" done="0">
    <x18tc:text xml:space="preserve">No tendrá documentación, solo trabajo interno</x18tc:text>
  </x18tc:threadedComment>
  <x18tc:threadedComment ref="I19" dT="2025-03-14T13:25:16.00" personId="{928ad0d0-69c9-4e68-a2d5-9b72a334e52b}" id="{b1fd1ac5-c8cb-4f83-a501-06121ab42476}" done="0">
    <x18tc:text xml:space="preserve">No tendrá documentación, solo trabajo interno</x18tc:text>
  </x18tc:threadedComment>
  <x18tc:threadedComment ref="A23" dT="2025-02-21T14:47:45.00" personId="{67fea83f-d6b3-43a1-b905-d563daf9fab1}" id="{efa359d9-00c4-4f30-b582-b7b7d7480e9e}" done="1">
    <x18tc:text xml:space="preserve">hora en repo mal ingresadas</x18tc:text>
  </x18tc:threadedComment>
  <x18tc:threadedComment ref="A46" dT="2025-06-02T21:36:00.00" personId="{ff1e4e32-89ab-4d4a-89b5-be5da392bab7}" id="{b02d380c-38f5-4e21-a084-e1afbc16e53f}" done="1">
    <x18tc:text xml:space="preserve">taller</x18tc:text>
  </x18tc:threadedComment>
  <x18tc:threadedComment ref="A48" dT="2025-06-10T13:04:19.00" personId="{67fea83f-d6b3-43a1-b905-d563daf9fab1}" id="{732fdb20-83ad-43ef-b852-e8233c0b318f}" done="0">
    <x18tc:text xml:space="preserve">En Patio Desarmado</x18tc:text>
  </x18tc:threadedComment>
  <x18tc:threadedComment ref="J19" dT="2025-03-14T13:25:37.00" personId="{928ad0d0-69c9-4e68-a2d5-9b72a334e52b}" id="{754a2cb6-fcbe-41f4-bdac-05e5844e679d}" done="0">
    <x18tc:text xml:space="preserve">No tendrá documentación, solo trabajo interno</x18tc:text>
  </x18tc:threadedComment>
  <x18tc:threadedComment ref="A34" dT="2025-08-06T12:33:17.00" personId="{ff1e4e32-89ab-4d4a-89b5-be5da392bab7}" id="{307c8f30-fca2-462b-92ce-860b8728c704}" done="1">
    <x18tc:text xml:space="preserve">camión volcado</x18tc:text>
  </x18tc:threadedComment>
  <x18tc:threadedComment ref="A55" dT="2025-06-09T18:59:06.00" personId="{67fea83f-d6b3-43a1-b905-d563daf9fab1}" id="{b206fc14-a15a-44d1-a715-3b264c6a3796}" done="1">
    <x18tc:text xml:space="preserve">TALLER</x18tc:text>
  </x18tc:threadedComment>
  <x18tc:threadedComment ref="A24" dT="2025-06-02T20:34:43.00" personId="{ff1e4e32-89ab-4d4a-89b5-be5da392bab7}" id="{78ccd0cf-e673-4ead-a32e-666090528ba0}" done="1">
    <x18tc:text xml:space="preserve">EN REPARACION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" dT="2025-06-24T14:42:59.00" personId="{ff1e4e32-89ab-4d4a-89b5-be5da392bab7}" id="{de89d613-1519-4373-a050-77e7eecd6304}" done="1">
    <x18tc:text xml:space="preserve">Patio taller</x18tc:text>
  </x18tc:threadedComment>
  <x18tc:threadedComment ref="A10" dT="2025-06-24T14:53:11.00" personId="{ff1e4e32-89ab-4d4a-89b5-be5da392bab7}" id="{c5ff3adb-753a-4a88-a214-7f228b86209f}" done="1">
    <x18tc:text xml:space="preserve">reparando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7" dT="2025-06-24T14:42:27.00" personId="{ff1e4e32-89ab-4d4a-89b5-be5da392bab7}" id="{9876509d-afff-4891-a38a-5af887eaf854}" done="1">
    <x18tc:text xml:space="preserve">Patio taller</x18tc:text>
  </x18tc:threadedComment>
  <x18tc:threadedComment ref="A8" dT="2025-07-08T14:33:10.00" personId="{ff1e4e32-89ab-4d4a-89b5-be5da392bab7}" id="{1b4aec59-3c4c-432b-baf4-3eb49aa741fd}" done="1">
    <x18tc:text xml:space="preserve">EN PATIO</x18tc:text>
  </x18tc:threadedComment>
  <x18tc:threadedComment ref="A5" dT="2025-07-08T14:33:00.00" personId="{ff1e4e32-89ab-4d4a-89b5-be5da392bab7}" id="{d2c0f195-026e-4b1f-8b0f-ad59974f7510}" done="1">
    <x18tc:text xml:space="preserve">EN PATIO</x18tc:text>
  </x18tc:threadedComment>
  <x18tc:threadedComment ref="A10" dT="2025-12-09T01:13:11.00" personId="{67fea83f-d6b3-43a1-b905-d563daf9fab1}" id="{6e2dcf42-dd51-4e70-9b6a-1009714efe69}" done="1">
    <x18tc:text xml:space="preserve">correo con mantención 05/12 pero no veo OT en sistema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0" dT="2025-07-30T19:22:36.00" personId="{928ad0d0-69c9-4e68-a2d5-9b72a334e52b}" id="{257310bb-2287-4a80-b77f-f65c820584fc}" done="0">
    <x18tc:text xml:space="preserve">NO SE PUEDE INSCRIBIR YA QU FUE COMPRADA POR PIEZAS. SINIESTRADA</x18tc:text>
  </x18tc:threadedComment>
  <x18tc:threadedComment ref="E12" dT="2025-07-30T19:25:39.00" personId="{928ad0d0-69c9-4e68-a2d5-9b72a334e52b}" id="{9033bc53-9f44-431d-8460-39f6611aa2db}" done="0">
    <x18tc:text xml:space="preserve">NO SE PUEDE INSCRIBIR YA QU FUE COMPRADA POR PIEZAS. SINIESTRADA</x18tc:text>
  </x18tc:threadedComment>
  <x18tc:threadedComment ref="E12" dT="2025-07-30T19:24:56.00" personId="{928ad0d0-69c9-4e68-a2d5-9b72a334e52b}" id="{3e1ccd2a-c728-40bf-857a-591253a29b2a}" done="1">
    <x18tc:text xml:space="preserve">NO SE PUEDE INSCRIBIR YA QUE ES COMPRA DE PARTES Y PIEZAS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6" dT="2025-06-17T16:00:18.00" personId="{67fea83f-d6b3-43a1-b905-d563daf9fab1}" id="{dfe72356-a24c-41a0-a301-ca184d2ae8a9}" done="1">
    <x18tc:text xml:space="preserve">parado en patio</x18tc:text>
  </x18tc:threadedComment>
  <x18tc:threadedComment ref="A9" dT="2025-05-27T16:24:38.00" personId="{ff1e4e32-89ab-4d4a-89b5-be5da392bab7}" id="{aed86829-a1b4-471b-80dd-9d9e899f0cd4}" done="0">
    <x18tc:text xml:space="preserve">EN PANNA MAS DE 1 MES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8.75"/>
    <col customWidth="1" min="3" max="3" width="14.63"/>
    <col customWidth="1" min="4" max="4" width="14.38"/>
    <col customWidth="1" min="5" max="5" width="8.38"/>
    <col customWidth="1" min="6" max="6" width="9.5"/>
  </cols>
  <sheetData>
    <row r="1">
      <c r="A1" s="1">
        <v>44.0</v>
      </c>
      <c r="B1" s="2"/>
      <c r="C1" s="2"/>
      <c r="D1" s="2"/>
      <c r="E1" s="2"/>
      <c r="F1" s="3"/>
      <c r="G1" s="3"/>
      <c r="H1" s="4"/>
      <c r="I1" s="5"/>
      <c r="J1" s="6" t="s">
        <v>0</v>
      </c>
      <c r="K1" s="7"/>
      <c r="L1" s="7"/>
      <c r="M1" s="8"/>
      <c r="N1" s="6" t="s">
        <v>1</v>
      </c>
      <c r="O1" s="7"/>
      <c r="P1" s="7"/>
      <c r="Q1" s="8"/>
      <c r="R1" s="9" t="s">
        <v>2</v>
      </c>
      <c r="S1" s="7"/>
      <c r="T1" s="7"/>
      <c r="U1" s="8"/>
      <c r="V1" s="6" t="s">
        <v>3</v>
      </c>
      <c r="W1" s="7"/>
      <c r="X1" s="7"/>
      <c r="Y1" s="10"/>
    </row>
    <row r="2">
      <c r="A2" s="11" t="s">
        <v>4</v>
      </c>
      <c r="B2" s="12" t="s">
        <v>5</v>
      </c>
      <c r="C2" s="12" t="s">
        <v>6</v>
      </c>
      <c r="D2" s="13" t="s">
        <v>7</v>
      </c>
      <c r="E2" s="13" t="s">
        <v>8</v>
      </c>
      <c r="F2" s="14" t="s">
        <v>9</v>
      </c>
      <c r="G2" s="14" t="s">
        <v>10</v>
      </c>
      <c r="H2" s="15" t="s">
        <v>11</v>
      </c>
      <c r="I2" s="16" t="s">
        <v>12</v>
      </c>
      <c r="J2" s="12" t="s">
        <v>13</v>
      </c>
      <c r="K2" s="17" t="s">
        <v>14</v>
      </c>
      <c r="L2" s="17" t="s">
        <v>15</v>
      </c>
      <c r="M2" s="18" t="s">
        <v>16</v>
      </c>
      <c r="N2" s="12" t="s">
        <v>13</v>
      </c>
      <c r="O2" s="19" t="s">
        <v>14</v>
      </c>
      <c r="P2" s="19" t="s">
        <v>15</v>
      </c>
      <c r="Q2" s="20"/>
      <c r="R2" s="12" t="s">
        <v>13</v>
      </c>
      <c r="S2" s="21" t="s">
        <v>14</v>
      </c>
      <c r="T2" s="21" t="s">
        <v>15</v>
      </c>
      <c r="U2" s="20"/>
      <c r="V2" s="12" t="s">
        <v>13</v>
      </c>
      <c r="W2" s="22" t="s">
        <v>17</v>
      </c>
      <c r="X2" s="23" t="s">
        <v>15</v>
      </c>
      <c r="Y2" s="24"/>
      <c r="AA2" s="25" t="s">
        <v>18</v>
      </c>
    </row>
    <row r="3">
      <c r="A3" s="26" t="s">
        <v>19</v>
      </c>
      <c r="B3" s="26" t="s">
        <v>20</v>
      </c>
      <c r="C3" s="26" t="s">
        <v>21</v>
      </c>
      <c r="D3" s="27" t="s">
        <v>22</v>
      </c>
      <c r="E3" s="26"/>
      <c r="F3" s="28" t="str">
        <f t="array" ref="F3:F1001">IF(A3:A1001="", "", 
  IF(E3:E1001="KM", 
    IFERROR(VLOOKUP(A3:A1001, DATA_LIMPIA!A:C, 3, FALSE), 0), 
    IFERROR(VLOOKUP(A3:A1001, DATA_LIMPIA!A:C, 2, FALSE), 0)
  )
)</f>
        <v/>
      </c>
      <c r="G3" s="29">
        <v>45747.0</v>
      </c>
      <c r="H3" s="30">
        <v>45747.0</v>
      </c>
      <c r="I3" s="31">
        <v>45808.0</v>
      </c>
      <c r="J3" s="32">
        <v>45335.0</v>
      </c>
      <c r="K3" s="33">
        <v>274000.0</v>
      </c>
      <c r="L3" s="34">
        <f t="shared" ref="L3:L11" si="1">K3+10000</f>
        <v>284000</v>
      </c>
      <c r="M3" s="35">
        <f t="shared" ref="M3:M31" si="2">+L3-F3</f>
        <v>284000</v>
      </c>
      <c r="N3" s="32">
        <v>45184.0</v>
      </c>
      <c r="O3" s="33">
        <v>253714.0</v>
      </c>
      <c r="P3" s="34">
        <f t="shared" ref="P3:P29" si="3">O3+40000</f>
        <v>293714</v>
      </c>
      <c r="Q3" s="36">
        <f t="shared" ref="Q3:Q31" si="4">+P3-F3</f>
        <v>293714</v>
      </c>
      <c r="R3" s="32">
        <v>45184.0</v>
      </c>
      <c r="S3" s="33">
        <v>253714.0</v>
      </c>
      <c r="T3" s="34">
        <f t="shared" ref="T3:T29" si="5">S3+40000</f>
        <v>293714</v>
      </c>
      <c r="U3" s="36">
        <f t="shared" ref="U3:U31" si="6">+T3-F3</f>
        <v>293714</v>
      </c>
      <c r="V3" s="37"/>
      <c r="W3" s="38"/>
      <c r="X3" s="34">
        <f t="shared" ref="X3:X29" si="7">W3+40000</f>
        <v>40000</v>
      </c>
      <c r="Y3" s="39">
        <f t="shared" ref="Y3:Y5" si="8">+X3-F3</f>
        <v>40000</v>
      </c>
      <c r="AA3" s="25" t="s">
        <v>23</v>
      </c>
    </row>
    <row r="4">
      <c r="A4" s="40" t="s">
        <v>24</v>
      </c>
      <c r="B4" s="41" t="s">
        <v>25</v>
      </c>
      <c r="C4" s="42" t="s">
        <v>26</v>
      </c>
      <c r="D4" s="43" t="s">
        <v>27</v>
      </c>
      <c r="E4" s="44" t="s">
        <v>28</v>
      </c>
      <c r="F4" s="45">
        <v>379583.0</v>
      </c>
      <c r="G4" s="46" t="s">
        <v>29</v>
      </c>
      <c r="H4" s="47" t="s">
        <v>29</v>
      </c>
      <c r="I4" s="48" t="s">
        <v>29</v>
      </c>
      <c r="J4" s="49">
        <v>45259.0</v>
      </c>
      <c r="K4" s="50">
        <v>372000.0</v>
      </c>
      <c r="L4" s="51">
        <f t="shared" si="1"/>
        <v>382000</v>
      </c>
      <c r="M4" s="52">
        <f t="shared" si="2"/>
        <v>2417</v>
      </c>
      <c r="N4" s="49">
        <v>45079.0</v>
      </c>
      <c r="O4" s="53">
        <v>362000.0</v>
      </c>
      <c r="P4" s="53">
        <f t="shared" si="3"/>
        <v>402000</v>
      </c>
      <c r="Q4" s="54">
        <f t="shared" si="4"/>
        <v>22417</v>
      </c>
      <c r="R4" s="49">
        <v>45079.0</v>
      </c>
      <c r="S4" s="55">
        <v>362000.0</v>
      </c>
      <c r="T4" s="55">
        <f t="shared" si="5"/>
        <v>402000</v>
      </c>
      <c r="U4" s="54">
        <f t="shared" si="6"/>
        <v>22417</v>
      </c>
      <c r="V4" s="49">
        <v>45079.0</v>
      </c>
      <c r="W4" s="56">
        <v>362000.0</v>
      </c>
      <c r="X4" s="57">
        <f t="shared" si="7"/>
        <v>402000</v>
      </c>
      <c r="Y4" s="54">
        <f t="shared" si="8"/>
        <v>22417</v>
      </c>
      <c r="Z4" s="25" t="s">
        <v>30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</row>
    <row r="5">
      <c r="A5" s="58" t="s">
        <v>31</v>
      </c>
      <c r="B5" s="58" t="s">
        <v>32</v>
      </c>
      <c r="C5" s="59" t="s">
        <v>26</v>
      </c>
      <c r="D5" s="60" t="s">
        <v>22</v>
      </c>
      <c r="E5" s="61" t="s">
        <v>28</v>
      </c>
      <c r="F5" s="62">
        <v>332383.0</v>
      </c>
      <c r="G5" s="63">
        <v>45900.0</v>
      </c>
      <c r="H5" s="64">
        <v>46112.0</v>
      </c>
      <c r="I5" s="65">
        <v>45838.0</v>
      </c>
      <c r="J5" s="66">
        <v>45695.0</v>
      </c>
      <c r="K5" s="67">
        <v>329498.0</v>
      </c>
      <c r="L5" s="68">
        <f t="shared" si="1"/>
        <v>339498</v>
      </c>
      <c r="M5" s="69">
        <f t="shared" si="2"/>
        <v>7115</v>
      </c>
      <c r="N5" s="66">
        <v>45695.0</v>
      </c>
      <c r="O5" s="67">
        <v>329498.0</v>
      </c>
      <c r="P5" s="68">
        <f t="shared" si="3"/>
        <v>369498</v>
      </c>
      <c r="Q5" s="70">
        <f t="shared" si="4"/>
        <v>37115</v>
      </c>
      <c r="R5" s="66">
        <v>45695.0</v>
      </c>
      <c r="S5" s="67">
        <v>329498.0</v>
      </c>
      <c r="T5" s="68">
        <f t="shared" si="5"/>
        <v>369498</v>
      </c>
      <c r="U5" s="70">
        <f t="shared" si="6"/>
        <v>37115</v>
      </c>
      <c r="V5" s="66">
        <v>45695.0</v>
      </c>
      <c r="W5" s="67">
        <v>329498.0</v>
      </c>
      <c r="X5" s="68">
        <f t="shared" si="7"/>
        <v>369498</v>
      </c>
      <c r="Y5" s="70">
        <f t="shared" si="8"/>
        <v>37115</v>
      </c>
      <c r="Z5" s="25" t="s">
        <v>30</v>
      </c>
      <c r="AA5" s="25" t="s">
        <v>33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</row>
    <row r="6">
      <c r="A6" s="71" t="s">
        <v>34</v>
      </c>
      <c r="B6" s="72" t="s">
        <v>35</v>
      </c>
      <c r="C6" s="73" t="s">
        <v>36</v>
      </c>
      <c r="D6" s="43" t="s">
        <v>37</v>
      </c>
      <c r="E6" s="44" t="s">
        <v>28</v>
      </c>
      <c r="F6" s="45">
        <v>386791.0</v>
      </c>
      <c r="G6" s="74">
        <v>46112.0</v>
      </c>
      <c r="H6" s="75">
        <v>46112.0</v>
      </c>
      <c r="I6" s="76">
        <v>46257.0</v>
      </c>
      <c r="J6" s="77">
        <v>46036.0</v>
      </c>
      <c r="K6" s="78">
        <v>384316.0</v>
      </c>
      <c r="L6" s="51">
        <f t="shared" si="1"/>
        <v>394316</v>
      </c>
      <c r="M6" s="52">
        <f t="shared" si="2"/>
        <v>7525</v>
      </c>
      <c r="N6" s="77">
        <v>45861.0</v>
      </c>
      <c r="O6" s="79">
        <v>374027.0</v>
      </c>
      <c r="P6" s="53">
        <f t="shared" si="3"/>
        <v>414027</v>
      </c>
      <c r="Q6" s="54">
        <f t="shared" si="4"/>
        <v>27236</v>
      </c>
      <c r="R6" s="77">
        <v>45861.0</v>
      </c>
      <c r="S6" s="80">
        <v>374027.0</v>
      </c>
      <c r="T6" s="55">
        <f t="shared" si="5"/>
        <v>414027</v>
      </c>
      <c r="U6" s="54">
        <f t="shared" si="6"/>
        <v>27236</v>
      </c>
      <c r="V6" s="77"/>
      <c r="W6" s="81"/>
      <c r="X6" s="57">
        <f t="shared" si="7"/>
        <v>40000</v>
      </c>
      <c r="Y6" s="82" t="s">
        <v>38</v>
      </c>
      <c r="Z6" s="25" t="s">
        <v>39</v>
      </c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</row>
    <row r="7">
      <c r="A7" s="71" t="s">
        <v>40</v>
      </c>
      <c r="B7" s="72" t="s">
        <v>41</v>
      </c>
      <c r="C7" s="73" t="s">
        <v>42</v>
      </c>
      <c r="D7" s="43" t="s">
        <v>37</v>
      </c>
      <c r="E7" s="44" t="s">
        <v>28</v>
      </c>
      <c r="F7" s="83">
        <v>449279.0</v>
      </c>
      <c r="G7" s="74">
        <v>46112.0</v>
      </c>
      <c r="H7" s="75">
        <v>46112.0</v>
      </c>
      <c r="I7" s="84">
        <v>46174.0</v>
      </c>
      <c r="J7" s="77">
        <v>46084.0</v>
      </c>
      <c r="K7" s="85">
        <v>449209.0</v>
      </c>
      <c r="L7" s="51">
        <f t="shared" si="1"/>
        <v>459209</v>
      </c>
      <c r="M7" s="52">
        <f t="shared" si="2"/>
        <v>9930</v>
      </c>
      <c r="N7" s="77">
        <v>45912.0</v>
      </c>
      <c r="O7" s="79">
        <v>426711.0</v>
      </c>
      <c r="P7" s="53">
        <f t="shared" si="3"/>
        <v>466711</v>
      </c>
      <c r="Q7" s="54">
        <f t="shared" si="4"/>
        <v>17432</v>
      </c>
      <c r="R7" s="77">
        <v>45912.0</v>
      </c>
      <c r="S7" s="80">
        <v>426711.0</v>
      </c>
      <c r="T7" s="55">
        <f t="shared" si="5"/>
        <v>466711</v>
      </c>
      <c r="U7" s="54">
        <f t="shared" si="6"/>
        <v>17432</v>
      </c>
      <c r="V7" s="86"/>
      <c r="W7" s="87"/>
      <c r="X7" s="57">
        <f t="shared" si="7"/>
        <v>40000</v>
      </c>
      <c r="Y7" s="82" t="s">
        <v>38</v>
      </c>
      <c r="Z7" s="25" t="s">
        <v>39</v>
      </c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</row>
    <row r="8">
      <c r="A8" s="88" t="s">
        <v>43</v>
      </c>
      <c r="B8" s="88" t="s">
        <v>44</v>
      </c>
      <c r="C8" s="89" t="s">
        <v>45</v>
      </c>
      <c r="D8" s="90" t="s">
        <v>22</v>
      </c>
      <c r="E8" s="91"/>
      <c r="F8" s="92"/>
      <c r="G8" s="93"/>
      <c r="H8" s="94"/>
      <c r="I8" s="95"/>
      <c r="J8" s="96">
        <v>45042.0</v>
      </c>
      <c r="K8" s="97">
        <v>270000.0</v>
      </c>
      <c r="L8" s="98">
        <f t="shared" si="1"/>
        <v>280000</v>
      </c>
      <c r="M8" s="99">
        <f t="shared" si="2"/>
        <v>280000</v>
      </c>
      <c r="N8" s="96">
        <v>44897.0</v>
      </c>
      <c r="O8" s="97">
        <v>246725.0</v>
      </c>
      <c r="P8" s="98">
        <f t="shared" si="3"/>
        <v>286725</v>
      </c>
      <c r="Q8" s="100">
        <f t="shared" si="4"/>
        <v>286725</v>
      </c>
      <c r="R8" s="96">
        <v>44897.0</v>
      </c>
      <c r="S8" s="97">
        <v>246725.0</v>
      </c>
      <c r="T8" s="98">
        <f t="shared" si="5"/>
        <v>286725</v>
      </c>
      <c r="U8" s="100">
        <f t="shared" si="6"/>
        <v>286725</v>
      </c>
      <c r="V8" s="101"/>
      <c r="W8" s="102"/>
      <c r="X8" s="98">
        <f t="shared" si="7"/>
        <v>40000</v>
      </c>
      <c r="Y8" s="103">
        <f t="shared" ref="Y8:Y9" si="9">+X8-F8</f>
        <v>40000</v>
      </c>
    </row>
    <row r="9">
      <c r="A9" s="88" t="s">
        <v>46</v>
      </c>
      <c r="B9" s="88" t="s">
        <v>47</v>
      </c>
      <c r="C9" s="89" t="s">
        <v>48</v>
      </c>
      <c r="D9" s="90" t="s">
        <v>22</v>
      </c>
      <c r="E9" s="91"/>
      <c r="F9" s="92"/>
      <c r="G9" s="93"/>
      <c r="H9" s="94"/>
      <c r="I9" s="95"/>
      <c r="J9" s="96">
        <v>45149.0</v>
      </c>
      <c r="K9" s="97">
        <v>270000.0</v>
      </c>
      <c r="L9" s="98">
        <f t="shared" si="1"/>
        <v>280000</v>
      </c>
      <c r="M9" s="99">
        <f t="shared" si="2"/>
        <v>280000</v>
      </c>
      <c r="N9" s="96">
        <v>45149.0</v>
      </c>
      <c r="O9" s="97">
        <v>267115.0</v>
      </c>
      <c r="P9" s="98">
        <f t="shared" si="3"/>
        <v>307115</v>
      </c>
      <c r="Q9" s="100">
        <f t="shared" si="4"/>
        <v>307115</v>
      </c>
      <c r="R9" s="96">
        <v>45149.0</v>
      </c>
      <c r="S9" s="97">
        <v>267115.0</v>
      </c>
      <c r="T9" s="98">
        <f t="shared" si="5"/>
        <v>307115</v>
      </c>
      <c r="U9" s="100">
        <f t="shared" si="6"/>
        <v>307115</v>
      </c>
      <c r="V9" s="96">
        <v>45149.0</v>
      </c>
      <c r="W9" s="97">
        <v>267115.0</v>
      </c>
      <c r="X9" s="98">
        <f t="shared" si="7"/>
        <v>307115</v>
      </c>
      <c r="Y9" s="100">
        <f t="shared" si="9"/>
        <v>307115</v>
      </c>
    </row>
    <row r="10">
      <c r="A10" s="104" t="s">
        <v>49</v>
      </c>
      <c r="B10" s="105" t="s">
        <v>50</v>
      </c>
      <c r="C10" s="73" t="s">
        <v>48</v>
      </c>
      <c r="D10" s="43" t="s">
        <v>37</v>
      </c>
      <c r="E10" s="44" t="s">
        <v>28</v>
      </c>
      <c r="F10" s="106">
        <v>364846.0</v>
      </c>
      <c r="G10" s="74">
        <v>46112.0</v>
      </c>
      <c r="H10" s="75">
        <v>46112.0</v>
      </c>
      <c r="I10" s="107">
        <v>46327.0</v>
      </c>
      <c r="J10" s="77">
        <v>46071.0</v>
      </c>
      <c r="K10" s="108">
        <v>361779.0</v>
      </c>
      <c r="L10" s="51">
        <f t="shared" si="1"/>
        <v>371779</v>
      </c>
      <c r="M10" s="52">
        <f t="shared" si="2"/>
        <v>6933</v>
      </c>
      <c r="N10" s="77">
        <v>45812.0</v>
      </c>
      <c r="O10" s="79">
        <v>329856.0</v>
      </c>
      <c r="P10" s="53">
        <f t="shared" si="3"/>
        <v>369856</v>
      </c>
      <c r="Q10" s="54">
        <f t="shared" si="4"/>
        <v>5010</v>
      </c>
      <c r="R10" s="77">
        <v>45812.0</v>
      </c>
      <c r="S10" s="80">
        <v>329856.0</v>
      </c>
      <c r="T10" s="55">
        <f t="shared" si="5"/>
        <v>369856</v>
      </c>
      <c r="U10" s="109">
        <f t="shared" si="6"/>
        <v>5010</v>
      </c>
      <c r="V10" s="110">
        <v>45203.0</v>
      </c>
      <c r="W10" s="81">
        <v>262655.0</v>
      </c>
      <c r="X10" s="57">
        <f t="shared" si="7"/>
        <v>302655</v>
      </c>
      <c r="Y10" s="82" t="s">
        <v>38</v>
      </c>
      <c r="Z10" s="25" t="s">
        <v>39</v>
      </c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</row>
    <row r="11">
      <c r="A11" s="88" t="s">
        <v>51</v>
      </c>
      <c r="B11" s="88" t="s">
        <v>52</v>
      </c>
      <c r="C11" s="89" t="s">
        <v>48</v>
      </c>
      <c r="D11" s="90" t="s">
        <v>22</v>
      </c>
      <c r="E11" s="91"/>
      <c r="F11" s="92"/>
      <c r="G11" s="111"/>
      <c r="H11" s="94"/>
      <c r="I11" s="95"/>
      <c r="J11" s="96">
        <v>45306.0</v>
      </c>
      <c r="K11" s="97">
        <v>300000.0</v>
      </c>
      <c r="L11" s="98">
        <f t="shared" si="1"/>
        <v>310000</v>
      </c>
      <c r="M11" s="99">
        <f t="shared" si="2"/>
        <v>310000</v>
      </c>
      <c r="N11" s="101"/>
      <c r="O11" s="97">
        <v>242000.0</v>
      </c>
      <c r="P11" s="98">
        <f t="shared" si="3"/>
        <v>282000</v>
      </c>
      <c r="Q11" s="103">
        <f t="shared" si="4"/>
        <v>282000</v>
      </c>
      <c r="R11" s="101"/>
      <c r="S11" s="97">
        <v>242000.0</v>
      </c>
      <c r="T11" s="98">
        <f t="shared" si="5"/>
        <v>282000</v>
      </c>
      <c r="U11" s="103">
        <f t="shared" si="6"/>
        <v>282000</v>
      </c>
      <c r="V11" s="101"/>
      <c r="W11" s="102"/>
      <c r="X11" s="98">
        <f t="shared" si="7"/>
        <v>40000</v>
      </c>
      <c r="Y11" s="103">
        <f>+X11-F11</f>
        <v>40000</v>
      </c>
    </row>
    <row r="12" ht="16.5" customHeight="1">
      <c r="A12" s="88" t="s">
        <v>53</v>
      </c>
      <c r="B12" s="88" t="s">
        <v>54</v>
      </c>
      <c r="C12" s="91" t="s">
        <v>55</v>
      </c>
      <c r="D12" s="112" t="s">
        <v>22</v>
      </c>
      <c r="E12" s="113"/>
      <c r="F12" s="92">
        <v>390.0</v>
      </c>
      <c r="G12" s="114">
        <v>45900.0</v>
      </c>
      <c r="H12" s="115">
        <v>46112.0</v>
      </c>
      <c r="I12" s="116">
        <v>45808.0</v>
      </c>
      <c r="J12" s="96">
        <v>45176.0</v>
      </c>
      <c r="K12" s="117">
        <v>0.0</v>
      </c>
      <c r="L12" s="98">
        <f>K12+350</f>
        <v>350</v>
      </c>
      <c r="M12" s="99">
        <f t="shared" si="2"/>
        <v>-40</v>
      </c>
      <c r="N12" s="101"/>
      <c r="O12" s="118"/>
      <c r="P12" s="98">
        <f t="shared" si="3"/>
        <v>40000</v>
      </c>
      <c r="Q12" s="119">
        <f t="shared" si="4"/>
        <v>39610</v>
      </c>
      <c r="R12" s="120"/>
      <c r="S12" s="118"/>
      <c r="T12" s="98">
        <f t="shared" si="5"/>
        <v>40000</v>
      </c>
      <c r="U12" s="100">
        <f t="shared" si="6"/>
        <v>39610</v>
      </c>
      <c r="V12" s="101"/>
      <c r="W12" s="102"/>
      <c r="X12" s="98">
        <f t="shared" si="7"/>
        <v>40000</v>
      </c>
      <c r="Y12" s="121" t="s">
        <v>38</v>
      </c>
      <c r="Z12" s="25" t="s">
        <v>39</v>
      </c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</row>
    <row r="13">
      <c r="A13" s="122" t="s">
        <v>56</v>
      </c>
      <c r="B13" s="122" t="s">
        <v>57</v>
      </c>
      <c r="C13" s="123" t="s">
        <v>48</v>
      </c>
      <c r="D13" s="124" t="s">
        <v>37</v>
      </c>
      <c r="E13" s="125" t="s">
        <v>28</v>
      </c>
      <c r="F13" s="126">
        <v>362130.0</v>
      </c>
      <c r="G13" s="127">
        <v>46112.0</v>
      </c>
      <c r="H13" s="128">
        <v>46112.0</v>
      </c>
      <c r="I13" s="129">
        <v>46203.0</v>
      </c>
      <c r="J13" s="130">
        <v>45931.0</v>
      </c>
      <c r="K13" s="85">
        <v>359157.0</v>
      </c>
      <c r="L13" s="51">
        <f t="shared" ref="L13:L29" si="10">K13+10000</f>
        <v>369157</v>
      </c>
      <c r="M13" s="131">
        <f t="shared" si="2"/>
        <v>7027</v>
      </c>
      <c r="N13" s="132">
        <v>44978.0</v>
      </c>
      <c r="O13" s="133">
        <v>259780.0</v>
      </c>
      <c r="P13" s="53">
        <f t="shared" si="3"/>
        <v>299780</v>
      </c>
      <c r="Q13" s="134">
        <f t="shared" si="4"/>
        <v>-62350</v>
      </c>
      <c r="R13" s="132">
        <v>44978.0</v>
      </c>
      <c r="S13" s="135">
        <v>259780.0</v>
      </c>
      <c r="T13" s="55">
        <f t="shared" si="5"/>
        <v>299780</v>
      </c>
      <c r="U13" s="134">
        <f t="shared" si="6"/>
        <v>-62350</v>
      </c>
      <c r="V13" s="136"/>
      <c r="W13" s="87"/>
      <c r="X13" s="57">
        <f t="shared" si="7"/>
        <v>40000</v>
      </c>
      <c r="Y13" s="137" t="s">
        <v>38</v>
      </c>
      <c r="Z13" s="138" t="s">
        <v>39</v>
      </c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</row>
    <row r="14">
      <c r="A14" s="71" t="s">
        <v>58</v>
      </c>
      <c r="B14" s="139" t="s">
        <v>59</v>
      </c>
      <c r="C14" s="73" t="s">
        <v>48</v>
      </c>
      <c r="D14" s="43" t="s">
        <v>37</v>
      </c>
      <c r="E14" s="44" t="s">
        <v>28</v>
      </c>
      <c r="F14" s="140">
        <v>293489.0</v>
      </c>
      <c r="G14" s="74">
        <v>46112.0</v>
      </c>
      <c r="H14" s="75">
        <v>46112.0</v>
      </c>
      <c r="I14" s="107">
        <v>46203.0</v>
      </c>
      <c r="J14" s="77">
        <v>46002.0</v>
      </c>
      <c r="K14" s="85">
        <v>285143.0</v>
      </c>
      <c r="L14" s="51">
        <f t="shared" si="10"/>
        <v>295143</v>
      </c>
      <c r="M14" s="131">
        <f t="shared" si="2"/>
        <v>1654</v>
      </c>
      <c r="N14" s="130">
        <v>45783.0</v>
      </c>
      <c r="O14" s="141">
        <v>262820.0</v>
      </c>
      <c r="P14" s="53">
        <f t="shared" si="3"/>
        <v>302820</v>
      </c>
      <c r="Q14" s="142">
        <f t="shared" si="4"/>
        <v>9331</v>
      </c>
      <c r="R14" s="130">
        <v>45783.0</v>
      </c>
      <c r="S14" s="143">
        <v>262820.0</v>
      </c>
      <c r="T14" s="55">
        <f t="shared" si="5"/>
        <v>302820</v>
      </c>
      <c r="U14" s="142">
        <f t="shared" si="6"/>
        <v>9331</v>
      </c>
      <c r="V14" s="136"/>
      <c r="W14" s="87"/>
      <c r="X14" s="57">
        <f t="shared" si="7"/>
        <v>40000</v>
      </c>
      <c r="Y14" s="82" t="s">
        <v>38</v>
      </c>
      <c r="Z14" s="25" t="s">
        <v>39</v>
      </c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</row>
    <row r="15" ht="18.0" customHeight="1">
      <c r="A15" s="122" t="s">
        <v>60</v>
      </c>
      <c r="B15" s="144" t="s">
        <v>61</v>
      </c>
      <c r="C15" s="123" t="s">
        <v>48</v>
      </c>
      <c r="D15" s="124" t="s">
        <v>37</v>
      </c>
      <c r="E15" s="125" t="s">
        <v>28</v>
      </c>
      <c r="F15" s="145">
        <v>277993.0</v>
      </c>
      <c r="G15" s="127">
        <v>46112.0</v>
      </c>
      <c r="H15" s="128">
        <v>46112.0</v>
      </c>
      <c r="I15" s="129">
        <v>46113.0</v>
      </c>
      <c r="J15" s="130">
        <v>45968.0</v>
      </c>
      <c r="K15" s="85">
        <v>269000.0</v>
      </c>
      <c r="L15" s="51">
        <f t="shared" si="10"/>
        <v>279000</v>
      </c>
      <c r="M15" s="131">
        <f t="shared" si="2"/>
        <v>1007</v>
      </c>
      <c r="N15" s="130">
        <v>45839.0</v>
      </c>
      <c r="O15" s="141">
        <v>264563.0</v>
      </c>
      <c r="P15" s="53">
        <f t="shared" si="3"/>
        <v>304563</v>
      </c>
      <c r="Q15" s="142">
        <f t="shared" si="4"/>
        <v>26570</v>
      </c>
      <c r="R15" s="130">
        <v>45839.0</v>
      </c>
      <c r="S15" s="143">
        <v>264563.0</v>
      </c>
      <c r="T15" s="55">
        <f t="shared" si="5"/>
        <v>304563</v>
      </c>
      <c r="U15" s="142">
        <f t="shared" si="6"/>
        <v>26570</v>
      </c>
      <c r="V15" s="146"/>
      <c r="W15" s="81"/>
      <c r="X15" s="57">
        <f t="shared" si="7"/>
        <v>40000</v>
      </c>
      <c r="Y15" s="82" t="s">
        <v>38</v>
      </c>
      <c r="Z15" s="25" t="s">
        <v>39</v>
      </c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</row>
    <row r="16">
      <c r="A16" s="122" t="s">
        <v>62</v>
      </c>
      <c r="B16" s="147" t="s">
        <v>63</v>
      </c>
      <c r="C16" s="123" t="s">
        <v>48</v>
      </c>
      <c r="D16" s="124" t="s">
        <v>37</v>
      </c>
      <c r="E16" s="125" t="s">
        <v>28</v>
      </c>
      <c r="F16" s="148">
        <v>373946.0</v>
      </c>
      <c r="G16" s="127">
        <v>46112.0</v>
      </c>
      <c r="H16" s="128">
        <v>46112.0</v>
      </c>
      <c r="I16" s="129">
        <v>46173.0</v>
      </c>
      <c r="J16" s="130">
        <v>45902.0</v>
      </c>
      <c r="K16" s="85">
        <v>371827.0</v>
      </c>
      <c r="L16" s="51">
        <f t="shared" si="10"/>
        <v>381827</v>
      </c>
      <c r="M16" s="131">
        <f t="shared" si="2"/>
        <v>7881</v>
      </c>
      <c r="N16" s="130">
        <v>45719.0</v>
      </c>
      <c r="O16" s="141">
        <v>361535.0</v>
      </c>
      <c r="P16" s="53">
        <f t="shared" si="3"/>
        <v>401535</v>
      </c>
      <c r="Q16" s="142">
        <f t="shared" si="4"/>
        <v>27589</v>
      </c>
      <c r="R16" s="130">
        <v>45719.0</v>
      </c>
      <c r="S16" s="143">
        <v>361535.0</v>
      </c>
      <c r="T16" s="55">
        <f t="shared" si="5"/>
        <v>401535</v>
      </c>
      <c r="U16" s="142">
        <f t="shared" si="6"/>
        <v>27589</v>
      </c>
      <c r="V16" s="130">
        <v>45719.0</v>
      </c>
      <c r="W16" s="149">
        <v>361535.0</v>
      </c>
      <c r="X16" s="57">
        <f t="shared" si="7"/>
        <v>401535</v>
      </c>
      <c r="Y16" s="150" t="s">
        <v>38</v>
      </c>
      <c r="Z16" s="138" t="s">
        <v>39</v>
      </c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</row>
    <row r="17" ht="15.75" customHeight="1">
      <c r="A17" s="122" t="s">
        <v>64</v>
      </c>
      <c r="B17" s="122" t="s">
        <v>65</v>
      </c>
      <c r="C17" s="123" t="s">
        <v>48</v>
      </c>
      <c r="D17" s="124" t="s">
        <v>37</v>
      </c>
      <c r="E17" s="125" t="s">
        <v>28</v>
      </c>
      <c r="F17" s="151">
        <v>379492.0</v>
      </c>
      <c r="G17" s="127">
        <v>46112.0</v>
      </c>
      <c r="H17" s="128">
        <v>46112.0</v>
      </c>
      <c r="I17" s="129">
        <v>46419.0</v>
      </c>
      <c r="J17" s="130">
        <v>46051.0</v>
      </c>
      <c r="K17" s="85">
        <v>376726.0</v>
      </c>
      <c r="L17" s="51">
        <f t="shared" si="10"/>
        <v>386726</v>
      </c>
      <c r="M17" s="52">
        <f t="shared" si="2"/>
        <v>7234</v>
      </c>
      <c r="N17" s="77">
        <v>45716.0</v>
      </c>
      <c r="O17" s="141">
        <v>354990.0</v>
      </c>
      <c r="P17" s="53">
        <f t="shared" si="3"/>
        <v>394990</v>
      </c>
      <c r="Q17" s="54">
        <f t="shared" si="4"/>
        <v>15498</v>
      </c>
      <c r="R17" s="49">
        <v>45134.0</v>
      </c>
      <c r="S17" s="135">
        <v>281992.0</v>
      </c>
      <c r="T17" s="55">
        <f t="shared" si="5"/>
        <v>321992</v>
      </c>
      <c r="U17" s="152">
        <f t="shared" si="6"/>
        <v>-57500</v>
      </c>
      <c r="V17" s="86"/>
      <c r="W17" s="87"/>
      <c r="X17" s="57">
        <f t="shared" si="7"/>
        <v>40000</v>
      </c>
      <c r="Y17" s="82" t="s">
        <v>38</v>
      </c>
      <c r="Z17" s="25" t="s">
        <v>39</v>
      </c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</row>
    <row r="18">
      <c r="A18" s="122" t="s">
        <v>66</v>
      </c>
      <c r="B18" s="122" t="s">
        <v>67</v>
      </c>
      <c r="C18" s="123" t="s">
        <v>48</v>
      </c>
      <c r="D18" s="124" t="s">
        <v>37</v>
      </c>
      <c r="E18" s="125" t="s">
        <v>28</v>
      </c>
      <c r="F18" s="153">
        <v>251720.0</v>
      </c>
      <c r="G18" s="127">
        <v>46112.0</v>
      </c>
      <c r="H18" s="128">
        <v>46112.0</v>
      </c>
      <c r="I18" s="129">
        <v>46204.0</v>
      </c>
      <c r="J18" s="130">
        <v>46001.0</v>
      </c>
      <c r="K18" s="85">
        <v>247429.0</v>
      </c>
      <c r="L18" s="51">
        <f t="shared" si="10"/>
        <v>257429</v>
      </c>
      <c r="M18" s="52">
        <f t="shared" si="2"/>
        <v>5709</v>
      </c>
      <c r="N18" s="49">
        <v>45161.0</v>
      </c>
      <c r="O18" s="133">
        <v>219000.0</v>
      </c>
      <c r="P18" s="53">
        <f t="shared" si="3"/>
        <v>259000</v>
      </c>
      <c r="Q18" s="54">
        <f t="shared" si="4"/>
        <v>7280</v>
      </c>
      <c r="R18" s="49">
        <v>45161.0</v>
      </c>
      <c r="S18" s="135">
        <v>219000.0</v>
      </c>
      <c r="T18" s="55">
        <f t="shared" si="5"/>
        <v>259000</v>
      </c>
      <c r="U18" s="54">
        <f t="shared" si="6"/>
        <v>7280</v>
      </c>
      <c r="V18" s="49">
        <v>45530.0</v>
      </c>
      <c r="W18" s="56">
        <v>219000.0</v>
      </c>
      <c r="X18" s="57">
        <f t="shared" si="7"/>
        <v>259000</v>
      </c>
      <c r="Y18" s="82" t="s">
        <v>38</v>
      </c>
      <c r="Z18" s="25" t="s">
        <v>39</v>
      </c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</row>
    <row r="19">
      <c r="A19" s="122" t="s">
        <v>68</v>
      </c>
      <c r="B19" s="122" t="s">
        <v>69</v>
      </c>
      <c r="C19" s="123" t="s">
        <v>48</v>
      </c>
      <c r="D19" s="124" t="s">
        <v>37</v>
      </c>
      <c r="E19" s="125" t="s">
        <v>28</v>
      </c>
      <c r="F19" s="151">
        <v>352840.0</v>
      </c>
      <c r="G19" s="127">
        <v>46112.0</v>
      </c>
      <c r="H19" s="128">
        <v>46112.0</v>
      </c>
      <c r="I19" s="129">
        <v>46054.0</v>
      </c>
      <c r="J19" s="130">
        <v>46036.0</v>
      </c>
      <c r="K19" s="85">
        <v>347960.0</v>
      </c>
      <c r="L19" s="51">
        <f t="shared" si="10"/>
        <v>357960</v>
      </c>
      <c r="M19" s="52">
        <f t="shared" si="2"/>
        <v>5120</v>
      </c>
      <c r="N19" s="77">
        <v>45768.0</v>
      </c>
      <c r="O19" s="141">
        <v>313700.0</v>
      </c>
      <c r="P19" s="53">
        <f t="shared" si="3"/>
        <v>353700</v>
      </c>
      <c r="Q19" s="54">
        <f t="shared" si="4"/>
        <v>860</v>
      </c>
      <c r="R19" s="77">
        <v>45768.0</v>
      </c>
      <c r="S19" s="143">
        <v>313700.0</v>
      </c>
      <c r="T19" s="55">
        <f t="shared" si="5"/>
        <v>353700</v>
      </c>
      <c r="U19" s="54">
        <f t="shared" si="6"/>
        <v>860</v>
      </c>
      <c r="V19" s="77">
        <v>45768.0</v>
      </c>
      <c r="W19" s="149">
        <v>313700.0</v>
      </c>
      <c r="X19" s="57">
        <f t="shared" si="7"/>
        <v>353700</v>
      </c>
      <c r="Y19" s="54">
        <f t="shared" ref="Y19:Y20" si="11">+X19-F19</f>
        <v>860</v>
      </c>
      <c r="Z19" s="25" t="s">
        <v>30</v>
      </c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</row>
    <row r="20" ht="15.75" customHeight="1">
      <c r="A20" s="122" t="s">
        <v>70</v>
      </c>
      <c r="B20" s="147" t="s">
        <v>71</v>
      </c>
      <c r="C20" s="123" t="s">
        <v>48</v>
      </c>
      <c r="D20" s="124" t="s">
        <v>37</v>
      </c>
      <c r="E20" s="125" t="s">
        <v>28</v>
      </c>
      <c r="F20" s="145">
        <v>198675.0</v>
      </c>
      <c r="G20" s="127">
        <v>46112.0</v>
      </c>
      <c r="H20" s="128">
        <v>46112.0</v>
      </c>
      <c r="I20" s="154">
        <v>46142.0</v>
      </c>
      <c r="J20" s="130">
        <v>46028.0</v>
      </c>
      <c r="K20" s="85">
        <v>190158.0</v>
      </c>
      <c r="L20" s="51">
        <f t="shared" si="10"/>
        <v>200158</v>
      </c>
      <c r="M20" s="52">
        <f t="shared" si="2"/>
        <v>1483</v>
      </c>
      <c r="N20" s="49">
        <v>45679.0</v>
      </c>
      <c r="O20" s="133">
        <v>151014.0</v>
      </c>
      <c r="P20" s="53">
        <f t="shared" si="3"/>
        <v>191014</v>
      </c>
      <c r="Q20" s="54">
        <f t="shared" si="4"/>
        <v>-7661</v>
      </c>
      <c r="R20" s="49">
        <v>45679.0</v>
      </c>
      <c r="S20" s="135">
        <v>151014.0</v>
      </c>
      <c r="T20" s="55">
        <f t="shared" si="5"/>
        <v>191014</v>
      </c>
      <c r="U20" s="54">
        <f t="shared" si="6"/>
        <v>-7661</v>
      </c>
      <c r="V20" s="49">
        <v>45679.0</v>
      </c>
      <c r="W20" s="56">
        <v>151014.0</v>
      </c>
      <c r="X20" s="57">
        <f t="shared" si="7"/>
        <v>191014</v>
      </c>
      <c r="Y20" s="54">
        <f t="shared" si="11"/>
        <v>-7661</v>
      </c>
      <c r="Z20" s="25" t="s">
        <v>30</v>
      </c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</row>
    <row r="21" ht="16.5" customHeight="1">
      <c r="A21" s="122" t="s">
        <v>72</v>
      </c>
      <c r="B21" s="122" t="s">
        <v>73</v>
      </c>
      <c r="C21" s="123" t="s">
        <v>48</v>
      </c>
      <c r="D21" s="124" t="s">
        <v>37</v>
      </c>
      <c r="E21" s="125" t="s">
        <v>28</v>
      </c>
      <c r="F21" s="145">
        <v>157411.0</v>
      </c>
      <c r="G21" s="127">
        <v>46112.0</v>
      </c>
      <c r="H21" s="128">
        <v>46112.0</v>
      </c>
      <c r="I21" s="154">
        <v>46203.0</v>
      </c>
      <c r="J21" s="130">
        <v>45981.0</v>
      </c>
      <c r="K21" s="85">
        <v>149813.0</v>
      </c>
      <c r="L21" s="51">
        <f t="shared" si="10"/>
        <v>159813</v>
      </c>
      <c r="M21" s="52">
        <f t="shared" si="2"/>
        <v>2402</v>
      </c>
      <c r="N21" s="77">
        <v>45768.0</v>
      </c>
      <c r="O21" s="141">
        <v>134899.0</v>
      </c>
      <c r="P21" s="53">
        <f t="shared" si="3"/>
        <v>174899</v>
      </c>
      <c r="Q21" s="54">
        <f t="shared" si="4"/>
        <v>17488</v>
      </c>
      <c r="R21" s="77">
        <v>45768.0</v>
      </c>
      <c r="S21" s="143">
        <v>134899.0</v>
      </c>
      <c r="T21" s="55">
        <f t="shared" si="5"/>
        <v>174899</v>
      </c>
      <c r="U21" s="54">
        <f t="shared" si="6"/>
        <v>17488</v>
      </c>
      <c r="V21" s="86"/>
      <c r="W21" s="87"/>
      <c r="X21" s="57">
        <f t="shared" si="7"/>
        <v>40000</v>
      </c>
      <c r="Y21" s="82" t="s">
        <v>38</v>
      </c>
      <c r="Z21" s="25" t="s">
        <v>39</v>
      </c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</row>
    <row r="22">
      <c r="A22" s="122" t="s">
        <v>74</v>
      </c>
      <c r="B22" s="122" t="s">
        <v>75</v>
      </c>
      <c r="C22" s="155" t="s">
        <v>48</v>
      </c>
      <c r="D22" s="124" t="s">
        <v>37</v>
      </c>
      <c r="E22" s="125" t="s">
        <v>28</v>
      </c>
      <c r="F22" s="151">
        <v>83380.0</v>
      </c>
      <c r="G22" s="127">
        <v>46112.0</v>
      </c>
      <c r="H22" s="128">
        <v>46112.0</v>
      </c>
      <c r="I22" s="156">
        <v>46266.0</v>
      </c>
      <c r="J22" s="157">
        <v>46073.0</v>
      </c>
      <c r="K22" s="85">
        <v>83099.0</v>
      </c>
      <c r="L22" s="51">
        <f t="shared" si="10"/>
        <v>93099</v>
      </c>
      <c r="M22" s="52">
        <f t="shared" si="2"/>
        <v>9719</v>
      </c>
      <c r="N22" s="110">
        <v>46073.0</v>
      </c>
      <c r="O22" s="158">
        <v>83099.0</v>
      </c>
      <c r="P22" s="53">
        <f t="shared" si="3"/>
        <v>123099</v>
      </c>
      <c r="Q22" s="54">
        <f t="shared" si="4"/>
        <v>39719</v>
      </c>
      <c r="R22" s="110">
        <v>46073.0</v>
      </c>
      <c r="S22" s="159">
        <v>83099.0</v>
      </c>
      <c r="T22" s="55">
        <f t="shared" si="5"/>
        <v>123099</v>
      </c>
      <c r="U22" s="54">
        <f t="shared" si="6"/>
        <v>39719</v>
      </c>
      <c r="V22" s="86"/>
      <c r="W22" s="87"/>
      <c r="X22" s="57">
        <f t="shared" si="7"/>
        <v>40000</v>
      </c>
      <c r="Y22" s="82" t="s">
        <v>38</v>
      </c>
      <c r="Z22" s="25" t="s">
        <v>39</v>
      </c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</row>
    <row r="23">
      <c r="A23" s="122" t="s">
        <v>76</v>
      </c>
      <c r="B23" s="122" t="s">
        <v>77</v>
      </c>
      <c r="C23" s="155" t="s">
        <v>48</v>
      </c>
      <c r="D23" s="124" t="s">
        <v>78</v>
      </c>
      <c r="E23" s="125" t="s">
        <v>28</v>
      </c>
      <c r="F23" s="153">
        <v>192377.0</v>
      </c>
      <c r="G23" s="127">
        <v>46112.0</v>
      </c>
      <c r="H23" s="128">
        <v>46112.0</v>
      </c>
      <c r="I23" s="156">
        <v>46327.0</v>
      </c>
      <c r="J23" s="157">
        <v>46035.0</v>
      </c>
      <c r="K23" s="85">
        <v>184025.0</v>
      </c>
      <c r="L23" s="51">
        <f t="shared" si="10"/>
        <v>194025</v>
      </c>
      <c r="M23" s="52">
        <f t="shared" si="2"/>
        <v>1648</v>
      </c>
      <c r="N23" s="77">
        <v>45805.0</v>
      </c>
      <c r="O23" s="141">
        <v>149517.0</v>
      </c>
      <c r="P23" s="53">
        <f t="shared" si="3"/>
        <v>189517</v>
      </c>
      <c r="Q23" s="109">
        <f t="shared" si="4"/>
        <v>-2860</v>
      </c>
      <c r="R23" s="77">
        <v>45805.0</v>
      </c>
      <c r="S23" s="143">
        <v>149517.0</v>
      </c>
      <c r="T23" s="55">
        <f t="shared" si="5"/>
        <v>189517</v>
      </c>
      <c r="U23" s="54">
        <f t="shared" si="6"/>
        <v>-2860</v>
      </c>
      <c r="V23" s="86"/>
      <c r="W23" s="87"/>
      <c r="X23" s="57">
        <f t="shared" si="7"/>
        <v>40000</v>
      </c>
      <c r="Y23" s="82" t="s">
        <v>38</v>
      </c>
      <c r="Z23" s="25" t="s">
        <v>39</v>
      </c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</row>
    <row r="24">
      <c r="A24" s="122" t="s">
        <v>79</v>
      </c>
      <c r="B24" s="122" t="s">
        <v>80</v>
      </c>
      <c r="C24" s="123" t="s">
        <v>81</v>
      </c>
      <c r="D24" s="124" t="s">
        <v>37</v>
      </c>
      <c r="E24" s="125" t="s">
        <v>28</v>
      </c>
      <c r="F24" s="148">
        <v>176598.0</v>
      </c>
      <c r="G24" s="127">
        <v>46112.0</v>
      </c>
      <c r="H24" s="128">
        <v>46112.0</v>
      </c>
      <c r="I24" s="156">
        <v>46113.0</v>
      </c>
      <c r="J24" s="130">
        <v>45995.0</v>
      </c>
      <c r="K24" s="85">
        <v>166307.0</v>
      </c>
      <c r="L24" s="51">
        <f t="shared" si="10"/>
        <v>176307</v>
      </c>
      <c r="M24" s="52">
        <f t="shared" si="2"/>
        <v>-291</v>
      </c>
      <c r="N24" s="49">
        <v>45533.0</v>
      </c>
      <c r="O24" s="133">
        <v>133144.0</v>
      </c>
      <c r="P24" s="53">
        <f t="shared" si="3"/>
        <v>173144</v>
      </c>
      <c r="Q24" s="54">
        <f t="shared" si="4"/>
        <v>-3454</v>
      </c>
      <c r="R24" s="49">
        <v>45533.0</v>
      </c>
      <c r="S24" s="135">
        <v>133144.0</v>
      </c>
      <c r="T24" s="55">
        <f t="shared" si="5"/>
        <v>173144</v>
      </c>
      <c r="U24" s="54">
        <f t="shared" si="6"/>
        <v>-3454</v>
      </c>
      <c r="V24" s="49">
        <v>45533.0</v>
      </c>
      <c r="W24" s="56">
        <v>133144.0</v>
      </c>
      <c r="X24" s="57">
        <f t="shared" si="7"/>
        <v>173144</v>
      </c>
      <c r="Y24" s="54">
        <f t="shared" ref="Y24:Y31" si="12">+X24-F24</f>
        <v>-3454</v>
      </c>
      <c r="Z24" s="25" t="s">
        <v>30</v>
      </c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</row>
    <row r="25">
      <c r="A25" s="122" t="s">
        <v>82</v>
      </c>
      <c r="B25" s="122" t="s">
        <v>83</v>
      </c>
      <c r="C25" s="123" t="s">
        <v>81</v>
      </c>
      <c r="D25" s="124" t="s">
        <v>37</v>
      </c>
      <c r="E25" s="125" t="s">
        <v>28</v>
      </c>
      <c r="F25" s="145">
        <v>132877.0</v>
      </c>
      <c r="G25" s="127">
        <v>46112.0</v>
      </c>
      <c r="H25" s="128">
        <v>46112.0</v>
      </c>
      <c r="I25" s="156">
        <v>46266.0</v>
      </c>
      <c r="J25" s="130">
        <v>46036.0</v>
      </c>
      <c r="K25" s="85">
        <v>122932.0</v>
      </c>
      <c r="L25" s="51">
        <f t="shared" si="10"/>
        <v>132932</v>
      </c>
      <c r="M25" s="52">
        <f t="shared" si="2"/>
        <v>55</v>
      </c>
      <c r="N25" s="49">
        <v>45146.0</v>
      </c>
      <c r="O25" s="133">
        <v>83892.0</v>
      </c>
      <c r="P25" s="53">
        <f t="shared" si="3"/>
        <v>123892</v>
      </c>
      <c r="Q25" s="54">
        <f t="shared" si="4"/>
        <v>-8985</v>
      </c>
      <c r="R25" s="49">
        <v>45146.0</v>
      </c>
      <c r="S25" s="135">
        <v>83892.0</v>
      </c>
      <c r="T25" s="55">
        <f t="shared" si="5"/>
        <v>123892</v>
      </c>
      <c r="U25" s="54">
        <f t="shared" si="6"/>
        <v>-8985</v>
      </c>
      <c r="V25" s="49">
        <v>45146.0</v>
      </c>
      <c r="W25" s="56">
        <v>83892.0</v>
      </c>
      <c r="X25" s="57">
        <f t="shared" si="7"/>
        <v>123892</v>
      </c>
      <c r="Y25" s="54">
        <f t="shared" si="12"/>
        <v>-8985</v>
      </c>
      <c r="Z25" s="25" t="s">
        <v>30</v>
      </c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</row>
    <row r="26">
      <c r="A26" s="122" t="s">
        <v>84</v>
      </c>
      <c r="B26" s="122" t="s">
        <v>85</v>
      </c>
      <c r="C26" s="123" t="s">
        <v>81</v>
      </c>
      <c r="D26" s="124" t="s">
        <v>37</v>
      </c>
      <c r="E26" s="125" t="s">
        <v>28</v>
      </c>
      <c r="F26" s="145">
        <v>181399.0</v>
      </c>
      <c r="G26" s="127">
        <v>46112.0</v>
      </c>
      <c r="H26" s="128">
        <v>46112.0</v>
      </c>
      <c r="I26" s="156">
        <v>46388.0</v>
      </c>
      <c r="J26" s="130">
        <v>45997.0</v>
      </c>
      <c r="K26" s="85">
        <v>177228.0</v>
      </c>
      <c r="L26" s="51">
        <f t="shared" si="10"/>
        <v>187228</v>
      </c>
      <c r="M26" s="52">
        <f t="shared" si="2"/>
        <v>5829</v>
      </c>
      <c r="N26" s="77">
        <v>45769.0</v>
      </c>
      <c r="O26" s="141">
        <v>154024.0</v>
      </c>
      <c r="P26" s="53">
        <f t="shared" si="3"/>
        <v>194024</v>
      </c>
      <c r="Q26" s="54">
        <f t="shared" si="4"/>
        <v>12625</v>
      </c>
      <c r="R26" s="77">
        <v>45769.0</v>
      </c>
      <c r="S26" s="143">
        <v>154024.0</v>
      </c>
      <c r="T26" s="55">
        <f t="shared" si="5"/>
        <v>194024</v>
      </c>
      <c r="U26" s="54">
        <f t="shared" si="6"/>
        <v>12625</v>
      </c>
      <c r="V26" s="77">
        <v>45769.0</v>
      </c>
      <c r="W26" s="149">
        <v>154024.0</v>
      </c>
      <c r="X26" s="57">
        <f t="shared" si="7"/>
        <v>194024</v>
      </c>
      <c r="Y26" s="54">
        <f t="shared" si="12"/>
        <v>12625</v>
      </c>
      <c r="Z26" s="25" t="s">
        <v>30</v>
      </c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</row>
    <row r="27">
      <c r="A27" s="122" t="s">
        <v>86</v>
      </c>
      <c r="B27" s="147" t="s">
        <v>87</v>
      </c>
      <c r="C27" s="155" t="s">
        <v>88</v>
      </c>
      <c r="D27" s="124" t="s">
        <v>78</v>
      </c>
      <c r="E27" s="125" t="s">
        <v>28</v>
      </c>
      <c r="F27" s="145">
        <v>110338.0</v>
      </c>
      <c r="G27" s="127">
        <v>46112.0</v>
      </c>
      <c r="H27" s="128">
        <v>46112.0</v>
      </c>
      <c r="I27" s="154">
        <v>46327.0</v>
      </c>
      <c r="J27" s="130">
        <v>45989.0</v>
      </c>
      <c r="K27" s="85">
        <v>101747.0</v>
      </c>
      <c r="L27" s="51">
        <f t="shared" si="10"/>
        <v>111747</v>
      </c>
      <c r="M27" s="131">
        <f t="shared" si="2"/>
        <v>1409</v>
      </c>
      <c r="N27" s="132">
        <v>45293.0</v>
      </c>
      <c r="O27" s="133">
        <v>21800.0</v>
      </c>
      <c r="P27" s="53">
        <f t="shared" si="3"/>
        <v>61800</v>
      </c>
      <c r="Q27" s="152">
        <f t="shared" si="4"/>
        <v>-48538</v>
      </c>
      <c r="R27" s="49">
        <v>45293.0</v>
      </c>
      <c r="S27" s="135">
        <v>21800.0</v>
      </c>
      <c r="T27" s="55">
        <f t="shared" si="5"/>
        <v>61800</v>
      </c>
      <c r="U27" s="152">
        <f t="shared" si="6"/>
        <v>-48538</v>
      </c>
      <c r="V27" s="49">
        <v>45293.0</v>
      </c>
      <c r="W27" s="56">
        <v>21800.0</v>
      </c>
      <c r="X27" s="57">
        <f t="shared" si="7"/>
        <v>61800</v>
      </c>
      <c r="Y27" s="152">
        <f t="shared" si="12"/>
        <v>-48538</v>
      </c>
      <c r="Z27" s="25" t="s">
        <v>30</v>
      </c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</row>
    <row r="28">
      <c r="A28" s="122" t="s">
        <v>89</v>
      </c>
      <c r="B28" s="147" t="s">
        <v>90</v>
      </c>
      <c r="C28" s="123" t="s">
        <v>88</v>
      </c>
      <c r="D28" s="124" t="s">
        <v>78</v>
      </c>
      <c r="E28" s="125" t="s">
        <v>28</v>
      </c>
      <c r="F28" s="151">
        <v>104845.0</v>
      </c>
      <c r="G28" s="127">
        <v>45900.0</v>
      </c>
      <c r="H28" s="128">
        <v>46112.0</v>
      </c>
      <c r="I28" s="156">
        <v>46388.0</v>
      </c>
      <c r="J28" s="130">
        <v>45869.0</v>
      </c>
      <c r="K28" s="85">
        <v>98939.0</v>
      </c>
      <c r="L28" s="51">
        <f t="shared" si="10"/>
        <v>108939</v>
      </c>
      <c r="M28" s="131">
        <f t="shared" si="2"/>
        <v>4094</v>
      </c>
      <c r="N28" s="130">
        <v>45869.0</v>
      </c>
      <c r="O28" s="141">
        <v>98939.0</v>
      </c>
      <c r="P28" s="53">
        <f t="shared" si="3"/>
        <v>138939</v>
      </c>
      <c r="Q28" s="142">
        <f t="shared" si="4"/>
        <v>34094</v>
      </c>
      <c r="R28" s="130">
        <v>45869.0</v>
      </c>
      <c r="S28" s="143">
        <v>98939.0</v>
      </c>
      <c r="T28" s="55">
        <f t="shared" si="5"/>
        <v>138939</v>
      </c>
      <c r="U28" s="142">
        <f t="shared" si="6"/>
        <v>34094</v>
      </c>
      <c r="V28" s="132">
        <v>44936.0</v>
      </c>
      <c r="W28" s="56">
        <v>42258.0</v>
      </c>
      <c r="X28" s="57">
        <f t="shared" si="7"/>
        <v>82258</v>
      </c>
      <c r="Y28" s="134">
        <f t="shared" si="12"/>
        <v>-22587</v>
      </c>
      <c r="Z28" s="138" t="s">
        <v>30</v>
      </c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</row>
    <row r="29">
      <c r="A29" s="122" t="s">
        <v>91</v>
      </c>
      <c r="B29" s="122" t="s">
        <v>92</v>
      </c>
      <c r="C29" s="123" t="s">
        <v>93</v>
      </c>
      <c r="D29" s="124" t="s">
        <v>78</v>
      </c>
      <c r="E29" s="125" t="s">
        <v>28</v>
      </c>
      <c r="F29" s="148">
        <v>169061.0</v>
      </c>
      <c r="G29" s="127">
        <v>46112.0</v>
      </c>
      <c r="H29" s="128">
        <v>46112.0</v>
      </c>
      <c r="I29" s="156">
        <v>46388.0</v>
      </c>
      <c r="J29" s="130">
        <v>46037.0</v>
      </c>
      <c r="K29" s="85">
        <v>162799.0</v>
      </c>
      <c r="L29" s="51">
        <f t="shared" si="10"/>
        <v>172799</v>
      </c>
      <c r="M29" s="52">
        <f t="shared" si="2"/>
        <v>3738</v>
      </c>
      <c r="N29" s="49">
        <v>45427.0</v>
      </c>
      <c r="O29" s="133">
        <v>130000.0</v>
      </c>
      <c r="P29" s="53">
        <f t="shared" si="3"/>
        <v>170000</v>
      </c>
      <c r="Q29" s="142">
        <f t="shared" si="4"/>
        <v>939</v>
      </c>
      <c r="R29" s="130">
        <v>46037.0</v>
      </c>
      <c r="S29" s="143">
        <v>162799.0</v>
      </c>
      <c r="T29" s="55">
        <f t="shared" si="5"/>
        <v>202799</v>
      </c>
      <c r="U29" s="54">
        <f t="shared" si="6"/>
        <v>33738</v>
      </c>
      <c r="V29" s="49">
        <v>45427.0</v>
      </c>
      <c r="W29" s="56">
        <v>130000.0</v>
      </c>
      <c r="X29" s="57">
        <f t="shared" si="7"/>
        <v>170000</v>
      </c>
      <c r="Y29" s="54">
        <f t="shared" si="12"/>
        <v>939</v>
      </c>
      <c r="Z29" s="25" t="s">
        <v>30</v>
      </c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</row>
    <row r="30" ht="21.0" customHeight="1">
      <c r="A30" s="41" t="s">
        <v>94</v>
      </c>
      <c r="B30" s="40" t="s">
        <v>95</v>
      </c>
      <c r="C30" s="42" t="s">
        <v>93</v>
      </c>
      <c r="D30" s="43" t="s">
        <v>78</v>
      </c>
      <c r="E30" s="44" t="s">
        <v>96</v>
      </c>
      <c r="F30" s="160">
        <v>1507.0</v>
      </c>
      <c r="G30" s="74">
        <v>46112.0</v>
      </c>
      <c r="H30" s="75">
        <v>46112.0</v>
      </c>
      <c r="I30" s="161">
        <v>46419.0</v>
      </c>
      <c r="J30" s="77">
        <v>46085.0</v>
      </c>
      <c r="K30" s="85">
        <v>1441.0</v>
      </c>
      <c r="L30" s="51">
        <f>K30+350</f>
        <v>1791</v>
      </c>
      <c r="M30" s="52">
        <f t="shared" si="2"/>
        <v>284</v>
      </c>
      <c r="N30" s="49">
        <v>45183.0</v>
      </c>
      <c r="O30" s="141">
        <v>0.0</v>
      </c>
      <c r="P30" s="53">
        <f>O30+2000</f>
        <v>2000</v>
      </c>
      <c r="Q30" s="54">
        <f t="shared" si="4"/>
        <v>493</v>
      </c>
      <c r="R30" s="49">
        <v>53219.0</v>
      </c>
      <c r="S30" s="143">
        <v>0.0</v>
      </c>
      <c r="T30" s="55">
        <f>S30+2000</f>
        <v>2000</v>
      </c>
      <c r="U30" s="54">
        <f t="shared" si="6"/>
        <v>493</v>
      </c>
      <c r="V30" s="49">
        <v>45183.0</v>
      </c>
      <c r="W30" s="149">
        <v>0.0</v>
      </c>
      <c r="X30" s="57">
        <f>W30+2000</f>
        <v>2000</v>
      </c>
      <c r="Y30" s="54">
        <f t="shared" si="12"/>
        <v>493</v>
      </c>
      <c r="Z30" s="25" t="s">
        <v>30</v>
      </c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</row>
    <row r="31">
      <c r="A31" s="71" t="s">
        <v>97</v>
      </c>
      <c r="B31" s="139" t="s">
        <v>98</v>
      </c>
      <c r="C31" s="73" t="s">
        <v>99</v>
      </c>
      <c r="D31" s="43" t="s">
        <v>37</v>
      </c>
      <c r="E31" s="44" t="s">
        <v>28</v>
      </c>
      <c r="F31" s="83">
        <v>169400.0</v>
      </c>
      <c r="G31" s="74">
        <v>46112.0</v>
      </c>
      <c r="H31" s="75">
        <v>46112.0</v>
      </c>
      <c r="I31" s="107">
        <v>46295.0</v>
      </c>
      <c r="J31" s="77">
        <v>45972.0</v>
      </c>
      <c r="K31" s="85">
        <v>165808.0</v>
      </c>
      <c r="L31" s="51">
        <f>K31+10000</f>
        <v>175808</v>
      </c>
      <c r="M31" s="52">
        <f t="shared" si="2"/>
        <v>6408</v>
      </c>
      <c r="N31" s="86"/>
      <c r="O31" s="53">
        <v>50000.0</v>
      </c>
      <c r="P31" s="53">
        <f>O31+40000</f>
        <v>90000</v>
      </c>
      <c r="Q31" s="152">
        <f t="shared" si="4"/>
        <v>-79400</v>
      </c>
      <c r="R31" s="49">
        <v>45016.0</v>
      </c>
      <c r="S31" s="55">
        <v>132500.0</v>
      </c>
      <c r="T31" s="55">
        <f>S31+40000</f>
        <v>172500</v>
      </c>
      <c r="U31" s="54">
        <f t="shared" si="6"/>
        <v>3100</v>
      </c>
      <c r="V31" s="49">
        <v>45016.0</v>
      </c>
      <c r="W31" s="56">
        <v>132500.0</v>
      </c>
      <c r="X31" s="57">
        <f>W31+40000</f>
        <v>172500</v>
      </c>
      <c r="Y31" s="54">
        <f t="shared" si="12"/>
        <v>3100</v>
      </c>
      <c r="Z31" s="25" t="s">
        <v>30</v>
      </c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</row>
    <row r="32">
      <c r="A32" s="162" t="s">
        <v>100</v>
      </c>
      <c r="B32" s="162" t="s">
        <v>101</v>
      </c>
      <c r="C32" s="163" t="s">
        <v>93</v>
      </c>
      <c r="D32" s="90" t="s">
        <v>22</v>
      </c>
      <c r="E32" s="91"/>
      <c r="F32" s="164">
        <v>612.0</v>
      </c>
      <c r="G32" s="165"/>
      <c r="H32" s="94"/>
      <c r="I32" s="95"/>
      <c r="J32" s="101"/>
      <c r="K32" s="166"/>
      <c r="L32" s="167"/>
      <c r="M32" s="99"/>
      <c r="N32" s="96"/>
      <c r="O32" s="98"/>
      <c r="P32" s="98"/>
      <c r="Q32" s="100"/>
      <c r="R32" s="96"/>
      <c r="S32" s="98"/>
      <c r="T32" s="98"/>
      <c r="U32" s="100"/>
      <c r="V32" s="101"/>
      <c r="W32" s="102"/>
      <c r="X32" s="98"/>
      <c r="Y32" s="103"/>
      <c r="Z32" s="168"/>
      <c r="AA32" s="169" t="s">
        <v>102</v>
      </c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</row>
    <row r="33">
      <c r="A33" s="88" t="s">
        <v>103</v>
      </c>
      <c r="B33" s="88" t="s">
        <v>104</v>
      </c>
      <c r="C33" s="89" t="s">
        <v>42</v>
      </c>
      <c r="D33" s="90" t="s">
        <v>22</v>
      </c>
      <c r="E33" s="91"/>
      <c r="F33" s="98"/>
      <c r="G33" s="111"/>
      <c r="H33" s="94"/>
      <c r="I33" s="95"/>
      <c r="J33" s="101"/>
      <c r="K33" s="97">
        <v>280000.0</v>
      </c>
      <c r="L33" s="98">
        <f t="shared" ref="L33:L34" si="13">K33+10000</f>
        <v>290000</v>
      </c>
      <c r="M33" s="99">
        <f t="shared" ref="M33:M52" si="14">+L33-F33</f>
        <v>290000</v>
      </c>
      <c r="N33" s="96">
        <v>44953.0</v>
      </c>
      <c r="O33" s="98">
        <v>266467.0</v>
      </c>
      <c r="P33" s="98">
        <f t="shared" ref="P33:P52" si="15">O33+40000</f>
        <v>306467</v>
      </c>
      <c r="Q33" s="100">
        <f t="shared" ref="Q33:Q52" si="16">+P33-F33</f>
        <v>306467</v>
      </c>
      <c r="R33" s="96">
        <v>44953.0</v>
      </c>
      <c r="S33" s="98">
        <v>266467.0</v>
      </c>
      <c r="T33" s="98">
        <f t="shared" ref="T33:T52" si="17">S33+40000</f>
        <v>306467</v>
      </c>
      <c r="U33" s="100">
        <f t="shared" ref="U33:U52" si="18">+T33-F33</f>
        <v>306467</v>
      </c>
      <c r="V33" s="101"/>
      <c r="W33" s="102"/>
      <c r="X33" s="98">
        <f t="shared" ref="X33:X52" si="19">W33+40000</f>
        <v>40000</v>
      </c>
      <c r="Y33" s="103">
        <f t="shared" ref="Y33:Y34" si="20">+X33-F33</f>
        <v>40000</v>
      </c>
    </row>
    <row r="34" ht="16.5" customHeight="1">
      <c r="A34" s="122" t="s">
        <v>105</v>
      </c>
      <c r="B34" s="170" t="s">
        <v>106</v>
      </c>
      <c r="C34" s="171" t="s">
        <v>93</v>
      </c>
      <c r="D34" s="43" t="s">
        <v>78</v>
      </c>
      <c r="E34" s="172" t="s">
        <v>28</v>
      </c>
      <c r="F34" s="140">
        <v>46067.0</v>
      </c>
      <c r="G34" s="74">
        <v>46112.0</v>
      </c>
      <c r="H34" s="75">
        <v>46112.0</v>
      </c>
      <c r="I34" s="173">
        <v>46266.0</v>
      </c>
      <c r="J34" s="77">
        <v>45719.0</v>
      </c>
      <c r="K34" s="85">
        <v>40145.0</v>
      </c>
      <c r="L34" s="51">
        <f t="shared" si="13"/>
        <v>50145</v>
      </c>
      <c r="M34" s="52">
        <f t="shared" si="14"/>
        <v>4078</v>
      </c>
      <c r="N34" s="49">
        <v>45084.0</v>
      </c>
      <c r="O34" s="133">
        <v>31114.0</v>
      </c>
      <c r="P34" s="53">
        <f t="shared" si="15"/>
        <v>71114</v>
      </c>
      <c r="Q34" s="54">
        <f t="shared" si="16"/>
        <v>25047</v>
      </c>
      <c r="R34" s="49">
        <v>45084.0</v>
      </c>
      <c r="S34" s="135">
        <v>31114.0</v>
      </c>
      <c r="T34" s="55">
        <f t="shared" si="17"/>
        <v>71114</v>
      </c>
      <c r="U34" s="54">
        <f t="shared" si="18"/>
        <v>25047</v>
      </c>
      <c r="V34" s="49">
        <v>45084.0</v>
      </c>
      <c r="W34" s="56">
        <v>31114.0</v>
      </c>
      <c r="X34" s="57">
        <f t="shared" si="19"/>
        <v>71114</v>
      </c>
      <c r="Y34" s="54">
        <f t="shared" si="20"/>
        <v>25047</v>
      </c>
      <c r="Z34" s="25" t="s">
        <v>30</v>
      </c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</row>
    <row r="35">
      <c r="A35" s="174" t="s">
        <v>107</v>
      </c>
      <c r="B35" s="170" t="s">
        <v>108</v>
      </c>
      <c r="C35" s="171" t="s">
        <v>109</v>
      </c>
      <c r="D35" s="43" t="s">
        <v>110</v>
      </c>
      <c r="E35" s="172" t="s">
        <v>96</v>
      </c>
      <c r="F35" s="160">
        <v>541.0</v>
      </c>
      <c r="G35" s="74">
        <v>46112.0</v>
      </c>
      <c r="H35" s="75">
        <v>46112.0</v>
      </c>
      <c r="I35" s="161">
        <v>46203.0</v>
      </c>
      <c r="J35" s="77">
        <v>45944.0</v>
      </c>
      <c r="K35" s="85">
        <v>356.0</v>
      </c>
      <c r="L35" s="51">
        <f>K35+350</f>
        <v>706</v>
      </c>
      <c r="M35" s="52">
        <f t="shared" si="14"/>
        <v>165</v>
      </c>
      <c r="N35" s="49">
        <v>44936.0</v>
      </c>
      <c r="O35" s="133">
        <v>183826.0</v>
      </c>
      <c r="P35" s="53">
        <f t="shared" si="15"/>
        <v>223826</v>
      </c>
      <c r="Q35" s="54">
        <f t="shared" si="16"/>
        <v>223285</v>
      </c>
      <c r="R35" s="49">
        <v>44936.0</v>
      </c>
      <c r="S35" s="135">
        <v>183826.0</v>
      </c>
      <c r="T35" s="55">
        <f t="shared" si="17"/>
        <v>223826</v>
      </c>
      <c r="U35" s="54">
        <f t="shared" si="18"/>
        <v>223285</v>
      </c>
      <c r="V35" s="86"/>
      <c r="W35" s="87"/>
      <c r="X35" s="57">
        <f t="shared" si="19"/>
        <v>40000</v>
      </c>
      <c r="Y35" s="82" t="s">
        <v>38</v>
      </c>
      <c r="Z35" s="25" t="s">
        <v>39</v>
      </c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</row>
    <row r="36">
      <c r="A36" s="72" t="s">
        <v>111</v>
      </c>
      <c r="B36" s="139" t="s">
        <v>112</v>
      </c>
      <c r="C36" s="175" t="s">
        <v>81</v>
      </c>
      <c r="D36" s="43" t="s">
        <v>113</v>
      </c>
      <c r="E36" s="172" t="s">
        <v>28</v>
      </c>
      <c r="F36" s="160">
        <v>112046.0</v>
      </c>
      <c r="G36" s="74">
        <v>46112.0</v>
      </c>
      <c r="H36" s="75">
        <v>46112.0</v>
      </c>
      <c r="I36" s="173">
        <v>46692.0</v>
      </c>
      <c r="J36" s="77">
        <v>46063.0</v>
      </c>
      <c r="K36" s="85">
        <v>108992.0</v>
      </c>
      <c r="L36" s="51">
        <f t="shared" ref="L36:L38" si="21">K36+10000</f>
        <v>118992</v>
      </c>
      <c r="M36" s="52">
        <f t="shared" si="14"/>
        <v>6946</v>
      </c>
      <c r="N36" s="110">
        <v>45726.0</v>
      </c>
      <c r="O36" s="158">
        <v>74283.0</v>
      </c>
      <c r="P36" s="53">
        <f t="shared" si="15"/>
        <v>114283</v>
      </c>
      <c r="Q36" s="109">
        <f t="shared" si="16"/>
        <v>2237</v>
      </c>
      <c r="R36" s="110">
        <v>45726.0</v>
      </c>
      <c r="S36" s="159">
        <v>74283.0</v>
      </c>
      <c r="T36" s="55">
        <f t="shared" si="17"/>
        <v>114283</v>
      </c>
      <c r="U36" s="109">
        <f t="shared" si="18"/>
        <v>2237</v>
      </c>
      <c r="V36" s="110">
        <v>45726.0</v>
      </c>
      <c r="W36" s="176">
        <v>74283.0</v>
      </c>
      <c r="X36" s="57">
        <f t="shared" si="19"/>
        <v>114283</v>
      </c>
      <c r="Y36" s="109">
        <f t="shared" ref="Y36:Y48" si="22">+X36-F36</f>
        <v>2237</v>
      </c>
      <c r="Z36" s="25" t="s">
        <v>30</v>
      </c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</row>
    <row r="37">
      <c r="A37" s="122" t="s">
        <v>114</v>
      </c>
      <c r="B37" s="170" t="s">
        <v>115</v>
      </c>
      <c r="C37" s="171" t="s">
        <v>81</v>
      </c>
      <c r="D37" s="43" t="s">
        <v>113</v>
      </c>
      <c r="E37" s="172" t="s">
        <v>28</v>
      </c>
      <c r="F37" s="45">
        <v>152250.0</v>
      </c>
      <c r="G37" s="74">
        <v>46112.0</v>
      </c>
      <c r="H37" s="75">
        <v>46112.0</v>
      </c>
      <c r="I37" s="173">
        <v>46753.0</v>
      </c>
      <c r="J37" s="77">
        <v>46085.0</v>
      </c>
      <c r="K37" s="85">
        <v>151276.0</v>
      </c>
      <c r="L37" s="51">
        <f t="shared" si="21"/>
        <v>161276</v>
      </c>
      <c r="M37" s="52">
        <f t="shared" si="14"/>
        <v>9026</v>
      </c>
      <c r="N37" s="177">
        <v>46085.0</v>
      </c>
      <c r="O37" s="158">
        <v>151276.0</v>
      </c>
      <c r="P37" s="53">
        <f t="shared" si="15"/>
        <v>191276</v>
      </c>
      <c r="Q37" s="109">
        <f t="shared" si="16"/>
        <v>39026</v>
      </c>
      <c r="R37" s="177">
        <v>45800.0</v>
      </c>
      <c r="S37" s="159">
        <v>110579.0</v>
      </c>
      <c r="T37" s="55">
        <f t="shared" si="17"/>
        <v>150579</v>
      </c>
      <c r="U37" s="109">
        <f t="shared" si="18"/>
        <v>-1671</v>
      </c>
      <c r="V37" s="86"/>
      <c r="W37" s="178">
        <v>0.0</v>
      </c>
      <c r="X37" s="57">
        <f t="shared" si="19"/>
        <v>40000</v>
      </c>
      <c r="Y37" s="152">
        <f t="shared" si="22"/>
        <v>-112250</v>
      </c>
      <c r="Z37" s="25" t="s">
        <v>30</v>
      </c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</row>
    <row r="38">
      <c r="A38" s="122" t="s">
        <v>116</v>
      </c>
      <c r="B38" s="179" t="s">
        <v>117</v>
      </c>
      <c r="C38" s="171" t="s">
        <v>81</v>
      </c>
      <c r="D38" s="43" t="s">
        <v>113</v>
      </c>
      <c r="E38" s="172" t="s">
        <v>28</v>
      </c>
      <c r="F38" s="45">
        <v>87086.0</v>
      </c>
      <c r="G38" s="74">
        <v>46112.0</v>
      </c>
      <c r="H38" s="75">
        <v>46112.0</v>
      </c>
      <c r="I38" s="173">
        <v>46784.0</v>
      </c>
      <c r="J38" s="180">
        <v>46009.0</v>
      </c>
      <c r="K38" s="181">
        <v>77175.0</v>
      </c>
      <c r="L38" s="51">
        <f t="shared" si="21"/>
        <v>87175</v>
      </c>
      <c r="M38" s="52">
        <f t="shared" si="14"/>
        <v>89</v>
      </c>
      <c r="N38" s="182">
        <v>45825.0</v>
      </c>
      <c r="O38" s="158">
        <v>55877.0</v>
      </c>
      <c r="P38" s="53">
        <f t="shared" si="15"/>
        <v>95877</v>
      </c>
      <c r="Q38" s="54">
        <f t="shared" si="16"/>
        <v>8791</v>
      </c>
      <c r="R38" s="182">
        <v>45825.0</v>
      </c>
      <c r="S38" s="159">
        <v>55877.0</v>
      </c>
      <c r="T38" s="55">
        <f t="shared" si="17"/>
        <v>95877</v>
      </c>
      <c r="U38" s="54">
        <f t="shared" si="18"/>
        <v>8791</v>
      </c>
      <c r="V38" s="182">
        <v>45825.0</v>
      </c>
      <c r="W38" s="176">
        <v>55877.0</v>
      </c>
      <c r="X38" s="57">
        <f t="shared" si="19"/>
        <v>95877</v>
      </c>
      <c r="Y38" s="54">
        <f t="shared" si="22"/>
        <v>8791</v>
      </c>
      <c r="Z38" s="25" t="s">
        <v>30</v>
      </c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</row>
    <row r="39" ht="17.25" customHeight="1">
      <c r="A39" s="183" t="s">
        <v>118</v>
      </c>
      <c r="B39" s="183" t="s">
        <v>119</v>
      </c>
      <c r="C39" s="184" t="s">
        <v>120</v>
      </c>
      <c r="D39" s="185" t="s">
        <v>22</v>
      </c>
      <c r="E39" s="186" t="s">
        <v>28</v>
      </c>
      <c r="F39" s="187">
        <v>103332.0</v>
      </c>
      <c r="G39" s="188">
        <v>46112.0</v>
      </c>
      <c r="H39" s="189">
        <v>46112.0</v>
      </c>
      <c r="I39" s="190">
        <v>46508.0</v>
      </c>
      <c r="J39" s="191">
        <v>45646.0</v>
      </c>
      <c r="K39" s="192">
        <v>102550.0</v>
      </c>
      <c r="L39" s="193">
        <f>K39+15000</f>
        <v>117550</v>
      </c>
      <c r="M39" s="194">
        <f t="shared" si="14"/>
        <v>14218</v>
      </c>
      <c r="N39" s="191">
        <v>44896.0</v>
      </c>
      <c r="O39" s="195"/>
      <c r="P39" s="193">
        <f t="shared" si="15"/>
        <v>40000</v>
      </c>
      <c r="Q39" s="196">
        <f t="shared" si="16"/>
        <v>-63332</v>
      </c>
      <c r="R39" s="191">
        <v>44896.0</v>
      </c>
      <c r="S39" s="195"/>
      <c r="T39" s="193">
        <f t="shared" si="17"/>
        <v>40000</v>
      </c>
      <c r="U39" s="196">
        <f t="shared" si="18"/>
        <v>-63332</v>
      </c>
      <c r="V39" s="120"/>
      <c r="W39" s="197"/>
      <c r="X39" s="193">
        <f t="shared" si="19"/>
        <v>40000</v>
      </c>
      <c r="Y39" s="196">
        <f t="shared" si="22"/>
        <v>-63332</v>
      </c>
      <c r="Z39" s="25" t="s">
        <v>30</v>
      </c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</row>
    <row r="40">
      <c r="A40" s="122" t="s">
        <v>121</v>
      </c>
      <c r="B40" s="139" t="s">
        <v>122</v>
      </c>
      <c r="C40" s="171" t="s">
        <v>123</v>
      </c>
      <c r="D40" s="43" t="s">
        <v>113</v>
      </c>
      <c r="E40" s="172" t="s">
        <v>28</v>
      </c>
      <c r="F40" s="140">
        <v>40066.0</v>
      </c>
      <c r="G40" s="74">
        <v>46112.0</v>
      </c>
      <c r="H40" s="75">
        <v>46112.0</v>
      </c>
      <c r="I40" s="173">
        <v>46600.0</v>
      </c>
      <c r="J40" s="77">
        <v>45743.0</v>
      </c>
      <c r="K40" s="85">
        <v>40066.0</v>
      </c>
      <c r="L40" s="51">
        <f t="shared" ref="L40:L43" si="23">K40+10000</f>
        <v>50066</v>
      </c>
      <c r="M40" s="52">
        <f t="shared" si="14"/>
        <v>10000</v>
      </c>
      <c r="N40" s="86"/>
      <c r="O40" s="198">
        <v>0.0</v>
      </c>
      <c r="P40" s="53">
        <f t="shared" si="15"/>
        <v>40000</v>
      </c>
      <c r="Q40" s="54">
        <f t="shared" si="16"/>
        <v>-66</v>
      </c>
      <c r="R40" s="86"/>
      <c r="S40" s="199">
        <v>0.0</v>
      </c>
      <c r="T40" s="55">
        <f t="shared" si="17"/>
        <v>40000</v>
      </c>
      <c r="U40" s="54">
        <f t="shared" si="18"/>
        <v>-66</v>
      </c>
      <c r="V40" s="86"/>
      <c r="W40" s="81">
        <v>0.0</v>
      </c>
      <c r="X40" s="57">
        <f t="shared" si="19"/>
        <v>40000</v>
      </c>
      <c r="Y40" s="54">
        <f t="shared" si="22"/>
        <v>-66</v>
      </c>
      <c r="Z40" s="25" t="s">
        <v>30</v>
      </c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</row>
    <row r="41">
      <c r="A41" s="122" t="s">
        <v>124</v>
      </c>
      <c r="B41" s="200" t="s">
        <v>125</v>
      </c>
      <c r="C41" s="171" t="s">
        <v>48</v>
      </c>
      <c r="D41" s="43" t="s">
        <v>113</v>
      </c>
      <c r="E41" s="172" t="s">
        <v>28</v>
      </c>
      <c r="F41" s="45">
        <v>147710.0</v>
      </c>
      <c r="G41" s="74">
        <v>46112.0</v>
      </c>
      <c r="H41" s="75">
        <v>46112.0</v>
      </c>
      <c r="I41" s="201">
        <v>46113.0</v>
      </c>
      <c r="J41" s="77">
        <v>46091.0</v>
      </c>
      <c r="K41" s="85">
        <v>147073.0</v>
      </c>
      <c r="L41" s="51">
        <f t="shared" si="23"/>
        <v>157073</v>
      </c>
      <c r="M41" s="52">
        <f t="shared" si="14"/>
        <v>9363</v>
      </c>
      <c r="N41" s="77">
        <v>45946.0</v>
      </c>
      <c r="O41" s="141">
        <v>124428.0</v>
      </c>
      <c r="P41" s="53">
        <f t="shared" si="15"/>
        <v>164428</v>
      </c>
      <c r="Q41" s="54">
        <f t="shared" si="16"/>
        <v>16718</v>
      </c>
      <c r="R41" s="77">
        <v>45946.0</v>
      </c>
      <c r="S41" s="143">
        <v>124428.0</v>
      </c>
      <c r="T41" s="55">
        <f t="shared" si="17"/>
        <v>164428</v>
      </c>
      <c r="U41" s="54">
        <f t="shared" si="18"/>
        <v>16718</v>
      </c>
      <c r="V41" s="77">
        <v>45946.0</v>
      </c>
      <c r="W41" s="176">
        <v>124428.0</v>
      </c>
      <c r="X41" s="57">
        <f t="shared" si="19"/>
        <v>164428</v>
      </c>
      <c r="Y41" s="54">
        <f t="shared" si="22"/>
        <v>16718</v>
      </c>
      <c r="Z41" s="25" t="s">
        <v>30</v>
      </c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</row>
    <row r="42">
      <c r="A42" s="58" t="s">
        <v>126</v>
      </c>
      <c r="B42" s="58" t="s">
        <v>127</v>
      </c>
      <c r="C42" s="202" t="s">
        <v>48</v>
      </c>
      <c r="D42" s="60" t="s">
        <v>22</v>
      </c>
      <c r="E42" s="61"/>
      <c r="F42" s="203">
        <v>58627.0</v>
      </c>
      <c r="G42" s="63">
        <v>46112.0</v>
      </c>
      <c r="H42" s="64">
        <v>46112.0</v>
      </c>
      <c r="I42" s="204">
        <v>46023.0</v>
      </c>
      <c r="J42" s="205">
        <v>45897.0</v>
      </c>
      <c r="K42" s="206">
        <v>80769.0</v>
      </c>
      <c r="L42" s="68">
        <f t="shared" si="23"/>
        <v>90769</v>
      </c>
      <c r="M42" s="207">
        <f t="shared" si="14"/>
        <v>32142</v>
      </c>
      <c r="N42" s="208">
        <v>45751.0</v>
      </c>
      <c r="O42" s="209">
        <v>60863.0</v>
      </c>
      <c r="P42" s="68">
        <f t="shared" si="15"/>
        <v>100863</v>
      </c>
      <c r="Q42" s="70">
        <f t="shared" si="16"/>
        <v>42236</v>
      </c>
      <c r="R42" s="208">
        <v>45751.0</v>
      </c>
      <c r="S42" s="209">
        <v>60863.0</v>
      </c>
      <c r="T42" s="68">
        <f t="shared" si="17"/>
        <v>100863</v>
      </c>
      <c r="U42" s="70">
        <f t="shared" si="18"/>
        <v>42236</v>
      </c>
      <c r="V42" s="208">
        <v>45751.0</v>
      </c>
      <c r="W42" s="210">
        <v>60863.0</v>
      </c>
      <c r="X42" s="68">
        <f t="shared" si="19"/>
        <v>100863</v>
      </c>
      <c r="Y42" s="70">
        <f t="shared" si="22"/>
        <v>42236</v>
      </c>
      <c r="Z42" s="169" t="s">
        <v>30</v>
      </c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</row>
    <row r="43">
      <c r="A43" s="144" t="s">
        <v>128</v>
      </c>
      <c r="B43" s="179" t="s">
        <v>129</v>
      </c>
      <c r="C43" s="171" t="s">
        <v>81</v>
      </c>
      <c r="D43" s="43" t="s">
        <v>113</v>
      </c>
      <c r="E43" s="172" t="s">
        <v>28</v>
      </c>
      <c r="F43" s="160">
        <v>130391.0</v>
      </c>
      <c r="G43" s="74">
        <v>46112.0</v>
      </c>
      <c r="H43" s="75">
        <v>46112.0</v>
      </c>
      <c r="I43" s="173">
        <v>46388.0</v>
      </c>
      <c r="J43" s="77">
        <v>46072.0</v>
      </c>
      <c r="K43" s="85">
        <v>128484.0</v>
      </c>
      <c r="L43" s="51">
        <f t="shared" si="23"/>
        <v>138484</v>
      </c>
      <c r="M43" s="52">
        <f t="shared" si="14"/>
        <v>8093</v>
      </c>
      <c r="N43" s="177">
        <v>46072.0</v>
      </c>
      <c r="O43" s="141">
        <v>128484.0</v>
      </c>
      <c r="P43" s="53">
        <f t="shared" si="15"/>
        <v>168484</v>
      </c>
      <c r="Q43" s="109">
        <f t="shared" si="16"/>
        <v>38093</v>
      </c>
      <c r="R43" s="177">
        <v>46072.0</v>
      </c>
      <c r="S43" s="143">
        <v>128484.0</v>
      </c>
      <c r="T43" s="55">
        <f t="shared" si="17"/>
        <v>168484</v>
      </c>
      <c r="U43" s="109">
        <f t="shared" si="18"/>
        <v>38093</v>
      </c>
      <c r="V43" s="177">
        <v>45832.0</v>
      </c>
      <c r="W43" s="81">
        <v>106346.0</v>
      </c>
      <c r="X43" s="57">
        <f t="shared" si="19"/>
        <v>146346</v>
      </c>
      <c r="Y43" s="109">
        <f t="shared" si="22"/>
        <v>15955</v>
      </c>
      <c r="Z43" s="25" t="s">
        <v>30</v>
      </c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</row>
    <row r="44">
      <c r="A44" s="144" t="s">
        <v>130</v>
      </c>
      <c r="B44" s="122" t="s">
        <v>131</v>
      </c>
      <c r="C44" s="123" t="s">
        <v>93</v>
      </c>
      <c r="D44" s="124" t="s">
        <v>78</v>
      </c>
      <c r="E44" s="125" t="s">
        <v>96</v>
      </c>
      <c r="F44" s="145">
        <v>877.0</v>
      </c>
      <c r="G44" s="127">
        <v>46112.0</v>
      </c>
      <c r="H44" s="128">
        <v>46112.0</v>
      </c>
      <c r="I44" s="154">
        <v>46235.0</v>
      </c>
      <c r="J44" s="130">
        <v>45987.0</v>
      </c>
      <c r="K44" s="85">
        <v>706.0</v>
      </c>
      <c r="L44" s="51">
        <f>K44+350</f>
        <v>1056</v>
      </c>
      <c r="M44" s="52">
        <f t="shared" si="14"/>
        <v>179</v>
      </c>
      <c r="N44" s="49">
        <v>45481.0</v>
      </c>
      <c r="O44" s="133">
        <v>53000.0</v>
      </c>
      <c r="P44" s="53">
        <f t="shared" si="15"/>
        <v>93000</v>
      </c>
      <c r="Q44" s="54">
        <f t="shared" si="16"/>
        <v>92123</v>
      </c>
      <c r="R44" s="49">
        <v>45481.0</v>
      </c>
      <c r="S44" s="135">
        <v>53000.0</v>
      </c>
      <c r="T44" s="55">
        <f t="shared" si="17"/>
        <v>93000</v>
      </c>
      <c r="U44" s="54">
        <f t="shared" si="18"/>
        <v>92123</v>
      </c>
      <c r="V44" s="49">
        <v>45481.0</v>
      </c>
      <c r="W44" s="56">
        <v>53000.0</v>
      </c>
      <c r="X44" s="57">
        <f t="shared" si="19"/>
        <v>93000</v>
      </c>
      <c r="Y44" s="54">
        <f t="shared" si="22"/>
        <v>92123</v>
      </c>
      <c r="Z44" s="25" t="s">
        <v>30</v>
      </c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</row>
    <row r="45">
      <c r="A45" s="122" t="s">
        <v>132</v>
      </c>
      <c r="B45" s="122" t="s">
        <v>133</v>
      </c>
      <c r="C45" s="211" t="s">
        <v>120</v>
      </c>
      <c r="D45" s="124" t="s">
        <v>37</v>
      </c>
      <c r="E45" s="125" t="s">
        <v>28</v>
      </c>
      <c r="F45" s="145">
        <v>80000.0</v>
      </c>
      <c r="G45" s="127">
        <v>46112.0</v>
      </c>
      <c r="H45" s="128">
        <v>46112.0</v>
      </c>
      <c r="I45" s="156">
        <v>46631.0</v>
      </c>
      <c r="J45" s="130">
        <v>45973.0</v>
      </c>
      <c r="K45" s="85">
        <v>102525.0</v>
      </c>
      <c r="L45" s="51">
        <f t="shared" ref="L45:L52" si="24">K45+10000</f>
        <v>112525</v>
      </c>
      <c r="M45" s="52">
        <f t="shared" si="14"/>
        <v>32525</v>
      </c>
      <c r="N45" s="86"/>
      <c r="O45" s="212"/>
      <c r="P45" s="53">
        <f t="shared" si="15"/>
        <v>40000</v>
      </c>
      <c r="Q45" s="152">
        <f t="shared" si="16"/>
        <v>-40000</v>
      </c>
      <c r="R45" s="86"/>
      <c r="S45" s="213"/>
      <c r="T45" s="55">
        <f t="shared" si="17"/>
        <v>40000</v>
      </c>
      <c r="U45" s="152">
        <f t="shared" si="18"/>
        <v>-40000</v>
      </c>
      <c r="V45" s="86"/>
      <c r="W45" s="87"/>
      <c r="X45" s="57">
        <f t="shared" si="19"/>
        <v>40000</v>
      </c>
      <c r="Y45" s="152">
        <f t="shared" si="22"/>
        <v>-40000</v>
      </c>
      <c r="Z45" s="25" t="s">
        <v>30</v>
      </c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</row>
    <row r="46">
      <c r="A46" s="122" t="s">
        <v>134</v>
      </c>
      <c r="B46" s="139" t="s">
        <v>135</v>
      </c>
      <c r="C46" s="73" t="s">
        <v>136</v>
      </c>
      <c r="D46" s="43" t="s">
        <v>37</v>
      </c>
      <c r="E46" s="44" t="s">
        <v>28</v>
      </c>
      <c r="F46" s="140">
        <v>25107.0</v>
      </c>
      <c r="G46" s="74">
        <v>46112.0</v>
      </c>
      <c r="H46" s="75">
        <v>46112.0</v>
      </c>
      <c r="I46" s="161">
        <v>46388.0</v>
      </c>
      <c r="J46" s="214">
        <v>45573.0</v>
      </c>
      <c r="K46" s="215">
        <v>20000.0</v>
      </c>
      <c r="L46" s="51">
        <f t="shared" si="24"/>
        <v>30000</v>
      </c>
      <c r="M46" s="52">
        <f t="shared" si="14"/>
        <v>4893</v>
      </c>
      <c r="N46" s="86"/>
      <c r="O46" s="212"/>
      <c r="P46" s="53">
        <f t="shared" si="15"/>
        <v>40000</v>
      </c>
      <c r="Q46" s="54">
        <f t="shared" si="16"/>
        <v>14893</v>
      </c>
      <c r="R46" s="86"/>
      <c r="S46" s="213"/>
      <c r="T46" s="55">
        <f t="shared" si="17"/>
        <v>40000</v>
      </c>
      <c r="U46" s="54">
        <f t="shared" si="18"/>
        <v>14893</v>
      </c>
      <c r="V46" s="86"/>
      <c r="W46" s="87"/>
      <c r="X46" s="57">
        <f t="shared" si="19"/>
        <v>40000</v>
      </c>
      <c r="Y46" s="54">
        <f t="shared" si="22"/>
        <v>14893</v>
      </c>
      <c r="Z46" s="25" t="s">
        <v>30</v>
      </c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</row>
    <row r="47">
      <c r="A47" s="40" t="s">
        <v>137</v>
      </c>
      <c r="B47" s="40" t="s">
        <v>138</v>
      </c>
      <c r="C47" s="216" t="s">
        <v>26</v>
      </c>
      <c r="D47" s="217" t="s">
        <v>139</v>
      </c>
      <c r="E47" s="172" t="s">
        <v>28</v>
      </c>
      <c r="F47" s="140">
        <v>338443.0</v>
      </c>
      <c r="G47" s="218">
        <v>46112.0</v>
      </c>
      <c r="H47" s="75">
        <v>46112.0</v>
      </c>
      <c r="I47" s="219">
        <v>46204.0</v>
      </c>
      <c r="J47" s="220">
        <v>46064.0</v>
      </c>
      <c r="K47" s="215">
        <v>332355.0</v>
      </c>
      <c r="L47" s="51">
        <f t="shared" si="24"/>
        <v>342355</v>
      </c>
      <c r="M47" s="52">
        <f t="shared" si="14"/>
        <v>3912</v>
      </c>
      <c r="N47" s="221">
        <v>46007.0</v>
      </c>
      <c r="O47" s="198">
        <v>326859.0</v>
      </c>
      <c r="P47" s="53">
        <f t="shared" si="15"/>
        <v>366859</v>
      </c>
      <c r="Q47" s="54">
        <f t="shared" si="16"/>
        <v>28416</v>
      </c>
      <c r="R47" s="221">
        <v>46007.0</v>
      </c>
      <c r="S47" s="199">
        <v>326859.0</v>
      </c>
      <c r="T47" s="55">
        <f t="shared" si="17"/>
        <v>366859</v>
      </c>
      <c r="U47" s="54">
        <f t="shared" si="18"/>
        <v>28416</v>
      </c>
      <c r="V47" s="221">
        <v>46007.0</v>
      </c>
      <c r="W47" s="81">
        <v>326859.0</v>
      </c>
      <c r="X47" s="57">
        <f t="shared" si="19"/>
        <v>366859</v>
      </c>
      <c r="Y47" s="54">
        <f t="shared" si="22"/>
        <v>28416</v>
      </c>
      <c r="Z47" s="25" t="s">
        <v>30</v>
      </c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</row>
    <row r="48" ht="15.75" customHeight="1">
      <c r="A48" s="88" t="s">
        <v>140</v>
      </c>
      <c r="B48" s="88" t="s">
        <v>141</v>
      </c>
      <c r="C48" s="91" t="s">
        <v>42</v>
      </c>
      <c r="D48" s="90" t="s">
        <v>22</v>
      </c>
      <c r="E48" s="91"/>
      <c r="F48" s="118"/>
      <c r="G48" s="222" t="s">
        <v>142</v>
      </c>
      <c r="H48" s="223" t="s">
        <v>142</v>
      </c>
      <c r="I48" s="223" t="s">
        <v>142</v>
      </c>
      <c r="J48" s="224"/>
      <c r="K48" s="118"/>
      <c r="L48" s="98">
        <f t="shared" si="24"/>
        <v>10000</v>
      </c>
      <c r="M48" s="99">
        <f t="shared" si="14"/>
        <v>10000</v>
      </c>
      <c r="N48" s="101"/>
      <c r="O48" s="118"/>
      <c r="P48" s="98">
        <f t="shared" si="15"/>
        <v>40000</v>
      </c>
      <c r="Q48" s="100">
        <f t="shared" si="16"/>
        <v>40000</v>
      </c>
      <c r="R48" s="101"/>
      <c r="S48" s="118"/>
      <c r="T48" s="98">
        <f t="shared" si="17"/>
        <v>40000</v>
      </c>
      <c r="U48" s="100">
        <f t="shared" si="18"/>
        <v>40000</v>
      </c>
      <c r="V48" s="101"/>
      <c r="W48" s="102"/>
      <c r="X48" s="98">
        <f t="shared" si="19"/>
        <v>40000</v>
      </c>
      <c r="Y48" s="100">
        <f t="shared" si="22"/>
        <v>40000</v>
      </c>
    </row>
    <row r="49">
      <c r="A49" s="147" t="s">
        <v>143</v>
      </c>
      <c r="B49" s="170" t="s">
        <v>144</v>
      </c>
      <c r="C49" s="171" t="s">
        <v>145</v>
      </c>
      <c r="D49" s="43" t="s">
        <v>146</v>
      </c>
      <c r="E49" s="172" t="s">
        <v>28</v>
      </c>
      <c r="F49" s="45">
        <v>85130.0</v>
      </c>
      <c r="G49" s="74">
        <v>46112.0</v>
      </c>
      <c r="H49" s="75">
        <v>46112.0</v>
      </c>
      <c r="I49" s="225">
        <v>46388.0</v>
      </c>
      <c r="J49" s="220">
        <v>46072.0</v>
      </c>
      <c r="K49" s="215">
        <v>82544.0</v>
      </c>
      <c r="L49" s="51">
        <f t="shared" si="24"/>
        <v>92544</v>
      </c>
      <c r="M49" s="52">
        <f t="shared" si="14"/>
        <v>7414</v>
      </c>
      <c r="N49" s="226">
        <v>45999.0</v>
      </c>
      <c r="O49" s="198">
        <v>71039.0</v>
      </c>
      <c r="P49" s="53">
        <f t="shared" si="15"/>
        <v>111039</v>
      </c>
      <c r="Q49" s="54">
        <f t="shared" si="16"/>
        <v>25909</v>
      </c>
      <c r="R49" s="227"/>
      <c r="S49" s="213"/>
      <c r="T49" s="55">
        <f t="shared" si="17"/>
        <v>40000</v>
      </c>
      <c r="U49" s="54">
        <f t="shared" si="18"/>
        <v>-45130</v>
      </c>
      <c r="V49" s="227"/>
      <c r="W49" s="87"/>
      <c r="X49" s="57">
        <f t="shared" si="19"/>
        <v>40000</v>
      </c>
      <c r="Y49" s="82" t="s">
        <v>38</v>
      </c>
      <c r="Z49" s="25" t="s">
        <v>39</v>
      </c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</row>
    <row r="50">
      <c r="A50" s="144" t="s">
        <v>147</v>
      </c>
      <c r="B50" s="200" t="s">
        <v>148</v>
      </c>
      <c r="C50" s="172" t="s">
        <v>48</v>
      </c>
      <c r="D50" s="43" t="s">
        <v>149</v>
      </c>
      <c r="E50" s="172" t="s">
        <v>28</v>
      </c>
      <c r="F50" s="140">
        <v>68374.0</v>
      </c>
      <c r="G50" s="228">
        <v>46112.0</v>
      </c>
      <c r="H50" s="75">
        <v>46112.0</v>
      </c>
      <c r="I50" s="173">
        <v>46204.0</v>
      </c>
      <c r="J50" s="220">
        <v>46009.0</v>
      </c>
      <c r="K50" s="85">
        <v>61666.0</v>
      </c>
      <c r="L50" s="51">
        <f t="shared" si="24"/>
        <v>71666</v>
      </c>
      <c r="M50" s="52">
        <f t="shared" si="14"/>
        <v>3292</v>
      </c>
      <c r="N50" s="226">
        <v>45740.0</v>
      </c>
      <c r="O50" s="198">
        <v>43255.0</v>
      </c>
      <c r="P50" s="53">
        <f t="shared" si="15"/>
        <v>83255</v>
      </c>
      <c r="Q50" s="54">
        <f t="shared" si="16"/>
        <v>14881</v>
      </c>
      <c r="R50" s="226">
        <v>45740.0</v>
      </c>
      <c r="S50" s="199">
        <v>43255.0</v>
      </c>
      <c r="T50" s="55">
        <f t="shared" si="17"/>
        <v>83255</v>
      </c>
      <c r="U50" s="54">
        <f t="shared" si="18"/>
        <v>14881</v>
      </c>
      <c r="V50" s="226">
        <v>45740.0</v>
      </c>
      <c r="W50" s="81">
        <v>43255.0</v>
      </c>
      <c r="X50" s="57">
        <f t="shared" si="19"/>
        <v>83255</v>
      </c>
      <c r="Y50" s="54">
        <f t="shared" ref="Y50:Y52" si="25">+X50-F50</f>
        <v>14881</v>
      </c>
      <c r="Z50" s="25" t="s">
        <v>30</v>
      </c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</row>
    <row r="51">
      <c r="A51" s="144" t="s">
        <v>150</v>
      </c>
      <c r="B51" s="200" t="s">
        <v>151</v>
      </c>
      <c r="C51" s="172" t="s">
        <v>120</v>
      </c>
      <c r="D51" s="43" t="s">
        <v>149</v>
      </c>
      <c r="E51" s="172"/>
      <c r="F51" s="140">
        <v>0.0</v>
      </c>
      <c r="G51" s="228">
        <v>46112.0</v>
      </c>
      <c r="H51" s="75">
        <v>46112.0</v>
      </c>
      <c r="I51" s="173">
        <v>46844.0</v>
      </c>
      <c r="J51" s="229"/>
      <c r="K51" s="85"/>
      <c r="L51" s="51">
        <f t="shared" si="24"/>
        <v>10000</v>
      </c>
      <c r="M51" s="52">
        <f t="shared" si="14"/>
        <v>10000</v>
      </c>
      <c r="N51" s="226"/>
      <c r="O51" s="198"/>
      <c r="P51" s="53">
        <f t="shared" si="15"/>
        <v>40000</v>
      </c>
      <c r="Q51" s="54">
        <f t="shared" si="16"/>
        <v>40000</v>
      </c>
      <c r="R51" s="226"/>
      <c r="S51" s="199"/>
      <c r="T51" s="55">
        <f t="shared" si="17"/>
        <v>40000</v>
      </c>
      <c r="U51" s="54">
        <f t="shared" si="18"/>
        <v>40000</v>
      </c>
      <c r="V51" s="227"/>
      <c r="W51" s="87"/>
      <c r="X51" s="57">
        <f t="shared" si="19"/>
        <v>40000</v>
      </c>
      <c r="Y51" s="54">
        <f t="shared" si="25"/>
        <v>40000</v>
      </c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</row>
    <row r="52">
      <c r="A52" s="144" t="s">
        <v>152</v>
      </c>
      <c r="B52" s="179" t="s">
        <v>153</v>
      </c>
      <c r="C52" s="172" t="s">
        <v>81</v>
      </c>
      <c r="D52" s="43" t="s">
        <v>113</v>
      </c>
      <c r="E52" s="172" t="s">
        <v>28</v>
      </c>
      <c r="F52" s="160">
        <v>15567.0</v>
      </c>
      <c r="G52" s="74">
        <v>46112.0</v>
      </c>
      <c r="H52" s="75">
        <v>46112.0</v>
      </c>
      <c r="I52" s="173">
        <v>47027.0</v>
      </c>
      <c r="J52" s="229">
        <v>46045.0</v>
      </c>
      <c r="K52" s="85">
        <v>10271.0</v>
      </c>
      <c r="L52" s="51">
        <f t="shared" si="24"/>
        <v>20271</v>
      </c>
      <c r="M52" s="52">
        <f t="shared" si="14"/>
        <v>4704</v>
      </c>
      <c r="N52" s="226"/>
      <c r="O52" s="198"/>
      <c r="P52" s="53">
        <f t="shared" si="15"/>
        <v>40000</v>
      </c>
      <c r="Q52" s="54">
        <f t="shared" si="16"/>
        <v>24433</v>
      </c>
      <c r="R52" s="226"/>
      <c r="S52" s="199"/>
      <c r="T52" s="55">
        <f t="shared" si="17"/>
        <v>40000</v>
      </c>
      <c r="U52" s="54">
        <f t="shared" si="18"/>
        <v>24433</v>
      </c>
      <c r="V52" s="227"/>
      <c r="W52" s="87"/>
      <c r="X52" s="57">
        <f t="shared" si="19"/>
        <v>40000</v>
      </c>
      <c r="Y52" s="54">
        <f t="shared" si="25"/>
        <v>24433</v>
      </c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</row>
    <row r="53">
      <c r="A53" s="144" t="s">
        <v>154</v>
      </c>
      <c r="B53" s="179" t="s">
        <v>155</v>
      </c>
      <c r="C53" s="172" t="s">
        <v>81</v>
      </c>
      <c r="D53" s="43" t="s">
        <v>156</v>
      </c>
      <c r="E53" s="172" t="s">
        <v>28</v>
      </c>
      <c r="F53" s="160"/>
      <c r="G53" s="74"/>
      <c r="H53" s="75"/>
      <c r="I53" s="230"/>
      <c r="J53" s="229"/>
      <c r="K53" s="85"/>
      <c r="L53" s="51"/>
      <c r="M53" s="52"/>
      <c r="N53" s="226"/>
      <c r="O53" s="198"/>
      <c r="P53" s="53"/>
      <c r="Q53" s="54"/>
      <c r="R53" s="226"/>
      <c r="S53" s="199"/>
      <c r="T53" s="55"/>
      <c r="U53" s="54"/>
      <c r="V53" s="227"/>
      <c r="W53" s="87"/>
      <c r="X53" s="57"/>
      <c r="Y53" s="82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</row>
    <row r="54">
      <c r="A54" s="122" t="s">
        <v>157</v>
      </c>
      <c r="B54" s="179" t="s">
        <v>158</v>
      </c>
      <c r="C54" s="171" t="s">
        <v>159</v>
      </c>
      <c r="D54" s="43" t="s">
        <v>37</v>
      </c>
      <c r="E54" s="172" t="s">
        <v>28</v>
      </c>
      <c r="F54" s="160">
        <v>344355.0</v>
      </c>
      <c r="G54" s="74">
        <v>46112.0</v>
      </c>
      <c r="H54" s="75">
        <v>46112.0</v>
      </c>
      <c r="I54" s="230">
        <v>46112.0</v>
      </c>
      <c r="J54" s="229">
        <v>46065.0</v>
      </c>
      <c r="K54" s="85">
        <v>340595.0</v>
      </c>
      <c r="L54" s="51">
        <f>K54+10000</f>
        <v>350595</v>
      </c>
      <c r="M54" s="52">
        <f t="shared" ref="M54:M57" si="26">+L54-F54</f>
        <v>6240</v>
      </c>
      <c r="N54" s="226">
        <v>45776.0</v>
      </c>
      <c r="O54" s="198">
        <v>313351.0</v>
      </c>
      <c r="P54" s="53">
        <f>O54+40000</f>
        <v>353351</v>
      </c>
      <c r="Q54" s="54">
        <f t="shared" ref="Q54:Q55" si="27">+P54-F54</f>
        <v>8996</v>
      </c>
      <c r="R54" s="226">
        <v>45776.0</v>
      </c>
      <c r="S54" s="199">
        <v>313351.0</v>
      </c>
      <c r="T54" s="55">
        <f>S54+40000</f>
        <v>353351</v>
      </c>
      <c r="U54" s="54">
        <f t="shared" ref="U54:U55" si="28">+T54-F54</f>
        <v>8996</v>
      </c>
      <c r="V54" s="227"/>
      <c r="W54" s="87"/>
      <c r="X54" s="57">
        <f t="shared" ref="X54:X55" si="29">W54+40000</f>
        <v>40000</v>
      </c>
      <c r="Y54" s="82" t="s">
        <v>38</v>
      </c>
      <c r="Z54" s="25" t="s">
        <v>39</v>
      </c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</row>
    <row r="55">
      <c r="A55" s="118"/>
      <c r="B55" s="88" t="s">
        <v>160</v>
      </c>
      <c r="C55" s="89" t="s">
        <v>42</v>
      </c>
      <c r="D55" s="90" t="s">
        <v>22</v>
      </c>
      <c r="E55" s="91"/>
      <c r="F55" s="118" t="s">
        <v>161</v>
      </c>
      <c r="G55" s="231"/>
      <c r="H55" s="232"/>
      <c r="I55" s="233"/>
      <c r="J55" s="101"/>
      <c r="K55" s="97">
        <v>95305.0</v>
      </c>
      <c r="L55" s="118"/>
      <c r="M55" s="99">
        <f t="shared" si="26"/>
        <v>0</v>
      </c>
      <c r="N55" s="101"/>
      <c r="O55" s="118"/>
      <c r="P55" s="118"/>
      <c r="Q55" s="100">
        <f t="shared" si="27"/>
        <v>0</v>
      </c>
      <c r="R55" s="101"/>
      <c r="S55" s="118"/>
      <c r="T55" s="118"/>
      <c r="U55" s="100">
        <f t="shared" si="28"/>
        <v>0</v>
      </c>
      <c r="V55" s="101"/>
      <c r="W55" s="118"/>
      <c r="X55" s="98">
        <f t="shared" si="29"/>
        <v>40000</v>
      </c>
      <c r="Y55" s="100">
        <f>+X55-F55</f>
        <v>40000</v>
      </c>
    </row>
    <row r="56">
      <c r="A56" s="71" t="s">
        <v>162</v>
      </c>
      <c r="B56" s="170" t="s">
        <v>163</v>
      </c>
      <c r="C56" s="171" t="s">
        <v>164</v>
      </c>
      <c r="D56" s="234"/>
      <c r="E56" s="172" t="s">
        <v>28</v>
      </c>
      <c r="F56" s="45">
        <v>0.0</v>
      </c>
      <c r="G56" s="235" t="s">
        <v>165</v>
      </c>
      <c r="H56" s="236" t="s">
        <v>165</v>
      </c>
      <c r="I56" s="237" t="s">
        <v>165</v>
      </c>
      <c r="J56" s="77">
        <v>45751.0</v>
      </c>
      <c r="K56" s="85">
        <v>4564.0</v>
      </c>
      <c r="L56" s="51">
        <f t="shared" ref="L56:L57" si="30">K56+1000</f>
        <v>5564</v>
      </c>
      <c r="M56" s="52">
        <f t="shared" si="26"/>
        <v>5564</v>
      </c>
      <c r="N56" s="238" t="s">
        <v>29</v>
      </c>
      <c r="O56" s="239" t="s">
        <v>29</v>
      </c>
      <c r="P56" s="133" t="s">
        <v>29</v>
      </c>
      <c r="Q56" s="240" t="s">
        <v>29</v>
      </c>
      <c r="R56" s="238" t="s">
        <v>29</v>
      </c>
      <c r="S56" s="241" t="s">
        <v>29</v>
      </c>
      <c r="T56" s="135" t="s">
        <v>29</v>
      </c>
      <c r="U56" s="240" t="s">
        <v>29</v>
      </c>
      <c r="V56" s="238" t="s">
        <v>29</v>
      </c>
      <c r="W56" s="178" t="s">
        <v>29</v>
      </c>
      <c r="X56" s="178" t="s">
        <v>29</v>
      </c>
      <c r="Y56" s="240" t="s">
        <v>29</v>
      </c>
    </row>
    <row r="57">
      <c r="A57" s="71" t="s">
        <v>166</v>
      </c>
      <c r="B57" s="170" t="s">
        <v>167</v>
      </c>
      <c r="C57" s="171" t="s">
        <v>164</v>
      </c>
      <c r="D57" s="234"/>
      <c r="E57" s="172" t="s">
        <v>28</v>
      </c>
      <c r="F57" s="140">
        <v>0.0</v>
      </c>
      <c r="G57" s="242" t="s">
        <v>165</v>
      </c>
      <c r="H57" s="243" t="s">
        <v>165</v>
      </c>
      <c r="I57" s="244" t="s">
        <v>165</v>
      </c>
      <c r="J57" s="245">
        <v>45693.0</v>
      </c>
      <c r="K57" s="246">
        <v>9529.0</v>
      </c>
      <c r="L57" s="51">
        <f t="shared" si="30"/>
        <v>10529</v>
      </c>
      <c r="M57" s="52">
        <f t="shared" si="26"/>
        <v>10529</v>
      </c>
      <c r="N57" s="245" t="s">
        <v>29</v>
      </c>
      <c r="O57" s="247" t="s">
        <v>29</v>
      </c>
      <c r="P57" s="247" t="s">
        <v>29</v>
      </c>
      <c r="Q57" s="240" t="s">
        <v>29</v>
      </c>
      <c r="R57" s="248" t="s">
        <v>29</v>
      </c>
      <c r="S57" s="249" t="s">
        <v>29</v>
      </c>
      <c r="T57" s="250" t="s">
        <v>29</v>
      </c>
      <c r="U57" s="240" t="s">
        <v>29</v>
      </c>
      <c r="V57" s="248" t="s">
        <v>29</v>
      </c>
      <c r="W57" s="251" t="s">
        <v>29</v>
      </c>
      <c r="X57" s="251" t="s">
        <v>29</v>
      </c>
      <c r="Y57" s="240" t="s">
        <v>29</v>
      </c>
    </row>
    <row r="58">
      <c r="F58" s="252" t="s">
        <v>161</v>
      </c>
      <c r="M58" s="253"/>
    </row>
    <row r="59">
      <c r="F59" s="252" t="s">
        <v>161</v>
      </c>
      <c r="M59" s="253"/>
    </row>
    <row r="60">
      <c r="F60" s="252" t="s">
        <v>161</v>
      </c>
      <c r="M60" s="253"/>
    </row>
    <row r="61">
      <c r="F61" s="252" t="s">
        <v>161</v>
      </c>
      <c r="H61" s="254"/>
      <c r="M61" s="253"/>
    </row>
    <row r="62">
      <c r="F62" s="252" t="s">
        <v>161</v>
      </c>
      <c r="M62" s="253"/>
    </row>
    <row r="63">
      <c r="F63" s="252" t="s">
        <v>161</v>
      </c>
      <c r="M63" s="253"/>
    </row>
    <row r="64">
      <c r="F64" s="252" t="s">
        <v>161</v>
      </c>
      <c r="M64" s="253"/>
    </row>
    <row r="65">
      <c r="F65" s="252" t="s">
        <v>161</v>
      </c>
      <c r="M65" s="253"/>
    </row>
    <row r="66">
      <c r="F66" s="252" t="s">
        <v>161</v>
      </c>
      <c r="M66" s="253"/>
    </row>
    <row r="67">
      <c r="F67" s="252" t="s">
        <v>161</v>
      </c>
      <c r="M67" s="253"/>
    </row>
    <row r="68">
      <c r="F68" s="252" t="s">
        <v>161</v>
      </c>
      <c r="M68" s="253"/>
    </row>
    <row r="69">
      <c r="F69" s="252" t="s">
        <v>161</v>
      </c>
      <c r="M69" s="253"/>
    </row>
    <row r="70">
      <c r="F70" s="252" t="s">
        <v>161</v>
      </c>
      <c r="M70" s="253"/>
    </row>
    <row r="71">
      <c r="F71" s="252" t="s">
        <v>161</v>
      </c>
      <c r="M71" s="253"/>
    </row>
    <row r="72">
      <c r="F72" s="252" t="s">
        <v>161</v>
      </c>
      <c r="M72" s="253"/>
    </row>
    <row r="73">
      <c r="F73" s="252" t="s">
        <v>161</v>
      </c>
      <c r="M73" s="253"/>
    </row>
    <row r="74">
      <c r="F74" s="252" t="s">
        <v>161</v>
      </c>
      <c r="M74" s="253"/>
    </row>
    <row r="75">
      <c r="F75" s="252" t="s">
        <v>161</v>
      </c>
      <c r="M75" s="253"/>
    </row>
    <row r="76">
      <c r="F76" s="252" t="s">
        <v>161</v>
      </c>
      <c r="M76" s="253"/>
    </row>
    <row r="77">
      <c r="F77" s="252" t="s">
        <v>161</v>
      </c>
      <c r="M77" s="253"/>
    </row>
    <row r="78">
      <c r="F78" s="252" t="s">
        <v>161</v>
      </c>
      <c r="M78" s="253"/>
    </row>
    <row r="79">
      <c r="F79" s="252" t="s">
        <v>161</v>
      </c>
      <c r="M79" s="253"/>
    </row>
    <row r="80">
      <c r="F80" s="252" t="s">
        <v>161</v>
      </c>
      <c r="M80" s="253"/>
    </row>
    <row r="81">
      <c r="F81" s="252" t="s">
        <v>161</v>
      </c>
      <c r="M81" s="253"/>
    </row>
    <row r="82">
      <c r="F82" s="252" t="s">
        <v>161</v>
      </c>
      <c r="M82" s="253"/>
    </row>
    <row r="83">
      <c r="F83" s="252" t="s">
        <v>161</v>
      </c>
      <c r="M83" s="253"/>
    </row>
    <row r="84">
      <c r="F84" s="252" t="s">
        <v>161</v>
      </c>
      <c r="M84" s="253"/>
    </row>
    <row r="85">
      <c r="F85" s="252" t="s">
        <v>161</v>
      </c>
      <c r="M85" s="253"/>
    </row>
    <row r="86">
      <c r="F86" s="252" t="s">
        <v>161</v>
      </c>
      <c r="M86" s="253"/>
    </row>
    <row r="87">
      <c r="F87" s="252" t="s">
        <v>161</v>
      </c>
      <c r="M87" s="253"/>
    </row>
    <row r="88">
      <c r="F88" s="252" t="s">
        <v>161</v>
      </c>
      <c r="M88" s="253"/>
    </row>
    <row r="89">
      <c r="F89" s="252" t="s">
        <v>161</v>
      </c>
      <c r="M89" s="253"/>
    </row>
    <row r="90">
      <c r="F90" s="252" t="s">
        <v>161</v>
      </c>
      <c r="M90" s="253"/>
    </row>
    <row r="91">
      <c r="F91" s="252" t="s">
        <v>161</v>
      </c>
      <c r="M91" s="253"/>
    </row>
    <row r="92">
      <c r="F92" s="252" t="s">
        <v>161</v>
      </c>
      <c r="M92" s="253"/>
    </row>
    <row r="93">
      <c r="F93" s="252" t="s">
        <v>161</v>
      </c>
      <c r="M93" s="253"/>
    </row>
    <row r="94">
      <c r="F94" s="252" t="s">
        <v>161</v>
      </c>
      <c r="M94" s="253"/>
    </row>
    <row r="95">
      <c r="F95" s="252" t="s">
        <v>161</v>
      </c>
      <c r="M95" s="253"/>
    </row>
    <row r="96">
      <c r="F96" s="252" t="s">
        <v>161</v>
      </c>
      <c r="M96" s="253"/>
    </row>
    <row r="97">
      <c r="F97" s="252" t="s">
        <v>161</v>
      </c>
      <c r="M97" s="253"/>
    </row>
    <row r="98">
      <c r="F98" s="252" t="s">
        <v>161</v>
      </c>
      <c r="M98" s="253"/>
    </row>
    <row r="99">
      <c r="F99" s="252" t="s">
        <v>161</v>
      </c>
      <c r="M99" s="253"/>
    </row>
    <row r="100">
      <c r="F100" s="252" t="s">
        <v>161</v>
      </c>
      <c r="M100" s="253"/>
    </row>
    <row r="101">
      <c r="F101" s="252" t="s">
        <v>161</v>
      </c>
      <c r="M101" s="253"/>
    </row>
    <row r="102">
      <c r="F102" s="252" t="s">
        <v>161</v>
      </c>
      <c r="M102" s="253"/>
    </row>
    <row r="103">
      <c r="F103" s="252" t="s">
        <v>161</v>
      </c>
      <c r="M103" s="253"/>
    </row>
    <row r="104">
      <c r="F104" s="252" t="s">
        <v>161</v>
      </c>
      <c r="M104" s="253"/>
    </row>
    <row r="105">
      <c r="F105" s="252" t="s">
        <v>161</v>
      </c>
      <c r="M105" s="253"/>
    </row>
    <row r="106">
      <c r="F106" s="252" t="s">
        <v>161</v>
      </c>
      <c r="M106" s="253"/>
    </row>
    <row r="107">
      <c r="F107" s="252" t="s">
        <v>161</v>
      </c>
      <c r="M107" s="253"/>
    </row>
    <row r="108">
      <c r="F108" s="252" t="s">
        <v>161</v>
      </c>
      <c r="M108" s="253"/>
    </row>
    <row r="109">
      <c r="F109" s="252" t="s">
        <v>161</v>
      </c>
      <c r="M109" s="253"/>
    </row>
    <row r="110">
      <c r="F110" s="252" t="s">
        <v>161</v>
      </c>
      <c r="M110" s="253"/>
    </row>
    <row r="111">
      <c r="F111" s="252" t="s">
        <v>161</v>
      </c>
      <c r="M111" s="253"/>
    </row>
    <row r="112">
      <c r="F112" s="252" t="s">
        <v>161</v>
      </c>
      <c r="M112" s="253"/>
    </row>
    <row r="113">
      <c r="F113" s="252" t="s">
        <v>161</v>
      </c>
      <c r="M113" s="253"/>
    </row>
    <row r="114">
      <c r="F114" s="252" t="s">
        <v>161</v>
      </c>
      <c r="M114" s="253"/>
    </row>
    <row r="115">
      <c r="F115" s="252" t="s">
        <v>161</v>
      </c>
      <c r="M115" s="253"/>
    </row>
    <row r="116">
      <c r="F116" s="252" t="s">
        <v>161</v>
      </c>
      <c r="M116" s="253"/>
    </row>
    <row r="117">
      <c r="F117" s="252" t="s">
        <v>161</v>
      </c>
      <c r="M117" s="253"/>
    </row>
    <row r="118">
      <c r="F118" s="252" t="s">
        <v>161</v>
      </c>
      <c r="M118" s="253"/>
    </row>
    <row r="119">
      <c r="F119" s="252" t="s">
        <v>161</v>
      </c>
      <c r="M119" s="253"/>
    </row>
    <row r="120">
      <c r="F120" s="252" t="s">
        <v>161</v>
      </c>
      <c r="M120" s="253"/>
    </row>
    <row r="121">
      <c r="F121" s="252" t="s">
        <v>161</v>
      </c>
      <c r="M121" s="253"/>
    </row>
    <row r="122">
      <c r="F122" s="252" t="s">
        <v>161</v>
      </c>
      <c r="M122" s="253"/>
    </row>
    <row r="123">
      <c r="F123" s="252" t="s">
        <v>161</v>
      </c>
      <c r="M123" s="253"/>
    </row>
    <row r="124">
      <c r="F124" s="252" t="s">
        <v>161</v>
      </c>
      <c r="M124" s="253"/>
    </row>
    <row r="125">
      <c r="F125" s="252" t="s">
        <v>161</v>
      </c>
      <c r="M125" s="253"/>
    </row>
    <row r="126">
      <c r="F126" s="252" t="s">
        <v>161</v>
      </c>
      <c r="M126" s="253"/>
    </row>
    <row r="127">
      <c r="F127" s="252" t="s">
        <v>161</v>
      </c>
      <c r="M127" s="253"/>
    </row>
    <row r="128">
      <c r="F128" s="252" t="s">
        <v>161</v>
      </c>
      <c r="M128" s="253"/>
    </row>
    <row r="129">
      <c r="F129" s="252" t="s">
        <v>161</v>
      </c>
      <c r="M129" s="253"/>
    </row>
    <row r="130">
      <c r="F130" s="252" t="s">
        <v>161</v>
      </c>
      <c r="M130" s="253"/>
    </row>
    <row r="131">
      <c r="F131" s="252" t="s">
        <v>161</v>
      </c>
      <c r="M131" s="253"/>
    </row>
    <row r="132">
      <c r="F132" s="252" t="s">
        <v>161</v>
      </c>
      <c r="M132" s="253"/>
    </row>
    <row r="133">
      <c r="F133" s="252" t="s">
        <v>161</v>
      </c>
      <c r="M133" s="253"/>
    </row>
    <row r="134">
      <c r="F134" s="252" t="s">
        <v>161</v>
      </c>
      <c r="M134" s="253"/>
    </row>
    <row r="135">
      <c r="F135" s="252" t="s">
        <v>161</v>
      </c>
      <c r="M135" s="253"/>
    </row>
    <row r="136">
      <c r="F136" s="252" t="s">
        <v>161</v>
      </c>
      <c r="M136" s="253"/>
    </row>
    <row r="137">
      <c r="F137" s="252" t="s">
        <v>161</v>
      </c>
      <c r="M137" s="253"/>
    </row>
    <row r="138">
      <c r="F138" s="252" t="s">
        <v>161</v>
      </c>
      <c r="M138" s="253"/>
    </row>
    <row r="139">
      <c r="F139" s="252" t="s">
        <v>161</v>
      </c>
      <c r="M139" s="253"/>
    </row>
    <row r="140">
      <c r="F140" s="252" t="s">
        <v>161</v>
      </c>
      <c r="M140" s="253"/>
    </row>
    <row r="141">
      <c r="F141" s="252" t="s">
        <v>161</v>
      </c>
      <c r="M141" s="253"/>
    </row>
    <row r="142">
      <c r="F142" s="252" t="s">
        <v>161</v>
      </c>
      <c r="M142" s="253"/>
    </row>
    <row r="143">
      <c r="F143" s="252" t="s">
        <v>161</v>
      </c>
      <c r="M143" s="253"/>
    </row>
    <row r="144">
      <c r="F144" s="252" t="s">
        <v>161</v>
      </c>
      <c r="M144" s="253"/>
    </row>
    <row r="145">
      <c r="F145" s="252" t="s">
        <v>161</v>
      </c>
      <c r="M145" s="253"/>
    </row>
    <row r="146">
      <c r="F146" s="252" t="s">
        <v>161</v>
      </c>
      <c r="M146" s="253"/>
    </row>
    <row r="147">
      <c r="F147" s="252" t="s">
        <v>161</v>
      </c>
      <c r="M147" s="253"/>
    </row>
    <row r="148">
      <c r="F148" s="252" t="s">
        <v>161</v>
      </c>
      <c r="M148" s="253"/>
    </row>
    <row r="149">
      <c r="F149" s="252" t="s">
        <v>161</v>
      </c>
      <c r="M149" s="253"/>
    </row>
    <row r="150">
      <c r="F150" s="252" t="s">
        <v>161</v>
      </c>
      <c r="M150" s="253"/>
    </row>
    <row r="151">
      <c r="F151" s="252" t="s">
        <v>161</v>
      </c>
      <c r="M151" s="253"/>
    </row>
    <row r="152">
      <c r="F152" s="252" t="s">
        <v>161</v>
      </c>
      <c r="M152" s="253"/>
    </row>
    <row r="153">
      <c r="F153" s="252" t="s">
        <v>161</v>
      </c>
      <c r="M153" s="253"/>
    </row>
    <row r="154">
      <c r="F154" s="252" t="s">
        <v>161</v>
      </c>
      <c r="M154" s="253"/>
    </row>
    <row r="155">
      <c r="F155" s="252" t="s">
        <v>161</v>
      </c>
      <c r="M155" s="253"/>
    </row>
    <row r="156">
      <c r="F156" s="252" t="s">
        <v>161</v>
      </c>
      <c r="M156" s="253"/>
    </row>
    <row r="157">
      <c r="F157" s="252" t="s">
        <v>161</v>
      </c>
      <c r="M157" s="253"/>
    </row>
    <row r="158">
      <c r="F158" s="252" t="s">
        <v>161</v>
      </c>
      <c r="M158" s="253"/>
    </row>
    <row r="159">
      <c r="F159" s="252" t="s">
        <v>161</v>
      </c>
      <c r="M159" s="253"/>
    </row>
    <row r="160">
      <c r="F160" s="252" t="s">
        <v>161</v>
      </c>
      <c r="M160" s="253"/>
    </row>
    <row r="161">
      <c r="F161" s="252" t="s">
        <v>161</v>
      </c>
      <c r="M161" s="253"/>
    </row>
    <row r="162">
      <c r="F162" s="252" t="s">
        <v>161</v>
      </c>
      <c r="M162" s="253"/>
    </row>
    <row r="163">
      <c r="F163" s="252" t="s">
        <v>161</v>
      </c>
      <c r="M163" s="253"/>
    </row>
    <row r="164">
      <c r="F164" s="252" t="s">
        <v>161</v>
      </c>
      <c r="M164" s="253"/>
    </row>
    <row r="165">
      <c r="F165" s="252" t="s">
        <v>161</v>
      </c>
      <c r="M165" s="253"/>
    </row>
    <row r="166">
      <c r="F166" s="252" t="s">
        <v>161</v>
      </c>
      <c r="M166" s="253"/>
    </row>
    <row r="167">
      <c r="F167" s="252" t="s">
        <v>161</v>
      </c>
      <c r="M167" s="253"/>
    </row>
    <row r="168">
      <c r="F168" s="252" t="s">
        <v>161</v>
      </c>
      <c r="M168" s="253"/>
    </row>
    <row r="169">
      <c r="F169" s="252" t="s">
        <v>161</v>
      </c>
      <c r="M169" s="253"/>
    </row>
    <row r="170">
      <c r="F170" s="252" t="s">
        <v>161</v>
      </c>
      <c r="M170" s="253"/>
    </row>
    <row r="171">
      <c r="F171" s="252" t="s">
        <v>161</v>
      </c>
      <c r="M171" s="253"/>
    </row>
    <row r="172">
      <c r="F172" s="252" t="s">
        <v>161</v>
      </c>
      <c r="M172" s="253"/>
    </row>
    <row r="173">
      <c r="F173" s="252" t="s">
        <v>161</v>
      </c>
      <c r="M173" s="253"/>
    </row>
    <row r="174">
      <c r="F174" s="252" t="s">
        <v>161</v>
      </c>
      <c r="M174" s="253"/>
    </row>
    <row r="175">
      <c r="F175" s="252" t="s">
        <v>161</v>
      </c>
      <c r="M175" s="253"/>
    </row>
    <row r="176">
      <c r="F176" s="252" t="s">
        <v>161</v>
      </c>
      <c r="M176" s="253"/>
    </row>
    <row r="177">
      <c r="F177" s="252" t="s">
        <v>161</v>
      </c>
      <c r="M177" s="253"/>
    </row>
    <row r="178">
      <c r="F178" s="252" t="s">
        <v>161</v>
      </c>
      <c r="M178" s="253"/>
    </row>
    <row r="179">
      <c r="F179" s="252" t="s">
        <v>161</v>
      </c>
      <c r="M179" s="253"/>
    </row>
    <row r="180">
      <c r="F180" s="252" t="s">
        <v>161</v>
      </c>
      <c r="M180" s="253"/>
    </row>
    <row r="181">
      <c r="F181" s="252" t="s">
        <v>161</v>
      </c>
      <c r="M181" s="253"/>
    </row>
    <row r="182">
      <c r="F182" s="252" t="s">
        <v>161</v>
      </c>
      <c r="M182" s="253"/>
    </row>
    <row r="183">
      <c r="F183" s="252" t="s">
        <v>161</v>
      </c>
      <c r="M183" s="253"/>
    </row>
    <row r="184">
      <c r="F184" s="252" t="s">
        <v>161</v>
      </c>
      <c r="M184" s="253"/>
    </row>
    <row r="185">
      <c r="F185" s="252" t="s">
        <v>161</v>
      </c>
      <c r="M185" s="253"/>
    </row>
    <row r="186">
      <c r="F186" s="252" t="s">
        <v>161</v>
      </c>
      <c r="M186" s="253"/>
    </row>
    <row r="187">
      <c r="F187" s="252" t="s">
        <v>161</v>
      </c>
      <c r="M187" s="253"/>
    </row>
    <row r="188">
      <c r="F188" s="252" t="s">
        <v>161</v>
      </c>
      <c r="M188" s="253"/>
    </row>
    <row r="189">
      <c r="F189" s="252" t="s">
        <v>161</v>
      </c>
      <c r="M189" s="253"/>
    </row>
    <row r="190">
      <c r="F190" s="252" t="s">
        <v>161</v>
      </c>
      <c r="M190" s="253"/>
    </row>
    <row r="191">
      <c r="F191" s="252" t="s">
        <v>161</v>
      </c>
      <c r="M191" s="253"/>
    </row>
    <row r="192">
      <c r="F192" s="252" t="s">
        <v>161</v>
      </c>
      <c r="M192" s="253"/>
    </row>
    <row r="193">
      <c r="F193" s="252" t="s">
        <v>161</v>
      </c>
      <c r="M193" s="253"/>
    </row>
    <row r="194">
      <c r="F194" s="252" t="s">
        <v>161</v>
      </c>
      <c r="M194" s="253"/>
    </row>
    <row r="195">
      <c r="F195" s="252" t="s">
        <v>161</v>
      </c>
      <c r="M195" s="253"/>
    </row>
    <row r="196">
      <c r="F196" s="252" t="s">
        <v>161</v>
      </c>
      <c r="M196" s="253"/>
    </row>
    <row r="197">
      <c r="F197" s="252" t="s">
        <v>161</v>
      </c>
      <c r="M197" s="253"/>
    </row>
    <row r="198">
      <c r="F198" s="252" t="s">
        <v>161</v>
      </c>
      <c r="M198" s="253"/>
    </row>
    <row r="199">
      <c r="F199" s="252" t="s">
        <v>161</v>
      </c>
      <c r="M199" s="253"/>
    </row>
    <row r="200">
      <c r="F200" s="252" t="s">
        <v>161</v>
      </c>
      <c r="M200" s="253"/>
    </row>
    <row r="201">
      <c r="F201" s="252" t="s">
        <v>161</v>
      </c>
      <c r="M201" s="253"/>
    </row>
    <row r="202">
      <c r="F202" s="252" t="s">
        <v>161</v>
      </c>
      <c r="M202" s="253"/>
    </row>
    <row r="203">
      <c r="F203" s="252" t="s">
        <v>161</v>
      </c>
      <c r="M203" s="253"/>
    </row>
    <row r="204">
      <c r="F204" s="252" t="s">
        <v>161</v>
      </c>
      <c r="M204" s="253"/>
    </row>
    <row r="205">
      <c r="F205" s="252" t="s">
        <v>161</v>
      </c>
      <c r="M205" s="253"/>
    </row>
    <row r="206">
      <c r="F206" s="252" t="s">
        <v>161</v>
      </c>
      <c r="M206" s="253"/>
    </row>
    <row r="207">
      <c r="F207" s="252" t="s">
        <v>161</v>
      </c>
      <c r="M207" s="253"/>
    </row>
    <row r="208">
      <c r="F208" s="252" t="s">
        <v>161</v>
      </c>
      <c r="M208" s="253"/>
    </row>
    <row r="209">
      <c r="F209" s="252" t="s">
        <v>161</v>
      </c>
      <c r="M209" s="253"/>
    </row>
    <row r="210">
      <c r="F210" s="252" t="s">
        <v>161</v>
      </c>
      <c r="M210" s="253"/>
    </row>
    <row r="211">
      <c r="F211" s="252" t="s">
        <v>161</v>
      </c>
      <c r="M211" s="253"/>
    </row>
    <row r="212">
      <c r="F212" s="252" t="s">
        <v>161</v>
      </c>
      <c r="M212" s="253"/>
    </row>
    <row r="213">
      <c r="F213" s="252" t="s">
        <v>161</v>
      </c>
      <c r="M213" s="253"/>
    </row>
    <row r="214">
      <c r="F214" s="252" t="s">
        <v>161</v>
      </c>
      <c r="M214" s="253"/>
    </row>
    <row r="215">
      <c r="F215" s="252" t="s">
        <v>161</v>
      </c>
      <c r="M215" s="253"/>
    </row>
    <row r="216">
      <c r="F216" s="252" t="s">
        <v>161</v>
      </c>
      <c r="M216" s="253"/>
    </row>
    <row r="217">
      <c r="F217" s="252" t="s">
        <v>161</v>
      </c>
      <c r="M217" s="253"/>
    </row>
    <row r="218">
      <c r="F218" s="252" t="s">
        <v>161</v>
      </c>
      <c r="M218" s="253"/>
    </row>
    <row r="219">
      <c r="F219" s="252" t="s">
        <v>161</v>
      </c>
      <c r="M219" s="253"/>
    </row>
    <row r="220">
      <c r="F220" s="252" t="s">
        <v>161</v>
      </c>
      <c r="M220" s="253"/>
    </row>
    <row r="221">
      <c r="F221" s="252" t="s">
        <v>161</v>
      </c>
      <c r="M221" s="253"/>
    </row>
    <row r="222">
      <c r="F222" s="252" t="s">
        <v>161</v>
      </c>
      <c r="M222" s="253"/>
    </row>
    <row r="223">
      <c r="F223" s="252" t="s">
        <v>161</v>
      </c>
      <c r="M223" s="253"/>
    </row>
    <row r="224">
      <c r="F224" s="252" t="s">
        <v>161</v>
      </c>
      <c r="M224" s="253"/>
    </row>
    <row r="225">
      <c r="F225" s="252" t="s">
        <v>161</v>
      </c>
      <c r="M225" s="253"/>
    </row>
    <row r="226">
      <c r="F226" s="252" t="s">
        <v>161</v>
      </c>
      <c r="M226" s="253"/>
    </row>
    <row r="227">
      <c r="F227" s="252" t="s">
        <v>161</v>
      </c>
      <c r="M227" s="253"/>
    </row>
    <row r="228">
      <c r="F228" s="252" t="s">
        <v>161</v>
      </c>
      <c r="M228" s="253"/>
    </row>
    <row r="229">
      <c r="F229" s="252" t="s">
        <v>161</v>
      </c>
      <c r="M229" s="253"/>
    </row>
    <row r="230">
      <c r="F230" s="252" t="s">
        <v>161</v>
      </c>
      <c r="M230" s="253"/>
    </row>
    <row r="231">
      <c r="F231" s="252" t="s">
        <v>161</v>
      </c>
      <c r="M231" s="253"/>
    </row>
    <row r="232">
      <c r="F232" s="252" t="s">
        <v>161</v>
      </c>
      <c r="M232" s="253"/>
    </row>
    <row r="233">
      <c r="F233" s="252" t="s">
        <v>161</v>
      </c>
      <c r="M233" s="253"/>
    </row>
    <row r="234">
      <c r="F234" s="252" t="s">
        <v>161</v>
      </c>
      <c r="M234" s="253"/>
    </row>
    <row r="235">
      <c r="F235" s="252" t="s">
        <v>161</v>
      </c>
      <c r="M235" s="253"/>
    </row>
    <row r="236">
      <c r="F236" s="252" t="s">
        <v>161</v>
      </c>
      <c r="M236" s="253"/>
    </row>
    <row r="237">
      <c r="F237" s="252" t="s">
        <v>161</v>
      </c>
      <c r="M237" s="253"/>
    </row>
    <row r="238">
      <c r="F238" s="252" t="s">
        <v>161</v>
      </c>
      <c r="M238" s="253"/>
    </row>
    <row r="239">
      <c r="F239" s="252" t="s">
        <v>161</v>
      </c>
      <c r="M239" s="253"/>
    </row>
    <row r="240">
      <c r="F240" s="252" t="s">
        <v>161</v>
      </c>
      <c r="M240" s="253"/>
    </row>
    <row r="241">
      <c r="F241" s="252" t="s">
        <v>161</v>
      </c>
      <c r="M241" s="253"/>
    </row>
    <row r="242">
      <c r="F242" s="252" t="s">
        <v>161</v>
      </c>
      <c r="M242" s="253"/>
    </row>
    <row r="243">
      <c r="F243" s="252" t="s">
        <v>161</v>
      </c>
      <c r="M243" s="253"/>
    </row>
    <row r="244">
      <c r="F244" s="252" t="s">
        <v>161</v>
      </c>
      <c r="M244" s="253"/>
    </row>
    <row r="245">
      <c r="F245" s="252" t="s">
        <v>161</v>
      </c>
      <c r="M245" s="253"/>
    </row>
    <row r="246">
      <c r="F246" s="252" t="s">
        <v>161</v>
      </c>
      <c r="M246" s="253"/>
    </row>
    <row r="247">
      <c r="F247" s="252" t="s">
        <v>161</v>
      </c>
      <c r="M247" s="253"/>
    </row>
    <row r="248">
      <c r="F248" s="252" t="s">
        <v>161</v>
      </c>
      <c r="M248" s="253"/>
    </row>
    <row r="249">
      <c r="F249" s="252" t="s">
        <v>161</v>
      </c>
      <c r="M249" s="253"/>
    </row>
    <row r="250">
      <c r="F250" s="252" t="s">
        <v>161</v>
      </c>
      <c r="M250" s="253"/>
    </row>
    <row r="251">
      <c r="F251" s="252" t="s">
        <v>161</v>
      </c>
      <c r="M251" s="253"/>
    </row>
    <row r="252">
      <c r="F252" s="252" t="s">
        <v>161</v>
      </c>
      <c r="M252" s="253"/>
    </row>
    <row r="253">
      <c r="F253" s="252" t="s">
        <v>161</v>
      </c>
      <c r="M253" s="253"/>
    </row>
    <row r="254">
      <c r="F254" s="252" t="s">
        <v>161</v>
      </c>
      <c r="M254" s="253"/>
    </row>
    <row r="255">
      <c r="F255" s="252" t="s">
        <v>161</v>
      </c>
      <c r="M255" s="253"/>
    </row>
    <row r="256">
      <c r="F256" s="252" t="s">
        <v>161</v>
      </c>
      <c r="M256" s="253"/>
    </row>
    <row r="257">
      <c r="F257" s="252" t="s">
        <v>161</v>
      </c>
      <c r="M257" s="253"/>
    </row>
    <row r="258">
      <c r="F258" s="252" t="s">
        <v>161</v>
      </c>
      <c r="M258" s="253"/>
    </row>
    <row r="259">
      <c r="F259" s="252" t="s">
        <v>161</v>
      </c>
      <c r="M259" s="253"/>
    </row>
    <row r="260">
      <c r="F260" s="252" t="s">
        <v>161</v>
      </c>
      <c r="M260" s="253"/>
    </row>
    <row r="261">
      <c r="F261" s="252" t="s">
        <v>161</v>
      </c>
      <c r="M261" s="253"/>
    </row>
    <row r="262">
      <c r="F262" s="252" t="s">
        <v>161</v>
      </c>
      <c r="M262" s="253"/>
    </row>
    <row r="263">
      <c r="F263" s="252" t="s">
        <v>161</v>
      </c>
      <c r="M263" s="253"/>
    </row>
    <row r="264">
      <c r="F264" s="252" t="s">
        <v>161</v>
      </c>
      <c r="M264" s="253"/>
    </row>
    <row r="265">
      <c r="F265" s="252" t="s">
        <v>161</v>
      </c>
      <c r="M265" s="253"/>
    </row>
    <row r="266">
      <c r="F266" s="252" t="s">
        <v>161</v>
      </c>
      <c r="M266" s="253"/>
    </row>
    <row r="267">
      <c r="F267" s="252" t="s">
        <v>161</v>
      </c>
      <c r="M267" s="253"/>
    </row>
    <row r="268">
      <c r="F268" s="252" t="s">
        <v>161</v>
      </c>
      <c r="M268" s="253"/>
    </row>
    <row r="269">
      <c r="F269" s="252" t="s">
        <v>161</v>
      </c>
      <c r="M269" s="253"/>
    </row>
    <row r="270">
      <c r="F270" s="252" t="s">
        <v>161</v>
      </c>
      <c r="M270" s="253"/>
    </row>
    <row r="271">
      <c r="F271" s="252" t="s">
        <v>161</v>
      </c>
      <c r="M271" s="253"/>
    </row>
    <row r="272">
      <c r="F272" s="252" t="s">
        <v>161</v>
      </c>
      <c r="M272" s="253"/>
    </row>
    <row r="273">
      <c r="F273" s="252" t="s">
        <v>161</v>
      </c>
      <c r="M273" s="253"/>
    </row>
    <row r="274">
      <c r="F274" s="252" t="s">
        <v>161</v>
      </c>
      <c r="M274" s="253"/>
    </row>
    <row r="275">
      <c r="F275" s="252" t="s">
        <v>161</v>
      </c>
      <c r="M275" s="253"/>
    </row>
    <row r="276">
      <c r="F276" s="252" t="s">
        <v>161</v>
      </c>
      <c r="M276" s="253"/>
    </row>
    <row r="277">
      <c r="F277" s="252" t="s">
        <v>161</v>
      </c>
      <c r="M277" s="253"/>
    </row>
    <row r="278">
      <c r="F278" s="252" t="s">
        <v>161</v>
      </c>
      <c r="M278" s="253"/>
    </row>
    <row r="279">
      <c r="F279" s="252" t="s">
        <v>161</v>
      </c>
      <c r="M279" s="253"/>
    </row>
    <row r="280">
      <c r="F280" s="252" t="s">
        <v>161</v>
      </c>
      <c r="M280" s="253"/>
    </row>
    <row r="281">
      <c r="F281" s="252" t="s">
        <v>161</v>
      </c>
      <c r="M281" s="253"/>
    </row>
    <row r="282">
      <c r="F282" s="252" t="s">
        <v>161</v>
      </c>
      <c r="M282" s="253"/>
    </row>
    <row r="283">
      <c r="F283" s="252" t="s">
        <v>161</v>
      </c>
      <c r="M283" s="253"/>
    </row>
    <row r="284">
      <c r="F284" s="252" t="s">
        <v>161</v>
      </c>
      <c r="M284" s="253"/>
    </row>
    <row r="285">
      <c r="F285" s="252" t="s">
        <v>161</v>
      </c>
      <c r="M285" s="253"/>
    </row>
    <row r="286">
      <c r="F286" s="252" t="s">
        <v>161</v>
      </c>
      <c r="M286" s="253"/>
    </row>
    <row r="287">
      <c r="F287" s="252" t="s">
        <v>161</v>
      </c>
      <c r="M287" s="253"/>
    </row>
    <row r="288">
      <c r="F288" s="252" t="s">
        <v>161</v>
      </c>
      <c r="M288" s="253"/>
    </row>
    <row r="289">
      <c r="F289" s="252" t="s">
        <v>161</v>
      </c>
      <c r="M289" s="253"/>
    </row>
    <row r="290">
      <c r="F290" s="252" t="s">
        <v>161</v>
      </c>
      <c r="M290" s="253"/>
    </row>
    <row r="291">
      <c r="F291" s="252" t="s">
        <v>161</v>
      </c>
      <c r="M291" s="253"/>
    </row>
    <row r="292">
      <c r="F292" s="252" t="s">
        <v>161</v>
      </c>
      <c r="M292" s="253"/>
    </row>
    <row r="293">
      <c r="F293" s="252" t="s">
        <v>161</v>
      </c>
      <c r="M293" s="253"/>
    </row>
    <row r="294">
      <c r="F294" s="252" t="s">
        <v>161</v>
      </c>
      <c r="M294" s="253"/>
    </row>
    <row r="295">
      <c r="F295" s="252" t="s">
        <v>161</v>
      </c>
      <c r="M295" s="253"/>
    </row>
    <row r="296">
      <c r="F296" s="252" t="s">
        <v>161</v>
      </c>
      <c r="M296" s="253"/>
    </row>
    <row r="297">
      <c r="F297" s="252" t="s">
        <v>161</v>
      </c>
      <c r="M297" s="253"/>
    </row>
    <row r="298">
      <c r="F298" s="252" t="s">
        <v>161</v>
      </c>
      <c r="M298" s="253"/>
    </row>
    <row r="299">
      <c r="F299" s="252" t="s">
        <v>161</v>
      </c>
      <c r="M299" s="253"/>
    </row>
    <row r="300">
      <c r="F300" s="252" t="s">
        <v>161</v>
      </c>
      <c r="M300" s="253"/>
    </row>
    <row r="301">
      <c r="F301" s="252" t="s">
        <v>161</v>
      </c>
      <c r="M301" s="253"/>
    </row>
    <row r="302">
      <c r="F302" s="252" t="s">
        <v>161</v>
      </c>
      <c r="M302" s="253"/>
    </row>
    <row r="303">
      <c r="F303" s="252" t="s">
        <v>161</v>
      </c>
      <c r="M303" s="253"/>
    </row>
    <row r="304">
      <c r="F304" s="252" t="s">
        <v>161</v>
      </c>
      <c r="M304" s="253"/>
    </row>
    <row r="305">
      <c r="F305" s="252" t="s">
        <v>161</v>
      </c>
      <c r="M305" s="253"/>
    </row>
    <row r="306">
      <c r="F306" s="252" t="s">
        <v>161</v>
      </c>
      <c r="M306" s="253"/>
    </row>
    <row r="307">
      <c r="F307" s="252" t="s">
        <v>161</v>
      </c>
      <c r="M307" s="253"/>
    </row>
    <row r="308">
      <c r="F308" s="252" t="s">
        <v>161</v>
      </c>
      <c r="M308" s="253"/>
    </row>
    <row r="309">
      <c r="F309" s="252" t="s">
        <v>161</v>
      </c>
      <c r="M309" s="253"/>
    </row>
    <row r="310">
      <c r="F310" s="252" t="s">
        <v>161</v>
      </c>
      <c r="M310" s="253"/>
    </row>
    <row r="311">
      <c r="F311" s="252" t="s">
        <v>161</v>
      </c>
      <c r="M311" s="253"/>
    </row>
    <row r="312">
      <c r="F312" s="252" t="s">
        <v>161</v>
      </c>
      <c r="M312" s="253"/>
    </row>
    <row r="313">
      <c r="F313" s="252" t="s">
        <v>161</v>
      </c>
      <c r="M313" s="253"/>
    </row>
    <row r="314">
      <c r="F314" s="252" t="s">
        <v>161</v>
      </c>
      <c r="M314" s="253"/>
    </row>
    <row r="315">
      <c r="F315" s="252" t="s">
        <v>161</v>
      </c>
      <c r="M315" s="253"/>
    </row>
    <row r="316">
      <c r="F316" s="252" t="s">
        <v>161</v>
      </c>
      <c r="M316" s="253"/>
    </row>
    <row r="317">
      <c r="F317" s="252" t="s">
        <v>161</v>
      </c>
      <c r="M317" s="253"/>
    </row>
    <row r="318">
      <c r="F318" s="252" t="s">
        <v>161</v>
      </c>
      <c r="M318" s="253"/>
    </row>
    <row r="319">
      <c r="F319" s="252" t="s">
        <v>161</v>
      </c>
      <c r="M319" s="253"/>
    </row>
    <row r="320">
      <c r="F320" s="252" t="s">
        <v>161</v>
      </c>
      <c r="M320" s="253"/>
    </row>
    <row r="321">
      <c r="F321" s="252" t="s">
        <v>161</v>
      </c>
      <c r="M321" s="253"/>
    </row>
    <row r="322">
      <c r="F322" s="252" t="s">
        <v>161</v>
      </c>
      <c r="M322" s="253"/>
    </row>
    <row r="323">
      <c r="F323" s="252" t="s">
        <v>161</v>
      </c>
      <c r="M323" s="253"/>
    </row>
    <row r="324">
      <c r="F324" s="252" t="s">
        <v>161</v>
      </c>
      <c r="M324" s="253"/>
    </row>
    <row r="325">
      <c r="F325" s="252" t="s">
        <v>161</v>
      </c>
      <c r="M325" s="253"/>
    </row>
    <row r="326">
      <c r="F326" s="252" t="s">
        <v>161</v>
      </c>
      <c r="M326" s="253"/>
    </row>
    <row r="327">
      <c r="F327" s="252" t="s">
        <v>161</v>
      </c>
      <c r="M327" s="253"/>
    </row>
    <row r="328">
      <c r="F328" s="252" t="s">
        <v>161</v>
      </c>
      <c r="M328" s="253"/>
    </row>
    <row r="329">
      <c r="F329" s="252" t="s">
        <v>161</v>
      </c>
      <c r="M329" s="253"/>
    </row>
    <row r="330">
      <c r="F330" s="252" t="s">
        <v>161</v>
      </c>
      <c r="M330" s="253"/>
    </row>
    <row r="331">
      <c r="F331" s="252" t="s">
        <v>161</v>
      </c>
      <c r="M331" s="253"/>
    </row>
    <row r="332">
      <c r="F332" s="252" t="s">
        <v>161</v>
      </c>
      <c r="M332" s="253"/>
    </row>
    <row r="333">
      <c r="F333" s="252" t="s">
        <v>161</v>
      </c>
      <c r="M333" s="253"/>
    </row>
    <row r="334">
      <c r="F334" s="252" t="s">
        <v>161</v>
      </c>
      <c r="M334" s="253"/>
    </row>
    <row r="335">
      <c r="F335" s="252" t="s">
        <v>161</v>
      </c>
      <c r="M335" s="253"/>
    </row>
    <row r="336">
      <c r="F336" s="252" t="s">
        <v>161</v>
      </c>
      <c r="M336" s="253"/>
    </row>
    <row r="337">
      <c r="F337" s="252" t="s">
        <v>161</v>
      </c>
      <c r="M337" s="253"/>
    </row>
    <row r="338">
      <c r="F338" s="252" t="s">
        <v>161</v>
      </c>
      <c r="M338" s="253"/>
    </row>
    <row r="339">
      <c r="F339" s="252" t="s">
        <v>161</v>
      </c>
      <c r="M339" s="253"/>
    </row>
    <row r="340">
      <c r="F340" s="252" t="s">
        <v>161</v>
      </c>
      <c r="M340" s="253"/>
    </row>
    <row r="341">
      <c r="F341" s="252" t="s">
        <v>161</v>
      </c>
      <c r="M341" s="253"/>
    </row>
    <row r="342">
      <c r="F342" s="252" t="s">
        <v>161</v>
      </c>
      <c r="M342" s="253"/>
    </row>
    <row r="343">
      <c r="F343" s="252" t="s">
        <v>161</v>
      </c>
      <c r="M343" s="253"/>
    </row>
    <row r="344">
      <c r="F344" s="252" t="s">
        <v>161</v>
      </c>
      <c r="M344" s="253"/>
    </row>
    <row r="345">
      <c r="F345" s="252" t="s">
        <v>161</v>
      </c>
      <c r="M345" s="253"/>
    </row>
    <row r="346">
      <c r="F346" s="252" t="s">
        <v>161</v>
      </c>
      <c r="M346" s="253"/>
    </row>
    <row r="347">
      <c r="F347" s="252" t="s">
        <v>161</v>
      </c>
      <c r="M347" s="253"/>
    </row>
    <row r="348">
      <c r="F348" s="252" t="s">
        <v>161</v>
      </c>
      <c r="M348" s="253"/>
    </row>
    <row r="349">
      <c r="F349" s="252" t="s">
        <v>161</v>
      </c>
      <c r="M349" s="253"/>
    </row>
    <row r="350">
      <c r="F350" s="252" t="s">
        <v>161</v>
      </c>
      <c r="M350" s="253"/>
    </row>
    <row r="351">
      <c r="F351" s="252" t="s">
        <v>161</v>
      </c>
      <c r="M351" s="253"/>
    </row>
    <row r="352">
      <c r="F352" s="252" t="s">
        <v>161</v>
      </c>
      <c r="M352" s="253"/>
    </row>
    <row r="353">
      <c r="F353" s="252" t="s">
        <v>161</v>
      </c>
      <c r="M353" s="253"/>
    </row>
    <row r="354">
      <c r="F354" s="252" t="s">
        <v>161</v>
      </c>
      <c r="M354" s="253"/>
    </row>
    <row r="355">
      <c r="F355" s="252" t="s">
        <v>161</v>
      </c>
      <c r="M355" s="253"/>
    </row>
    <row r="356">
      <c r="F356" s="252" t="s">
        <v>161</v>
      </c>
      <c r="M356" s="253"/>
    </row>
    <row r="357">
      <c r="F357" s="252" t="s">
        <v>161</v>
      </c>
      <c r="M357" s="253"/>
    </row>
    <row r="358">
      <c r="F358" s="252" t="s">
        <v>161</v>
      </c>
      <c r="M358" s="253"/>
    </row>
    <row r="359">
      <c r="F359" s="252" t="s">
        <v>161</v>
      </c>
      <c r="M359" s="253"/>
    </row>
    <row r="360">
      <c r="F360" s="252" t="s">
        <v>161</v>
      </c>
      <c r="M360" s="253"/>
    </row>
    <row r="361">
      <c r="F361" s="252" t="s">
        <v>161</v>
      </c>
      <c r="M361" s="253"/>
    </row>
    <row r="362">
      <c r="F362" s="252" t="s">
        <v>161</v>
      </c>
      <c r="M362" s="253"/>
    </row>
    <row r="363">
      <c r="F363" s="252" t="s">
        <v>161</v>
      </c>
      <c r="M363" s="253"/>
    </row>
    <row r="364">
      <c r="F364" s="252" t="s">
        <v>161</v>
      </c>
      <c r="M364" s="253"/>
    </row>
    <row r="365">
      <c r="F365" s="252" t="s">
        <v>161</v>
      </c>
      <c r="M365" s="253"/>
    </row>
    <row r="366">
      <c r="F366" s="252" t="s">
        <v>161</v>
      </c>
      <c r="M366" s="253"/>
    </row>
    <row r="367">
      <c r="F367" s="252" t="s">
        <v>161</v>
      </c>
      <c r="M367" s="253"/>
    </row>
    <row r="368">
      <c r="F368" s="252" t="s">
        <v>161</v>
      </c>
      <c r="M368" s="253"/>
    </row>
    <row r="369">
      <c r="F369" s="252" t="s">
        <v>161</v>
      </c>
      <c r="M369" s="253"/>
    </row>
    <row r="370">
      <c r="F370" s="252" t="s">
        <v>161</v>
      </c>
      <c r="M370" s="253"/>
    </row>
    <row r="371">
      <c r="F371" s="252" t="s">
        <v>161</v>
      </c>
      <c r="M371" s="253"/>
    </row>
    <row r="372">
      <c r="F372" s="252" t="s">
        <v>161</v>
      </c>
      <c r="M372" s="253"/>
    </row>
    <row r="373">
      <c r="F373" s="252" t="s">
        <v>161</v>
      </c>
      <c r="M373" s="253"/>
    </row>
    <row r="374">
      <c r="F374" s="252" t="s">
        <v>161</v>
      </c>
      <c r="M374" s="253"/>
    </row>
    <row r="375">
      <c r="F375" s="252" t="s">
        <v>161</v>
      </c>
      <c r="M375" s="253"/>
    </row>
    <row r="376">
      <c r="F376" s="252" t="s">
        <v>161</v>
      </c>
      <c r="M376" s="253"/>
    </row>
    <row r="377">
      <c r="F377" s="252" t="s">
        <v>161</v>
      </c>
      <c r="M377" s="253"/>
    </row>
    <row r="378">
      <c r="F378" s="252" t="s">
        <v>161</v>
      </c>
      <c r="M378" s="253"/>
    </row>
    <row r="379">
      <c r="F379" s="252" t="s">
        <v>161</v>
      </c>
      <c r="M379" s="253"/>
    </row>
    <row r="380">
      <c r="F380" s="252" t="s">
        <v>161</v>
      </c>
      <c r="M380" s="253"/>
    </row>
    <row r="381">
      <c r="F381" s="252" t="s">
        <v>161</v>
      </c>
      <c r="M381" s="253"/>
    </row>
    <row r="382">
      <c r="F382" s="252" t="s">
        <v>161</v>
      </c>
      <c r="M382" s="253"/>
    </row>
    <row r="383">
      <c r="F383" s="252" t="s">
        <v>161</v>
      </c>
      <c r="M383" s="253"/>
    </row>
    <row r="384">
      <c r="F384" s="252" t="s">
        <v>161</v>
      </c>
      <c r="M384" s="253"/>
    </row>
    <row r="385">
      <c r="F385" s="252" t="s">
        <v>161</v>
      </c>
      <c r="M385" s="253"/>
    </row>
    <row r="386">
      <c r="F386" s="252" t="s">
        <v>161</v>
      </c>
      <c r="M386" s="253"/>
    </row>
    <row r="387">
      <c r="F387" s="252" t="s">
        <v>161</v>
      </c>
      <c r="M387" s="253"/>
    </row>
    <row r="388">
      <c r="F388" s="252" t="s">
        <v>161</v>
      </c>
      <c r="M388" s="253"/>
    </row>
    <row r="389">
      <c r="F389" s="252" t="s">
        <v>161</v>
      </c>
      <c r="M389" s="253"/>
    </row>
    <row r="390">
      <c r="F390" s="252" t="s">
        <v>161</v>
      </c>
      <c r="M390" s="253"/>
    </row>
    <row r="391">
      <c r="F391" s="252" t="s">
        <v>161</v>
      </c>
      <c r="M391" s="253"/>
    </row>
    <row r="392">
      <c r="F392" s="252" t="s">
        <v>161</v>
      </c>
      <c r="M392" s="253"/>
    </row>
    <row r="393">
      <c r="F393" s="252" t="s">
        <v>161</v>
      </c>
      <c r="M393" s="253"/>
    </row>
    <row r="394">
      <c r="F394" s="252" t="s">
        <v>161</v>
      </c>
      <c r="M394" s="253"/>
    </row>
    <row r="395">
      <c r="F395" s="252" t="s">
        <v>161</v>
      </c>
      <c r="M395" s="253"/>
    </row>
    <row r="396">
      <c r="F396" s="252" t="s">
        <v>161</v>
      </c>
      <c r="M396" s="253"/>
    </row>
    <row r="397">
      <c r="F397" s="252" t="s">
        <v>161</v>
      </c>
      <c r="M397" s="253"/>
    </row>
    <row r="398">
      <c r="F398" s="252" t="s">
        <v>161</v>
      </c>
      <c r="M398" s="253"/>
    </row>
    <row r="399">
      <c r="F399" s="252" t="s">
        <v>161</v>
      </c>
      <c r="M399" s="253"/>
    </row>
    <row r="400">
      <c r="F400" s="252" t="s">
        <v>161</v>
      </c>
      <c r="M400" s="253"/>
    </row>
    <row r="401">
      <c r="F401" s="252" t="s">
        <v>161</v>
      </c>
      <c r="M401" s="253"/>
    </row>
    <row r="402">
      <c r="F402" s="252" t="s">
        <v>161</v>
      </c>
      <c r="M402" s="253"/>
    </row>
    <row r="403">
      <c r="F403" s="252" t="s">
        <v>161</v>
      </c>
      <c r="M403" s="253"/>
    </row>
    <row r="404">
      <c r="F404" s="252" t="s">
        <v>161</v>
      </c>
      <c r="M404" s="253"/>
    </row>
    <row r="405">
      <c r="F405" s="252" t="s">
        <v>161</v>
      </c>
      <c r="M405" s="253"/>
    </row>
    <row r="406">
      <c r="F406" s="252" t="s">
        <v>161</v>
      </c>
      <c r="M406" s="253"/>
    </row>
    <row r="407">
      <c r="F407" s="252" t="s">
        <v>161</v>
      </c>
      <c r="M407" s="253"/>
    </row>
    <row r="408">
      <c r="F408" s="252" t="s">
        <v>161</v>
      </c>
      <c r="M408" s="253"/>
    </row>
    <row r="409">
      <c r="F409" s="252" t="s">
        <v>161</v>
      </c>
      <c r="M409" s="253"/>
    </row>
    <row r="410">
      <c r="F410" s="252" t="s">
        <v>161</v>
      </c>
      <c r="M410" s="253"/>
    </row>
    <row r="411">
      <c r="F411" s="252" t="s">
        <v>161</v>
      </c>
      <c r="M411" s="253"/>
    </row>
    <row r="412">
      <c r="F412" s="252" t="s">
        <v>161</v>
      </c>
      <c r="M412" s="253"/>
    </row>
    <row r="413">
      <c r="F413" s="252" t="s">
        <v>161</v>
      </c>
      <c r="M413" s="253"/>
    </row>
    <row r="414">
      <c r="F414" s="252" t="s">
        <v>161</v>
      </c>
      <c r="M414" s="253"/>
    </row>
    <row r="415">
      <c r="F415" s="252" t="s">
        <v>161</v>
      </c>
      <c r="M415" s="253"/>
    </row>
    <row r="416">
      <c r="F416" s="252" t="s">
        <v>161</v>
      </c>
      <c r="M416" s="253"/>
    </row>
    <row r="417">
      <c r="F417" s="252" t="s">
        <v>161</v>
      </c>
      <c r="M417" s="253"/>
    </row>
    <row r="418">
      <c r="F418" s="252" t="s">
        <v>161</v>
      </c>
      <c r="M418" s="253"/>
    </row>
    <row r="419">
      <c r="F419" s="252" t="s">
        <v>161</v>
      </c>
      <c r="M419" s="253"/>
    </row>
    <row r="420">
      <c r="F420" s="252" t="s">
        <v>161</v>
      </c>
      <c r="M420" s="253"/>
    </row>
    <row r="421">
      <c r="F421" s="252" t="s">
        <v>161</v>
      </c>
      <c r="M421" s="253"/>
    </row>
    <row r="422">
      <c r="F422" s="252" t="s">
        <v>161</v>
      </c>
      <c r="M422" s="253"/>
    </row>
    <row r="423">
      <c r="F423" s="252" t="s">
        <v>161</v>
      </c>
      <c r="M423" s="253"/>
    </row>
    <row r="424">
      <c r="F424" s="252" t="s">
        <v>161</v>
      </c>
      <c r="M424" s="253"/>
    </row>
    <row r="425">
      <c r="F425" s="252" t="s">
        <v>161</v>
      </c>
      <c r="M425" s="253"/>
    </row>
    <row r="426">
      <c r="F426" s="252" t="s">
        <v>161</v>
      </c>
      <c r="M426" s="253"/>
    </row>
    <row r="427">
      <c r="F427" s="252" t="s">
        <v>161</v>
      </c>
      <c r="M427" s="253"/>
    </row>
    <row r="428">
      <c r="F428" s="252" t="s">
        <v>161</v>
      </c>
      <c r="M428" s="253"/>
    </row>
    <row r="429">
      <c r="F429" s="252" t="s">
        <v>161</v>
      </c>
      <c r="M429" s="253"/>
    </row>
    <row r="430">
      <c r="F430" s="252" t="s">
        <v>161</v>
      </c>
      <c r="M430" s="253"/>
    </row>
    <row r="431">
      <c r="F431" s="252" t="s">
        <v>161</v>
      </c>
      <c r="M431" s="253"/>
    </row>
    <row r="432">
      <c r="F432" s="252" t="s">
        <v>161</v>
      </c>
      <c r="M432" s="253"/>
    </row>
    <row r="433">
      <c r="F433" s="252" t="s">
        <v>161</v>
      </c>
      <c r="M433" s="253"/>
    </row>
    <row r="434">
      <c r="F434" s="252" t="s">
        <v>161</v>
      </c>
      <c r="M434" s="253"/>
    </row>
    <row r="435">
      <c r="F435" s="252" t="s">
        <v>161</v>
      </c>
      <c r="M435" s="253"/>
    </row>
    <row r="436">
      <c r="F436" s="252" t="s">
        <v>161</v>
      </c>
      <c r="M436" s="253"/>
    </row>
    <row r="437">
      <c r="F437" s="252" t="s">
        <v>161</v>
      </c>
      <c r="M437" s="253"/>
    </row>
    <row r="438">
      <c r="F438" s="252" t="s">
        <v>161</v>
      </c>
      <c r="M438" s="253"/>
    </row>
    <row r="439">
      <c r="F439" s="252" t="s">
        <v>161</v>
      </c>
      <c r="M439" s="253"/>
    </row>
    <row r="440">
      <c r="F440" s="252" t="s">
        <v>161</v>
      </c>
      <c r="M440" s="253"/>
    </row>
    <row r="441">
      <c r="F441" s="252" t="s">
        <v>161</v>
      </c>
      <c r="M441" s="253"/>
    </row>
    <row r="442">
      <c r="F442" s="252" t="s">
        <v>161</v>
      </c>
      <c r="M442" s="253"/>
    </row>
    <row r="443">
      <c r="F443" s="252" t="s">
        <v>161</v>
      </c>
      <c r="M443" s="253"/>
    </row>
    <row r="444">
      <c r="F444" s="252" t="s">
        <v>161</v>
      </c>
      <c r="M444" s="253"/>
    </row>
    <row r="445">
      <c r="F445" s="252" t="s">
        <v>161</v>
      </c>
      <c r="M445" s="253"/>
    </row>
    <row r="446">
      <c r="F446" s="252" t="s">
        <v>161</v>
      </c>
      <c r="M446" s="253"/>
    </row>
    <row r="447">
      <c r="F447" s="252" t="s">
        <v>161</v>
      </c>
      <c r="M447" s="253"/>
    </row>
    <row r="448">
      <c r="F448" s="252" t="s">
        <v>161</v>
      </c>
      <c r="M448" s="253"/>
    </row>
    <row r="449">
      <c r="F449" s="252" t="s">
        <v>161</v>
      </c>
      <c r="M449" s="253"/>
    </row>
    <row r="450">
      <c r="F450" s="252" t="s">
        <v>161</v>
      </c>
      <c r="M450" s="253"/>
    </row>
    <row r="451">
      <c r="F451" s="252" t="s">
        <v>161</v>
      </c>
      <c r="M451" s="253"/>
    </row>
    <row r="452">
      <c r="F452" s="252" t="s">
        <v>161</v>
      </c>
      <c r="M452" s="253"/>
    </row>
    <row r="453">
      <c r="F453" s="252" t="s">
        <v>161</v>
      </c>
      <c r="M453" s="253"/>
    </row>
    <row r="454">
      <c r="F454" s="252" t="s">
        <v>161</v>
      </c>
      <c r="M454" s="253"/>
    </row>
    <row r="455">
      <c r="F455" s="252" t="s">
        <v>161</v>
      </c>
      <c r="M455" s="253"/>
    </row>
    <row r="456">
      <c r="F456" s="252" t="s">
        <v>161</v>
      </c>
      <c r="M456" s="253"/>
    </row>
    <row r="457">
      <c r="F457" s="252" t="s">
        <v>161</v>
      </c>
      <c r="M457" s="253"/>
    </row>
    <row r="458">
      <c r="F458" s="252" t="s">
        <v>161</v>
      </c>
      <c r="M458" s="253"/>
    </row>
    <row r="459">
      <c r="F459" s="252" t="s">
        <v>161</v>
      </c>
      <c r="M459" s="253"/>
    </row>
    <row r="460">
      <c r="F460" s="252" t="s">
        <v>161</v>
      </c>
      <c r="M460" s="253"/>
    </row>
    <row r="461">
      <c r="F461" s="252" t="s">
        <v>161</v>
      </c>
      <c r="M461" s="253"/>
    </row>
    <row r="462">
      <c r="F462" s="252" t="s">
        <v>161</v>
      </c>
      <c r="M462" s="253"/>
    </row>
    <row r="463">
      <c r="F463" s="252" t="s">
        <v>161</v>
      </c>
      <c r="M463" s="253"/>
    </row>
    <row r="464">
      <c r="F464" s="252" t="s">
        <v>161</v>
      </c>
      <c r="M464" s="253"/>
    </row>
    <row r="465">
      <c r="F465" s="252" t="s">
        <v>161</v>
      </c>
      <c r="M465" s="253"/>
    </row>
    <row r="466">
      <c r="F466" s="252" t="s">
        <v>161</v>
      </c>
      <c r="M466" s="253"/>
    </row>
    <row r="467">
      <c r="F467" s="252" t="s">
        <v>161</v>
      </c>
      <c r="M467" s="253"/>
    </row>
    <row r="468">
      <c r="F468" s="252" t="s">
        <v>161</v>
      </c>
      <c r="M468" s="253"/>
    </row>
    <row r="469">
      <c r="F469" s="252" t="s">
        <v>161</v>
      </c>
      <c r="M469" s="253"/>
    </row>
    <row r="470">
      <c r="F470" s="252" t="s">
        <v>161</v>
      </c>
      <c r="M470" s="253"/>
    </row>
    <row r="471">
      <c r="F471" s="252" t="s">
        <v>161</v>
      </c>
      <c r="M471" s="253"/>
    </row>
    <row r="472">
      <c r="F472" s="252" t="s">
        <v>161</v>
      </c>
      <c r="M472" s="253"/>
    </row>
    <row r="473">
      <c r="F473" s="252" t="s">
        <v>161</v>
      </c>
      <c r="M473" s="253"/>
    </row>
    <row r="474">
      <c r="F474" s="252" t="s">
        <v>161</v>
      </c>
      <c r="M474" s="253"/>
    </row>
    <row r="475">
      <c r="F475" s="252" t="s">
        <v>161</v>
      </c>
      <c r="M475" s="253"/>
    </row>
    <row r="476">
      <c r="F476" s="252" t="s">
        <v>161</v>
      </c>
      <c r="M476" s="253"/>
    </row>
    <row r="477">
      <c r="F477" s="252" t="s">
        <v>161</v>
      </c>
      <c r="M477" s="253"/>
    </row>
    <row r="478">
      <c r="F478" s="252" t="s">
        <v>161</v>
      </c>
      <c r="M478" s="253"/>
    </row>
    <row r="479">
      <c r="F479" s="252" t="s">
        <v>161</v>
      </c>
      <c r="M479" s="253"/>
    </row>
    <row r="480">
      <c r="F480" s="252" t="s">
        <v>161</v>
      </c>
      <c r="M480" s="253"/>
    </row>
    <row r="481">
      <c r="F481" s="252" t="s">
        <v>161</v>
      </c>
      <c r="M481" s="253"/>
    </row>
    <row r="482">
      <c r="F482" s="252" t="s">
        <v>161</v>
      </c>
      <c r="M482" s="253"/>
    </row>
    <row r="483">
      <c r="F483" s="252" t="s">
        <v>161</v>
      </c>
      <c r="M483" s="253"/>
    </row>
    <row r="484">
      <c r="F484" s="252" t="s">
        <v>161</v>
      </c>
      <c r="M484" s="253"/>
    </row>
    <row r="485">
      <c r="F485" s="252" t="s">
        <v>161</v>
      </c>
      <c r="M485" s="253"/>
    </row>
    <row r="486">
      <c r="F486" s="252" t="s">
        <v>161</v>
      </c>
      <c r="M486" s="253"/>
    </row>
    <row r="487">
      <c r="F487" s="252" t="s">
        <v>161</v>
      </c>
      <c r="M487" s="253"/>
    </row>
    <row r="488">
      <c r="F488" s="252" t="s">
        <v>161</v>
      </c>
      <c r="M488" s="253"/>
    </row>
    <row r="489">
      <c r="F489" s="252" t="s">
        <v>161</v>
      </c>
      <c r="M489" s="253"/>
    </row>
    <row r="490">
      <c r="F490" s="252" t="s">
        <v>161</v>
      </c>
      <c r="M490" s="253"/>
    </row>
    <row r="491">
      <c r="F491" s="252" t="s">
        <v>161</v>
      </c>
      <c r="M491" s="253"/>
    </row>
    <row r="492">
      <c r="F492" s="252" t="s">
        <v>161</v>
      </c>
      <c r="M492" s="253"/>
    </row>
    <row r="493">
      <c r="F493" s="252" t="s">
        <v>161</v>
      </c>
      <c r="M493" s="253"/>
    </row>
    <row r="494">
      <c r="F494" s="252" t="s">
        <v>161</v>
      </c>
      <c r="M494" s="253"/>
    </row>
    <row r="495">
      <c r="F495" s="252" t="s">
        <v>161</v>
      </c>
      <c r="M495" s="253"/>
    </row>
    <row r="496">
      <c r="F496" s="252" t="s">
        <v>161</v>
      </c>
      <c r="M496" s="253"/>
    </row>
    <row r="497">
      <c r="F497" s="252" t="s">
        <v>161</v>
      </c>
      <c r="M497" s="253"/>
    </row>
    <row r="498">
      <c r="F498" s="252" t="s">
        <v>161</v>
      </c>
      <c r="M498" s="253"/>
    </row>
    <row r="499">
      <c r="F499" s="252" t="s">
        <v>161</v>
      </c>
      <c r="M499" s="253"/>
    </row>
    <row r="500">
      <c r="F500" s="252" t="s">
        <v>161</v>
      </c>
      <c r="M500" s="253"/>
    </row>
    <row r="501">
      <c r="F501" s="252" t="s">
        <v>161</v>
      </c>
      <c r="M501" s="253"/>
    </row>
    <row r="502">
      <c r="F502" s="252" t="s">
        <v>161</v>
      </c>
      <c r="M502" s="253"/>
    </row>
    <row r="503">
      <c r="F503" s="252" t="s">
        <v>161</v>
      </c>
      <c r="M503" s="253"/>
    </row>
    <row r="504">
      <c r="F504" s="252" t="s">
        <v>161</v>
      </c>
      <c r="M504" s="253"/>
    </row>
    <row r="505">
      <c r="F505" s="252" t="s">
        <v>161</v>
      </c>
      <c r="M505" s="253"/>
    </row>
    <row r="506">
      <c r="F506" s="252" t="s">
        <v>161</v>
      </c>
      <c r="M506" s="253"/>
    </row>
    <row r="507">
      <c r="F507" s="252" t="s">
        <v>161</v>
      </c>
      <c r="M507" s="253"/>
    </row>
    <row r="508">
      <c r="F508" s="252" t="s">
        <v>161</v>
      </c>
      <c r="M508" s="253"/>
    </row>
    <row r="509">
      <c r="F509" s="252" t="s">
        <v>161</v>
      </c>
      <c r="M509" s="253"/>
    </row>
    <row r="510">
      <c r="F510" s="252" t="s">
        <v>161</v>
      </c>
      <c r="M510" s="253"/>
    </row>
    <row r="511">
      <c r="F511" s="252" t="s">
        <v>161</v>
      </c>
      <c r="M511" s="253"/>
    </row>
    <row r="512">
      <c r="F512" s="252" t="s">
        <v>161</v>
      </c>
      <c r="M512" s="253"/>
    </row>
    <row r="513">
      <c r="F513" s="252" t="s">
        <v>161</v>
      </c>
      <c r="M513" s="253"/>
    </row>
    <row r="514">
      <c r="F514" s="252" t="s">
        <v>161</v>
      </c>
      <c r="M514" s="253"/>
    </row>
    <row r="515">
      <c r="F515" s="252" t="s">
        <v>161</v>
      </c>
      <c r="M515" s="253"/>
    </row>
    <row r="516">
      <c r="F516" s="252" t="s">
        <v>161</v>
      </c>
      <c r="M516" s="253"/>
    </row>
    <row r="517">
      <c r="F517" s="252" t="s">
        <v>161</v>
      </c>
      <c r="M517" s="253"/>
    </row>
    <row r="518">
      <c r="F518" s="252" t="s">
        <v>161</v>
      </c>
      <c r="M518" s="253"/>
    </row>
    <row r="519">
      <c r="F519" s="252" t="s">
        <v>161</v>
      </c>
      <c r="M519" s="253"/>
    </row>
    <row r="520">
      <c r="F520" s="252" t="s">
        <v>161</v>
      </c>
      <c r="M520" s="253"/>
    </row>
    <row r="521">
      <c r="F521" s="252" t="s">
        <v>161</v>
      </c>
      <c r="M521" s="253"/>
    </row>
    <row r="522">
      <c r="F522" s="252" t="s">
        <v>161</v>
      </c>
      <c r="M522" s="253"/>
    </row>
    <row r="523">
      <c r="F523" s="252" t="s">
        <v>161</v>
      </c>
      <c r="M523" s="253"/>
    </row>
    <row r="524">
      <c r="F524" s="252" t="s">
        <v>161</v>
      </c>
      <c r="M524" s="253"/>
    </row>
    <row r="525">
      <c r="F525" s="252" t="s">
        <v>161</v>
      </c>
      <c r="M525" s="253"/>
    </row>
    <row r="526">
      <c r="F526" s="252" t="s">
        <v>161</v>
      </c>
      <c r="M526" s="253"/>
    </row>
    <row r="527">
      <c r="F527" s="252" t="s">
        <v>161</v>
      </c>
      <c r="M527" s="253"/>
    </row>
    <row r="528">
      <c r="F528" s="252" t="s">
        <v>161</v>
      </c>
      <c r="M528" s="253"/>
    </row>
    <row r="529">
      <c r="F529" s="252" t="s">
        <v>161</v>
      </c>
      <c r="M529" s="253"/>
    </row>
    <row r="530">
      <c r="F530" s="252" t="s">
        <v>161</v>
      </c>
      <c r="M530" s="253"/>
    </row>
    <row r="531">
      <c r="F531" s="252" t="s">
        <v>161</v>
      </c>
      <c r="M531" s="253"/>
    </row>
    <row r="532">
      <c r="F532" s="252" t="s">
        <v>161</v>
      </c>
      <c r="M532" s="253"/>
    </row>
    <row r="533">
      <c r="F533" s="252" t="s">
        <v>161</v>
      </c>
      <c r="M533" s="253"/>
    </row>
    <row r="534">
      <c r="F534" s="252" t="s">
        <v>161</v>
      </c>
      <c r="M534" s="253"/>
    </row>
    <row r="535">
      <c r="F535" s="252" t="s">
        <v>161</v>
      </c>
      <c r="M535" s="253"/>
    </row>
    <row r="536">
      <c r="F536" s="252" t="s">
        <v>161</v>
      </c>
      <c r="M536" s="253"/>
    </row>
    <row r="537">
      <c r="F537" s="252" t="s">
        <v>161</v>
      </c>
      <c r="M537" s="253"/>
    </row>
    <row r="538">
      <c r="F538" s="252" t="s">
        <v>161</v>
      </c>
      <c r="M538" s="253"/>
    </row>
    <row r="539">
      <c r="F539" s="252" t="s">
        <v>161</v>
      </c>
      <c r="M539" s="253"/>
    </row>
    <row r="540">
      <c r="F540" s="252" t="s">
        <v>161</v>
      </c>
      <c r="M540" s="253"/>
    </row>
    <row r="541">
      <c r="F541" s="252" t="s">
        <v>161</v>
      </c>
      <c r="M541" s="253"/>
    </row>
    <row r="542">
      <c r="F542" s="252" t="s">
        <v>161</v>
      </c>
      <c r="M542" s="253"/>
    </row>
    <row r="543">
      <c r="F543" s="252" t="s">
        <v>161</v>
      </c>
      <c r="M543" s="253"/>
    </row>
    <row r="544">
      <c r="F544" s="252" t="s">
        <v>161</v>
      </c>
      <c r="M544" s="253"/>
    </row>
    <row r="545">
      <c r="F545" s="252" t="s">
        <v>161</v>
      </c>
      <c r="M545" s="253"/>
    </row>
    <row r="546">
      <c r="F546" s="252" t="s">
        <v>161</v>
      </c>
      <c r="M546" s="253"/>
    </row>
    <row r="547">
      <c r="F547" s="252" t="s">
        <v>161</v>
      </c>
      <c r="M547" s="253"/>
    </row>
    <row r="548">
      <c r="F548" s="252" t="s">
        <v>161</v>
      </c>
      <c r="M548" s="253"/>
    </row>
    <row r="549">
      <c r="F549" s="252" t="s">
        <v>161</v>
      </c>
      <c r="M549" s="253"/>
    </row>
    <row r="550">
      <c r="F550" s="252" t="s">
        <v>161</v>
      </c>
      <c r="M550" s="253"/>
    </row>
    <row r="551">
      <c r="F551" s="252" t="s">
        <v>161</v>
      </c>
      <c r="M551" s="253"/>
    </row>
    <row r="552">
      <c r="F552" s="252" t="s">
        <v>161</v>
      </c>
      <c r="M552" s="253"/>
    </row>
    <row r="553">
      <c r="F553" s="252" t="s">
        <v>161</v>
      </c>
      <c r="M553" s="253"/>
    </row>
    <row r="554">
      <c r="F554" s="252" t="s">
        <v>161</v>
      </c>
      <c r="M554" s="253"/>
    </row>
    <row r="555">
      <c r="F555" s="252" t="s">
        <v>161</v>
      </c>
      <c r="M555" s="253"/>
    </row>
    <row r="556">
      <c r="F556" s="252" t="s">
        <v>161</v>
      </c>
      <c r="M556" s="253"/>
    </row>
    <row r="557">
      <c r="F557" s="252" t="s">
        <v>161</v>
      </c>
      <c r="M557" s="253"/>
    </row>
    <row r="558">
      <c r="F558" s="252" t="s">
        <v>161</v>
      </c>
      <c r="M558" s="253"/>
    </row>
    <row r="559">
      <c r="F559" s="252" t="s">
        <v>161</v>
      </c>
      <c r="M559" s="253"/>
    </row>
    <row r="560">
      <c r="F560" s="252" t="s">
        <v>161</v>
      </c>
      <c r="M560" s="253"/>
    </row>
    <row r="561">
      <c r="F561" s="252" t="s">
        <v>161</v>
      </c>
      <c r="M561" s="253"/>
    </row>
    <row r="562">
      <c r="F562" s="252" t="s">
        <v>161</v>
      </c>
      <c r="M562" s="253"/>
    </row>
    <row r="563">
      <c r="F563" s="252" t="s">
        <v>161</v>
      </c>
      <c r="M563" s="253"/>
    </row>
    <row r="564">
      <c r="F564" s="252" t="s">
        <v>161</v>
      </c>
      <c r="M564" s="253"/>
    </row>
    <row r="565">
      <c r="F565" s="252" t="s">
        <v>161</v>
      </c>
      <c r="M565" s="253"/>
    </row>
    <row r="566">
      <c r="F566" s="252" t="s">
        <v>161</v>
      </c>
      <c r="M566" s="253"/>
    </row>
    <row r="567">
      <c r="F567" s="252" t="s">
        <v>161</v>
      </c>
      <c r="M567" s="253"/>
    </row>
    <row r="568">
      <c r="F568" s="252" t="s">
        <v>161</v>
      </c>
      <c r="M568" s="253"/>
    </row>
    <row r="569">
      <c r="F569" s="252" t="s">
        <v>161</v>
      </c>
      <c r="M569" s="253"/>
    </row>
    <row r="570">
      <c r="F570" s="252" t="s">
        <v>161</v>
      </c>
      <c r="M570" s="253"/>
    </row>
    <row r="571">
      <c r="F571" s="252" t="s">
        <v>161</v>
      </c>
      <c r="M571" s="253"/>
    </row>
    <row r="572">
      <c r="F572" s="252" t="s">
        <v>161</v>
      </c>
      <c r="M572" s="253"/>
    </row>
    <row r="573">
      <c r="F573" s="252" t="s">
        <v>161</v>
      </c>
      <c r="M573" s="253"/>
    </row>
    <row r="574">
      <c r="F574" s="252" t="s">
        <v>161</v>
      </c>
      <c r="M574" s="253"/>
    </row>
    <row r="575">
      <c r="F575" s="252" t="s">
        <v>161</v>
      </c>
      <c r="M575" s="253"/>
    </row>
    <row r="576">
      <c r="F576" s="252" t="s">
        <v>161</v>
      </c>
      <c r="M576" s="253"/>
    </row>
    <row r="577">
      <c r="F577" s="252" t="s">
        <v>161</v>
      </c>
      <c r="M577" s="253"/>
    </row>
    <row r="578">
      <c r="F578" s="252" t="s">
        <v>161</v>
      </c>
      <c r="M578" s="253"/>
    </row>
    <row r="579">
      <c r="F579" s="252" t="s">
        <v>161</v>
      </c>
      <c r="M579" s="253"/>
    </row>
    <row r="580">
      <c r="F580" s="252" t="s">
        <v>161</v>
      </c>
      <c r="M580" s="253"/>
    </row>
    <row r="581">
      <c r="F581" s="252" t="s">
        <v>161</v>
      </c>
      <c r="M581" s="253"/>
    </row>
    <row r="582">
      <c r="F582" s="252" t="s">
        <v>161</v>
      </c>
      <c r="M582" s="253"/>
    </row>
    <row r="583">
      <c r="F583" s="252" t="s">
        <v>161</v>
      </c>
      <c r="M583" s="253"/>
    </row>
    <row r="584">
      <c r="F584" s="252" t="s">
        <v>161</v>
      </c>
      <c r="M584" s="253"/>
    </row>
    <row r="585">
      <c r="F585" s="252" t="s">
        <v>161</v>
      </c>
      <c r="M585" s="253"/>
    </row>
    <row r="586">
      <c r="F586" s="252" t="s">
        <v>161</v>
      </c>
      <c r="M586" s="253"/>
    </row>
    <row r="587">
      <c r="F587" s="252" t="s">
        <v>161</v>
      </c>
      <c r="M587" s="253"/>
    </row>
    <row r="588">
      <c r="F588" s="252" t="s">
        <v>161</v>
      </c>
      <c r="M588" s="253"/>
    </row>
    <row r="589">
      <c r="F589" s="252" t="s">
        <v>161</v>
      </c>
      <c r="M589" s="253"/>
    </row>
    <row r="590">
      <c r="F590" s="252" t="s">
        <v>161</v>
      </c>
      <c r="M590" s="253"/>
    </row>
    <row r="591">
      <c r="F591" s="252" t="s">
        <v>161</v>
      </c>
      <c r="M591" s="253"/>
    </row>
    <row r="592">
      <c r="F592" s="252" t="s">
        <v>161</v>
      </c>
      <c r="M592" s="253"/>
    </row>
    <row r="593">
      <c r="F593" s="252" t="s">
        <v>161</v>
      </c>
      <c r="M593" s="253"/>
    </row>
    <row r="594">
      <c r="F594" s="252" t="s">
        <v>161</v>
      </c>
      <c r="M594" s="253"/>
    </row>
    <row r="595">
      <c r="F595" s="252" t="s">
        <v>161</v>
      </c>
      <c r="M595" s="253"/>
    </row>
    <row r="596">
      <c r="F596" s="252" t="s">
        <v>161</v>
      </c>
      <c r="M596" s="253"/>
    </row>
    <row r="597">
      <c r="F597" s="252" t="s">
        <v>161</v>
      </c>
      <c r="M597" s="253"/>
    </row>
    <row r="598">
      <c r="F598" s="252" t="s">
        <v>161</v>
      </c>
      <c r="M598" s="253"/>
    </row>
    <row r="599">
      <c r="F599" s="252" t="s">
        <v>161</v>
      </c>
      <c r="M599" s="253"/>
    </row>
    <row r="600">
      <c r="F600" s="252" t="s">
        <v>161</v>
      </c>
      <c r="M600" s="253"/>
    </row>
    <row r="601">
      <c r="F601" s="252" t="s">
        <v>161</v>
      </c>
      <c r="M601" s="253"/>
    </row>
    <row r="602">
      <c r="F602" s="252" t="s">
        <v>161</v>
      </c>
      <c r="M602" s="253"/>
    </row>
    <row r="603">
      <c r="F603" s="252" t="s">
        <v>161</v>
      </c>
      <c r="M603" s="253"/>
    </row>
    <row r="604">
      <c r="F604" s="252" t="s">
        <v>161</v>
      </c>
      <c r="M604" s="253"/>
    </row>
    <row r="605">
      <c r="F605" s="252" t="s">
        <v>161</v>
      </c>
      <c r="M605" s="253"/>
    </row>
    <row r="606">
      <c r="F606" s="252" t="s">
        <v>161</v>
      </c>
      <c r="M606" s="253"/>
    </row>
    <row r="607">
      <c r="F607" s="252" t="s">
        <v>161</v>
      </c>
      <c r="M607" s="253"/>
    </row>
    <row r="608">
      <c r="F608" s="252" t="s">
        <v>161</v>
      </c>
      <c r="M608" s="253"/>
    </row>
    <row r="609">
      <c r="F609" s="252" t="s">
        <v>161</v>
      </c>
      <c r="M609" s="253"/>
    </row>
    <row r="610">
      <c r="F610" s="252" t="s">
        <v>161</v>
      </c>
      <c r="M610" s="253"/>
    </row>
    <row r="611">
      <c r="F611" s="252" t="s">
        <v>161</v>
      </c>
      <c r="M611" s="253"/>
    </row>
    <row r="612">
      <c r="F612" s="252" t="s">
        <v>161</v>
      </c>
      <c r="M612" s="253"/>
    </row>
    <row r="613">
      <c r="F613" s="252" t="s">
        <v>161</v>
      </c>
      <c r="M613" s="253"/>
    </row>
    <row r="614">
      <c r="F614" s="252" t="s">
        <v>161</v>
      </c>
      <c r="M614" s="253"/>
    </row>
    <row r="615">
      <c r="F615" s="252" t="s">
        <v>161</v>
      </c>
      <c r="M615" s="253"/>
    </row>
    <row r="616">
      <c r="F616" s="252" t="s">
        <v>161</v>
      </c>
      <c r="M616" s="253"/>
    </row>
    <row r="617">
      <c r="F617" s="252" t="s">
        <v>161</v>
      </c>
      <c r="M617" s="253"/>
    </row>
    <row r="618">
      <c r="F618" s="252" t="s">
        <v>161</v>
      </c>
      <c r="M618" s="253"/>
    </row>
    <row r="619">
      <c r="F619" s="252" t="s">
        <v>161</v>
      </c>
      <c r="M619" s="253"/>
    </row>
    <row r="620">
      <c r="F620" s="252" t="s">
        <v>161</v>
      </c>
      <c r="M620" s="253"/>
    </row>
    <row r="621">
      <c r="F621" s="252" t="s">
        <v>161</v>
      </c>
      <c r="M621" s="253"/>
    </row>
    <row r="622">
      <c r="F622" s="252" t="s">
        <v>161</v>
      </c>
      <c r="M622" s="253"/>
    </row>
    <row r="623">
      <c r="F623" s="252" t="s">
        <v>161</v>
      </c>
      <c r="M623" s="253"/>
    </row>
    <row r="624">
      <c r="F624" s="252" t="s">
        <v>161</v>
      </c>
      <c r="M624" s="253"/>
    </row>
    <row r="625">
      <c r="F625" s="252" t="s">
        <v>161</v>
      </c>
      <c r="M625" s="253"/>
    </row>
    <row r="626">
      <c r="F626" s="252" t="s">
        <v>161</v>
      </c>
      <c r="M626" s="253"/>
    </row>
    <row r="627">
      <c r="F627" s="252" t="s">
        <v>161</v>
      </c>
      <c r="M627" s="253"/>
    </row>
    <row r="628">
      <c r="F628" s="252" t="s">
        <v>161</v>
      </c>
      <c r="M628" s="253"/>
    </row>
    <row r="629">
      <c r="F629" s="252" t="s">
        <v>161</v>
      </c>
      <c r="M629" s="253"/>
    </row>
    <row r="630">
      <c r="F630" s="252" t="s">
        <v>161</v>
      </c>
      <c r="M630" s="253"/>
    </row>
    <row r="631">
      <c r="F631" s="252" t="s">
        <v>161</v>
      </c>
      <c r="M631" s="253"/>
    </row>
    <row r="632">
      <c r="F632" s="252" t="s">
        <v>161</v>
      </c>
      <c r="M632" s="253"/>
    </row>
    <row r="633">
      <c r="F633" s="252" t="s">
        <v>161</v>
      </c>
      <c r="M633" s="253"/>
    </row>
    <row r="634">
      <c r="F634" s="252" t="s">
        <v>161</v>
      </c>
      <c r="M634" s="253"/>
    </row>
    <row r="635">
      <c r="F635" s="252" t="s">
        <v>161</v>
      </c>
      <c r="M635" s="253"/>
    </row>
    <row r="636">
      <c r="F636" s="252" t="s">
        <v>161</v>
      </c>
      <c r="M636" s="253"/>
    </row>
    <row r="637">
      <c r="F637" s="252" t="s">
        <v>161</v>
      </c>
      <c r="M637" s="253"/>
    </row>
    <row r="638">
      <c r="F638" s="252" t="s">
        <v>161</v>
      </c>
      <c r="M638" s="253"/>
    </row>
    <row r="639">
      <c r="F639" s="252" t="s">
        <v>161</v>
      </c>
      <c r="M639" s="253"/>
    </row>
    <row r="640">
      <c r="F640" s="252" t="s">
        <v>161</v>
      </c>
      <c r="M640" s="253"/>
    </row>
    <row r="641">
      <c r="F641" s="252" t="s">
        <v>161</v>
      </c>
      <c r="M641" s="253"/>
    </row>
    <row r="642">
      <c r="F642" s="252" t="s">
        <v>161</v>
      </c>
      <c r="M642" s="253"/>
    </row>
    <row r="643">
      <c r="F643" s="252" t="s">
        <v>161</v>
      </c>
      <c r="M643" s="253"/>
    </row>
    <row r="644">
      <c r="F644" s="252" t="s">
        <v>161</v>
      </c>
      <c r="M644" s="253"/>
    </row>
    <row r="645">
      <c r="F645" s="252" t="s">
        <v>161</v>
      </c>
      <c r="M645" s="253"/>
    </row>
    <row r="646">
      <c r="F646" s="252" t="s">
        <v>161</v>
      </c>
      <c r="M646" s="253"/>
    </row>
    <row r="647">
      <c r="F647" s="252" t="s">
        <v>161</v>
      </c>
      <c r="M647" s="253"/>
    </row>
    <row r="648">
      <c r="F648" s="252" t="s">
        <v>161</v>
      </c>
      <c r="M648" s="253"/>
    </row>
    <row r="649">
      <c r="F649" s="252" t="s">
        <v>161</v>
      </c>
      <c r="M649" s="253"/>
    </row>
    <row r="650">
      <c r="F650" s="252" t="s">
        <v>161</v>
      </c>
      <c r="M650" s="253"/>
    </row>
    <row r="651">
      <c r="F651" s="252" t="s">
        <v>161</v>
      </c>
      <c r="M651" s="253"/>
    </row>
    <row r="652">
      <c r="F652" s="252" t="s">
        <v>161</v>
      </c>
      <c r="M652" s="253"/>
    </row>
    <row r="653">
      <c r="F653" s="252" t="s">
        <v>161</v>
      </c>
      <c r="M653" s="253"/>
    </row>
    <row r="654">
      <c r="F654" s="252" t="s">
        <v>161</v>
      </c>
      <c r="M654" s="253"/>
    </row>
    <row r="655">
      <c r="F655" s="252" t="s">
        <v>161</v>
      </c>
      <c r="M655" s="253"/>
    </row>
    <row r="656">
      <c r="F656" s="252" t="s">
        <v>161</v>
      </c>
      <c r="M656" s="253"/>
    </row>
    <row r="657">
      <c r="F657" s="252" t="s">
        <v>161</v>
      </c>
      <c r="M657" s="253"/>
    </row>
    <row r="658">
      <c r="F658" s="252" t="s">
        <v>161</v>
      </c>
      <c r="M658" s="253"/>
    </row>
    <row r="659">
      <c r="F659" s="252" t="s">
        <v>161</v>
      </c>
      <c r="M659" s="253"/>
    </row>
    <row r="660">
      <c r="F660" s="252" t="s">
        <v>161</v>
      </c>
      <c r="M660" s="253"/>
    </row>
    <row r="661">
      <c r="F661" s="252" t="s">
        <v>161</v>
      </c>
      <c r="M661" s="253"/>
    </row>
    <row r="662">
      <c r="F662" s="252" t="s">
        <v>161</v>
      </c>
      <c r="M662" s="253"/>
    </row>
    <row r="663">
      <c r="F663" s="252" t="s">
        <v>161</v>
      </c>
      <c r="M663" s="253"/>
    </row>
    <row r="664">
      <c r="F664" s="252" t="s">
        <v>161</v>
      </c>
      <c r="M664" s="253"/>
    </row>
    <row r="665">
      <c r="F665" s="252" t="s">
        <v>161</v>
      </c>
      <c r="M665" s="253"/>
    </row>
    <row r="666">
      <c r="F666" s="252" t="s">
        <v>161</v>
      </c>
      <c r="M666" s="253"/>
    </row>
    <row r="667">
      <c r="F667" s="252" t="s">
        <v>161</v>
      </c>
      <c r="M667" s="253"/>
    </row>
    <row r="668">
      <c r="F668" s="252" t="s">
        <v>161</v>
      </c>
      <c r="M668" s="253"/>
    </row>
    <row r="669">
      <c r="F669" s="252" t="s">
        <v>161</v>
      </c>
      <c r="M669" s="253"/>
    </row>
    <row r="670">
      <c r="F670" s="252" t="s">
        <v>161</v>
      </c>
      <c r="M670" s="253"/>
    </row>
    <row r="671">
      <c r="F671" s="252" t="s">
        <v>161</v>
      </c>
      <c r="M671" s="253"/>
    </row>
    <row r="672">
      <c r="F672" s="252" t="s">
        <v>161</v>
      </c>
      <c r="M672" s="253"/>
    </row>
    <row r="673">
      <c r="F673" s="252" t="s">
        <v>161</v>
      </c>
      <c r="M673" s="253"/>
    </row>
    <row r="674">
      <c r="F674" s="252" t="s">
        <v>161</v>
      </c>
      <c r="M674" s="253"/>
    </row>
    <row r="675">
      <c r="F675" s="252" t="s">
        <v>161</v>
      </c>
      <c r="M675" s="253"/>
    </row>
    <row r="676">
      <c r="F676" s="252" t="s">
        <v>161</v>
      </c>
      <c r="M676" s="253"/>
    </row>
    <row r="677">
      <c r="F677" s="252" t="s">
        <v>161</v>
      </c>
      <c r="M677" s="253"/>
    </row>
    <row r="678">
      <c r="F678" s="252" t="s">
        <v>161</v>
      </c>
      <c r="M678" s="253"/>
    </row>
    <row r="679">
      <c r="F679" s="252" t="s">
        <v>161</v>
      </c>
      <c r="M679" s="253"/>
    </row>
    <row r="680">
      <c r="F680" s="252" t="s">
        <v>161</v>
      </c>
      <c r="M680" s="253"/>
    </row>
    <row r="681">
      <c r="F681" s="252" t="s">
        <v>161</v>
      </c>
      <c r="M681" s="253"/>
    </row>
    <row r="682">
      <c r="F682" s="252" t="s">
        <v>161</v>
      </c>
      <c r="M682" s="253"/>
    </row>
    <row r="683">
      <c r="F683" s="252" t="s">
        <v>161</v>
      </c>
      <c r="M683" s="253"/>
    </row>
    <row r="684">
      <c r="F684" s="252" t="s">
        <v>161</v>
      </c>
      <c r="M684" s="253"/>
    </row>
    <row r="685">
      <c r="F685" s="252" t="s">
        <v>161</v>
      </c>
      <c r="M685" s="253"/>
    </row>
    <row r="686">
      <c r="F686" s="252" t="s">
        <v>161</v>
      </c>
      <c r="M686" s="253"/>
    </row>
    <row r="687">
      <c r="F687" s="252" t="s">
        <v>161</v>
      </c>
      <c r="M687" s="253"/>
    </row>
    <row r="688">
      <c r="F688" s="252" t="s">
        <v>161</v>
      </c>
      <c r="M688" s="253"/>
    </row>
    <row r="689">
      <c r="F689" s="252" t="s">
        <v>161</v>
      </c>
      <c r="M689" s="253"/>
    </row>
    <row r="690">
      <c r="F690" s="252" t="s">
        <v>161</v>
      </c>
      <c r="M690" s="253"/>
    </row>
    <row r="691">
      <c r="F691" s="252" t="s">
        <v>161</v>
      </c>
      <c r="M691" s="253"/>
    </row>
    <row r="692">
      <c r="F692" s="252" t="s">
        <v>161</v>
      </c>
      <c r="M692" s="253"/>
    </row>
    <row r="693">
      <c r="F693" s="252" t="s">
        <v>161</v>
      </c>
      <c r="M693" s="253"/>
    </row>
    <row r="694">
      <c r="F694" s="252" t="s">
        <v>161</v>
      </c>
      <c r="M694" s="253"/>
    </row>
    <row r="695">
      <c r="F695" s="252" t="s">
        <v>161</v>
      </c>
      <c r="M695" s="253"/>
    </row>
    <row r="696">
      <c r="F696" s="252" t="s">
        <v>161</v>
      </c>
      <c r="M696" s="253"/>
    </row>
    <row r="697">
      <c r="F697" s="252" t="s">
        <v>161</v>
      </c>
      <c r="M697" s="253"/>
    </row>
    <row r="698">
      <c r="F698" s="252" t="s">
        <v>161</v>
      </c>
      <c r="M698" s="253"/>
    </row>
    <row r="699">
      <c r="F699" s="252" t="s">
        <v>161</v>
      </c>
      <c r="M699" s="253"/>
    </row>
    <row r="700">
      <c r="F700" s="252" t="s">
        <v>161</v>
      </c>
      <c r="M700" s="253"/>
    </row>
    <row r="701">
      <c r="F701" s="252" t="s">
        <v>161</v>
      </c>
      <c r="M701" s="253"/>
    </row>
    <row r="702">
      <c r="F702" s="252" t="s">
        <v>161</v>
      </c>
      <c r="M702" s="253"/>
    </row>
    <row r="703">
      <c r="F703" s="252" t="s">
        <v>161</v>
      </c>
      <c r="M703" s="253"/>
    </row>
    <row r="704">
      <c r="F704" s="252" t="s">
        <v>161</v>
      </c>
      <c r="M704" s="253"/>
    </row>
    <row r="705">
      <c r="F705" s="252" t="s">
        <v>161</v>
      </c>
      <c r="M705" s="253"/>
    </row>
    <row r="706">
      <c r="F706" s="252" t="s">
        <v>161</v>
      </c>
      <c r="M706" s="253"/>
    </row>
    <row r="707">
      <c r="F707" s="252" t="s">
        <v>161</v>
      </c>
      <c r="M707" s="253"/>
    </row>
    <row r="708">
      <c r="F708" s="252" t="s">
        <v>161</v>
      </c>
      <c r="M708" s="253"/>
    </row>
    <row r="709">
      <c r="F709" s="252" t="s">
        <v>161</v>
      </c>
      <c r="M709" s="253"/>
    </row>
    <row r="710">
      <c r="F710" s="252" t="s">
        <v>161</v>
      </c>
      <c r="M710" s="253"/>
    </row>
    <row r="711">
      <c r="F711" s="252" t="s">
        <v>161</v>
      </c>
      <c r="M711" s="253"/>
    </row>
    <row r="712">
      <c r="F712" s="252" t="s">
        <v>161</v>
      </c>
      <c r="M712" s="253"/>
    </row>
    <row r="713">
      <c r="F713" s="252" t="s">
        <v>161</v>
      </c>
      <c r="M713" s="253"/>
    </row>
    <row r="714">
      <c r="F714" s="252" t="s">
        <v>161</v>
      </c>
      <c r="M714" s="253"/>
    </row>
    <row r="715">
      <c r="F715" s="252" t="s">
        <v>161</v>
      </c>
      <c r="M715" s="253"/>
    </row>
    <row r="716">
      <c r="F716" s="252" t="s">
        <v>161</v>
      </c>
      <c r="M716" s="253"/>
    </row>
    <row r="717">
      <c r="F717" s="252" t="s">
        <v>161</v>
      </c>
      <c r="M717" s="253"/>
    </row>
    <row r="718">
      <c r="F718" s="252" t="s">
        <v>161</v>
      </c>
      <c r="M718" s="253"/>
    </row>
    <row r="719">
      <c r="F719" s="252" t="s">
        <v>161</v>
      </c>
      <c r="M719" s="253"/>
    </row>
    <row r="720">
      <c r="F720" s="252" t="s">
        <v>161</v>
      </c>
      <c r="M720" s="253"/>
    </row>
    <row r="721">
      <c r="F721" s="252" t="s">
        <v>161</v>
      </c>
      <c r="M721" s="253"/>
    </row>
    <row r="722">
      <c r="F722" s="252" t="s">
        <v>161</v>
      </c>
      <c r="M722" s="253"/>
    </row>
    <row r="723">
      <c r="F723" s="252" t="s">
        <v>161</v>
      </c>
      <c r="M723" s="253"/>
    </row>
    <row r="724">
      <c r="F724" s="252" t="s">
        <v>161</v>
      </c>
      <c r="M724" s="253"/>
    </row>
    <row r="725">
      <c r="F725" s="252" t="s">
        <v>161</v>
      </c>
      <c r="M725" s="253"/>
    </row>
    <row r="726">
      <c r="F726" s="252" t="s">
        <v>161</v>
      </c>
      <c r="M726" s="253"/>
    </row>
    <row r="727">
      <c r="F727" s="252" t="s">
        <v>161</v>
      </c>
      <c r="M727" s="253"/>
    </row>
    <row r="728">
      <c r="F728" s="252" t="s">
        <v>161</v>
      </c>
      <c r="M728" s="253"/>
    </row>
    <row r="729">
      <c r="F729" s="252" t="s">
        <v>161</v>
      </c>
      <c r="M729" s="253"/>
    </row>
    <row r="730">
      <c r="F730" s="252" t="s">
        <v>161</v>
      </c>
      <c r="M730" s="253"/>
    </row>
    <row r="731">
      <c r="F731" s="252" t="s">
        <v>161</v>
      </c>
      <c r="M731" s="253"/>
    </row>
    <row r="732">
      <c r="F732" s="252" t="s">
        <v>161</v>
      </c>
      <c r="M732" s="253"/>
    </row>
    <row r="733">
      <c r="F733" s="252" t="s">
        <v>161</v>
      </c>
      <c r="M733" s="253"/>
    </row>
    <row r="734">
      <c r="F734" s="252" t="s">
        <v>161</v>
      </c>
      <c r="M734" s="253"/>
    </row>
    <row r="735">
      <c r="F735" s="252" t="s">
        <v>161</v>
      </c>
      <c r="M735" s="253"/>
    </row>
    <row r="736">
      <c r="F736" s="252" t="s">
        <v>161</v>
      </c>
      <c r="M736" s="253"/>
    </row>
    <row r="737">
      <c r="F737" s="252" t="s">
        <v>161</v>
      </c>
      <c r="M737" s="253"/>
    </row>
    <row r="738">
      <c r="F738" s="252" t="s">
        <v>161</v>
      </c>
      <c r="M738" s="253"/>
    </row>
    <row r="739">
      <c r="F739" s="252" t="s">
        <v>161</v>
      </c>
      <c r="M739" s="253"/>
    </row>
    <row r="740">
      <c r="F740" s="252" t="s">
        <v>161</v>
      </c>
      <c r="M740" s="253"/>
    </row>
    <row r="741">
      <c r="F741" s="252" t="s">
        <v>161</v>
      </c>
      <c r="M741" s="253"/>
    </row>
    <row r="742">
      <c r="F742" s="252" t="s">
        <v>161</v>
      </c>
      <c r="M742" s="253"/>
    </row>
    <row r="743">
      <c r="F743" s="252" t="s">
        <v>161</v>
      </c>
      <c r="M743" s="253"/>
    </row>
    <row r="744">
      <c r="F744" s="252" t="s">
        <v>161</v>
      </c>
      <c r="M744" s="253"/>
    </row>
    <row r="745">
      <c r="F745" s="252" t="s">
        <v>161</v>
      </c>
      <c r="M745" s="253"/>
    </row>
    <row r="746">
      <c r="F746" s="252" t="s">
        <v>161</v>
      </c>
      <c r="M746" s="253"/>
    </row>
    <row r="747">
      <c r="F747" s="252" t="s">
        <v>161</v>
      </c>
      <c r="M747" s="253"/>
    </row>
    <row r="748">
      <c r="F748" s="252" t="s">
        <v>161</v>
      </c>
      <c r="M748" s="253"/>
    </row>
    <row r="749">
      <c r="F749" s="252" t="s">
        <v>161</v>
      </c>
      <c r="M749" s="253"/>
    </row>
    <row r="750">
      <c r="F750" s="252" t="s">
        <v>161</v>
      </c>
      <c r="M750" s="253"/>
    </row>
    <row r="751">
      <c r="F751" s="252" t="s">
        <v>161</v>
      </c>
      <c r="M751" s="253"/>
    </row>
    <row r="752">
      <c r="F752" s="252" t="s">
        <v>161</v>
      </c>
      <c r="M752" s="253"/>
    </row>
    <row r="753">
      <c r="F753" s="252" t="s">
        <v>161</v>
      </c>
      <c r="M753" s="253"/>
    </row>
    <row r="754">
      <c r="F754" s="252" t="s">
        <v>161</v>
      </c>
      <c r="M754" s="253"/>
    </row>
    <row r="755">
      <c r="F755" s="252" t="s">
        <v>161</v>
      </c>
      <c r="M755" s="253"/>
    </row>
    <row r="756">
      <c r="F756" s="252" t="s">
        <v>161</v>
      </c>
      <c r="M756" s="253"/>
    </row>
    <row r="757">
      <c r="F757" s="252" t="s">
        <v>161</v>
      </c>
      <c r="M757" s="253"/>
    </row>
    <row r="758">
      <c r="F758" s="252" t="s">
        <v>161</v>
      </c>
      <c r="M758" s="253"/>
    </row>
    <row r="759">
      <c r="F759" s="252" t="s">
        <v>161</v>
      </c>
      <c r="M759" s="253"/>
    </row>
    <row r="760">
      <c r="F760" s="252" t="s">
        <v>161</v>
      </c>
      <c r="M760" s="253"/>
    </row>
    <row r="761">
      <c r="F761" s="252" t="s">
        <v>161</v>
      </c>
      <c r="M761" s="253"/>
    </row>
    <row r="762">
      <c r="F762" s="252" t="s">
        <v>161</v>
      </c>
      <c r="M762" s="253"/>
    </row>
    <row r="763">
      <c r="F763" s="252" t="s">
        <v>161</v>
      </c>
      <c r="M763" s="253"/>
    </row>
    <row r="764">
      <c r="F764" s="252" t="s">
        <v>161</v>
      </c>
      <c r="M764" s="253"/>
    </row>
    <row r="765">
      <c r="F765" s="252" t="s">
        <v>161</v>
      </c>
      <c r="M765" s="253"/>
    </row>
    <row r="766">
      <c r="F766" s="252" t="s">
        <v>161</v>
      </c>
      <c r="M766" s="253"/>
    </row>
    <row r="767">
      <c r="F767" s="252" t="s">
        <v>161</v>
      </c>
      <c r="M767" s="253"/>
    </row>
    <row r="768">
      <c r="F768" s="252" t="s">
        <v>161</v>
      </c>
      <c r="M768" s="253"/>
    </row>
    <row r="769">
      <c r="F769" s="252" t="s">
        <v>161</v>
      </c>
      <c r="M769" s="253"/>
    </row>
    <row r="770">
      <c r="F770" s="252" t="s">
        <v>161</v>
      </c>
      <c r="M770" s="253"/>
    </row>
    <row r="771">
      <c r="F771" s="252" t="s">
        <v>161</v>
      </c>
      <c r="M771" s="253"/>
    </row>
    <row r="772">
      <c r="F772" s="252" t="s">
        <v>161</v>
      </c>
      <c r="M772" s="253"/>
    </row>
    <row r="773">
      <c r="F773" s="252" t="s">
        <v>161</v>
      </c>
      <c r="M773" s="253"/>
    </row>
    <row r="774">
      <c r="F774" s="252" t="s">
        <v>161</v>
      </c>
      <c r="M774" s="253"/>
    </row>
    <row r="775">
      <c r="F775" s="252" t="s">
        <v>161</v>
      </c>
      <c r="M775" s="253"/>
    </row>
    <row r="776">
      <c r="F776" s="252" t="s">
        <v>161</v>
      </c>
      <c r="M776" s="253"/>
    </row>
    <row r="777">
      <c r="F777" s="252" t="s">
        <v>161</v>
      </c>
      <c r="M777" s="253"/>
    </row>
    <row r="778">
      <c r="F778" s="252" t="s">
        <v>161</v>
      </c>
      <c r="M778" s="253"/>
    </row>
    <row r="779">
      <c r="F779" s="252" t="s">
        <v>161</v>
      </c>
      <c r="M779" s="253"/>
    </row>
    <row r="780">
      <c r="F780" s="252" t="s">
        <v>161</v>
      </c>
      <c r="M780" s="253"/>
    </row>
    <row r="781">
      <c r="F781" s="252" t="s">
        <v>161</v>
      </c>
      <c r="M781" s="253"/>
    </row>
    <row r="782">
      <c r="F782" s="252" t="s">
        <v>161</v>
      </c>
      <c r="M782" s="253"/>
    </row>
    <row r="783">
      <c r="F783" s="252" t="s">
        <v>161</v>
      </c>
      <c r="M783" s="253"/>
    </row>
    <row r="784">
      <c r="F784" s="252" t="s">
        <v>161</v>
      </c>
      <c r="M784" s="253"/>
    </row>
    <row r="785">
      <c r="F785" s="252" t="s">
        <v>161</v>
      </c>
      <c r="M785" s="253"/>
    </row>
    <row r="786">
      <c r="F786" s="252" t="s">
        <v>161</v>
      </c>
      <c r="M786" s="253"/>
    </row>
    <row r="787">
      <c r="F787" s="252" t="s">
        <v>161</v>
      </c>
      <c r="M787" s="253"/>
    </row>
    <row r="788">
      <c r="F788" s="252" t="s">
        <v>161</v>
      </c>
      <c r="M788" s="253"/>
    </row>
    <row r="789">
      <c r="F789" s="252" t="s">
        <v>161</v>
      </c>
      <c r="M789" s="253"/>
    </row>
    <row r="790">
      <c r="F790" s="252" t="s">
        <v>161</v>
      </c>
      <c r="M790" s="253"/>
    </row>
    <row r="791">
      <c r="F791" s="252" t="s">
        <v>161</v>
      </c>
      <c r="M791" s="253"/>
    </row>
    <row r="792">
      <c r="F792" s="252" t="s">
        <v>161</v>
      </c>
      <c r="M792" s="253"/>
    </row>
    <row r="793">
      <c r="F793" s="252" t="s">
        <v>161</v>
      </c>
      <c r="M793" s="253"/>
    </row>
    <row r="794">
      <c r="F794" s="252" t="s">
        <v>161</v>
      </c>
      <c r="M794" s="253"/>
    </row>
    <row r="795">
      <c r="F795" s="252" t="s">
        <v>161</v>
      </c>
      <c r="M795" s="253"/>
    </row>
    <row r="796">
      <c r="F796" s="252" t="s">
        <v>161</v>
      </c>
      <c r="M796" s="253"/>
    </row>
    <row r="797">
      <c r="F797" s="252" t="s">
        <v>161</v>
      </c>
      <c r="M797" s="253"/>
    </row>
    <row r="798">
      <c r="F798" s="252" t="s">
        <v>161</v>
      </c>
      <c r="M798" s="253"/>
    </row>
    <row r="799">
      <c r="F799" s="252" t="s">
        <v>161</v>
      </c>
      <c r="M799" s="253"/>
    </row>
    <row r="800">
      <c r="F800" s="252" t="s">
        <v>161</v>
      </c>
      <c r="M800" s="253"/>
    </row>
    <row r="801">
      <c r="F801" s="252" t="s">
        <v>161</v>
      </c>
      <c r="M801" s="253"/>
    </row>
    <row r="802">
      <c r="F802" s="252" t="s">
        <v>161</v>
      </c>
      <c r="M802" s="253"/>
    </row>
    <row r="803">
      <c r="F803" s="252" t="s">
        <v>161</v>
      </c>
      <c r="M803" s="253"/>
    </row>
    <row r="804">
      <c r="F804" s="252" t="s">
        <v>161</v>
      </c>
      <c r="M804" s="253"/>
    </row>
    <row r="805">
      <c r="F805" s="252" t="s">
        <v>161</v>
      </c>
      <c r="M805" s="253"/>
    </row>
    <row r="806">
      <c r="F806" s="252" t="s">
        <v>161</v>
      </c>
      <c r="M806" s="253"/>
    </row>
    <row r="807">
      <c r="F807" s="252" t="s">
        <v>161</v>
      </c>
      <c r="M807" s="253"/>
    </row>
    <row r="808">
      <c r="F808" s="252" t="s">
        <v>161</v>
      </c>
      <c r="M808" s="253"/>
    </row>
    <row r="809">
      <c r="F809" s="252" t="s">
        <v>161</v>
      </c>
      <c r="M809" s="253"/>
    </row>
    <row r="810">
      <c r="F810" s="252" t="s">
        <v>161</v>
      </c>
      <c r="M810" s="253"/>
    </row>
    <row r="811">
      <c r="F811" s="252" t="s">
        <v>161</v>
      </c>
      <c r="M811" s="253"/>
    </row>
    <row r="812">
      <c r="F812" s="252" t="s">
        <v>161</v>
      </c>
      <c r="M812" s="253"/>
    </row>
    <row r="813">
      <c r="F813" s="252" t="s">
        <v>161</v>
      </c>
      <c r="M813" s="253"/>
    </row>
    <row r="814">
      <c r="F814" s="252" t="s">
        <v>161</v>
      </c>
      <c r="M814" s="253"/>
    </row>
    <row r="815">
      <c r="F815" s="252" t="s">
        <v>161</v>
      </c>
      <c r="M815" s="253"/>
    </row>
    <row r="816">
      <c r="F816" s="252" t="s">
        <v>161</v>
      </c>
      <c r="M816" s="253"/>
    </row>
    <row r="817">
      <c r="F817" s="252" t="s">
        <v>161</v>
      </c>
      <c r="M817" s="253"/>
    </row>
    <row r="818">
      <c r="F818" s="252" t="s">
        <v>161</v>
      </c>
      <c r="M818" s="253"/>
    </row>
    <row r="819">
      <c r="F819" s="252" t="s">
        <v>161</v>
      </c>
      <c r="M819" s="253"/>
    </row>
    <row r="820">
      <c r="F820" s="252" t="s">
        <v>161</v>
      </c>
      <c r="M820" s="253"/>
    </row>
    <row r="821">
      <c r="F821" s="252" t="s">
        <v>161</v>
      </c>
      <c r="M821" s="253"/>
    </row>
    <row r="822">
      <c r="F822" s="252" t="s">
        <v>161</v>
      </c>
      <c r="M822" s="253"/>
    </row>
    <row r="823">
      <c r="F823" s="252" t="s">
        <v>161</v>
      </c>
      <c r="M823" s="253"/>
    </row>
    <row r="824">
      <c r="F824" s="252" t="s">
        <v>161</v>
      </c>
      <c r="M824" s="253"/>
    </row>
    <row r="825">
      <c r="F825" s="252" t="s">
        <v>161</v>
      </c>
      <c r="M825" s="253"/>
    </row>
    <row r="826">
      <c r="F826" s="252" t="s">
        <v>161</v>
      </c>
      <c r="M826" s="253"/>
    </row>
    <row r="827">
      <c r="F827" s="252" t="s">
        <v>161</v>
      </c>
      <c r="M827" s="253"/>
    </row>
    <row r="828">
      <c r="F828" s="252" t="s">
        <v>161</v>
      </c>
      <c r="M828" s="253"/>
    </row>
    <row r="829">
      <c r="F829" s="252" t="s">
        <v>161</v>
      </c>
      <c r="M829" s="253"/>
    </row>
    <row r="830">
      <c r="F830" s="252" t="s">
        <v>161</v>
      </c>
      <c r="M830" s="253"/>
    </row>
    <row r="831">
      <c r="F831" s="252" t="s">
        <v>161</v>
      </c>
      <c r="M831" s="253"/>
    </row>
    <row r="832">
      <c r="F832" s="252" t="s">
        <v>161</v>
      </c>
      <c r="M832" s="253"/>
    </row>
    <row r="833">
      <c r="F833" s="252" t="s">
        <v>161</v>
      </c>
      <c r="M833" s="253"/>
    </row>
    <row r="834">
      <c r="F834" s="252" t="s">
        <v>161</v>
      </c>
      <c r="M834" s="253"/>
    </row>
    <row r="835">
      <c r="F835" s="252" t="s">
        <v>161</v>
      </c>
      <c r="M835" s="253"/>
    </row>
    <row r="836">
      <c r="F836" s="252" t="s">
        <v>161</v>
      </c>
      <c r="M836" s="253"/>
    </row>
    <row r="837">
      <c r="F837" s="252" t="s">
        <v>161</v>
      </c>
      <c r="M837" s="253"/>
    </row>
    <row r="838">
      <c r="F838" s="252" t="s">
        <v>161</v>
      </c>
      <c r="M838" s="253"/>
    </row>
    <row r="839">
      <c r="F839" s="252" t="s">
        <v>161</v>
      </c>
      <c r="M839" s="253"/>
    </row>
    <row r="840">
      <c r="F840" s="252" t="s">
        <v>161</v>
      </c>
      <c r="M840" s="253"/>
    </row>
    <row r="841">
      <c r="F841" s="252" t="s">
        <v>161</v>
      </c>
      <c r="M841" s="253"/>
    </row>
    <row r="842">
      <c r="F842" s="252" t="s">
        <v>161</v>
      </c>
      <c r="M842" s="253"/>
    </row>
    <row r="843">
      <c r="F843" s="252" t="s">
        <v>161</v>
      </c>
      <c r="M843" s="253"/>
    </row>
    <row r="844">
      <c r="F844" s="252" t="s">
        <v>161</v>
      </c>
      <c r="M844" s="253"/>
    </row>
    <row r="845">
      <c r="F845" s="252" t="s">
        <v>161</v>
      </c>
      <c r="M845" s="253"/>
    </row>
    <row r="846">
      <c r="F846" s="252" t="s">
        <v>161</v>
      </c>
      <c r="M846" s="253"/>
    </row>
    <row r="847">
      <c r="F847" s="252" t="s">
        <v>161</v>
      </c>
      <c r="M847" s="253"/>
    </row>
    <row r="848">
      <c r="F848" s="252" t="s">
        <v>161</v>
      </c>
      <c r="M848" s="253"/>
    </row>
    <row r="849">
      <c r="F849" s="252" t="s">
        <v>161</v>
      </c>
      <c r="M849" s="253"/>
    </row>
    <row r="850">
      <c r="F850" s="252" t="s">
        <v>161</v>
      </c>
      <c r="M850" s="253"/>
    </row>
    <row r="851">
      <c r="F851" s="252" t="s">
        <v>161</v>
      </c>
      <c r="M851" s="253"/>
    </row>
    <row r="852">
      <c r="F852" s="252" t="s">
        <v>161</v>
      </c>
      <c r="M852" s="253"/>
    </row>
    <row r="853">
      <c r="F853" s="252" t="s">
        <v>161</v>
      </c>
      <c r="M853" s="253"/>
    </row>
    <row r="854">
      <c r="F854" s="252" t="s">
        <v>161</v>
      </c>
      <c r="M854" s="253"/>
    </row>
    <row r="855">
      <c r="F855" s="252" t="s">
        <v>161</v>
      </c>
      <c r="M855" s="253"/>
    </row>
    <row r="856">
      <c r="F856" s="252" t="s">
        <v>161</v>
      </c>
      <c r="M856" s="253"/>
    </row>
    <row r="857">
      <c r="F857" s="252" t="s">
        <v>161</v>
      </c>
      <c r="M857" s="253"/>
    </row>
    <row r="858">
      <c r="F858" s="252" t="s">
        <v>161</v>
      </c>
      <c r="M858" s="253"/>
    </row>
    <row r="859">
      <c r="F859" s="252" t="s">
        <v>161</v>
      </c>
      <c r="M859" s="253"/>
    </row>
    <row r="860">
      <c r="F860" s="252" t="s">
        <v>161</v>
      </c>
      <c r="M860" s="253"/>
    </row>
    <row r="861">
      <c r="F861" s="252" t="s">
        <v>161</v>
      </c>
      <c r="M861" s="253"/>
    </row>
    <row r="862">
      <c r="F862" s="252" t="s">
        <v>161</v>
      </c>
      <c r="M862" s="253"/>
    </row>
    <row r="863">
      <c r="F863" s="252" t="s">
        <v>161</v>
      </c>
      <c r="M863" s="253"/>
    </row>
    <row r="864">
      <c r="F864" s="252" t="s">
        <v>161</v>
      </c>
      <c r="M864" s="253"/>
    </row>
    <row r="865">
      <c r="F865" s="252" t="s">
        <v>161</v>
      </c>
      <c r="M865" s="253"/>
    </row>
    <row r="866">
      <c r="F866" s="252" t="s">
        <v>161</v>
      </c>
      <c r="M866" s="253"/>
    </row>
    <row r="867">
      <c r="F867" s="252" t="s">
        <v>161</v>
      </c>
      <c r="M867" s="253"/>
    </row>
    <row r="868">
      <c r="F868" s="252" t="s">
        <v>161</v>
      </c>
      <c r="M868" s="253"/>
    </row>
    <row r="869">
      <c r="F869" s="252" t="s">
        <v>161</v>
      </c>
      <c r="M869" s="253"/>
    </row>
    <row r="870">
      <c r="F870" s="252" t="s">
        <v>161</v>
      </c>
      <c r="M870" s="253"/>
    </row>
    <row r="871">
      <c r="F871" s="252" t="s">
        <v>161</v>
      </c>
      <c r="M871" s="253"/>
    </row>
    <row r="872">
      <c r="F872" s="252" t="s">
        <v>161</v>
      </c>
      <c r="M872" s="253"/>
    </row>
    <row r="873">
      <c r="F873" s="252" t="s">
        <v>161</v>
      </c>
      <c r="M873" s="253"/>
    </row>
    <row r="874">
      <c r="F874" s="252" t="s">
        <v>161</v>
      </c>
      <c r="M874" s="253"/>
    </row>
    <row r="875">
      <c r="F875" s="252" t="s">
        <v>161</v>
      </c>
      <c r="M875" s="253"/>
    </row>
    <row r="876">
      <c r="F876" s="252" t="s">
        <v>161</v>
      </c>
      <c r="M876" s="253"/>
    </row>
    <row r="877">
      <c r="F877" s="252" t="s">
        <v>161</v>
      </c>
      <c r="M877" s="253"/>
    </row>
    <row r="878">
      <c r="F878" s="252" t="s">
        <v>161</v>
      </c>
      <c r="M878" s="253"/>
    </row>
    <row r="879">
      <c r="F879" s="252" t="s">
        <v>161</v>
      </c>
      <c r="M879" s="253"/>
    </row>
    <row r="880">
      <c r="F880" s="252" t="s">
        <v>161</v>
      </c>
      <c r="M880" s="253"/>
    </row>
    <row r="881">
      <c r="F881" s="252" t="s">
        <v>161</v>
      </c>
      <c r="M881" s="253"/>
    </row>
    <row r="882">
      <c r="F882" s="252" t="s">
        <v>161</v>
      </c>
      <c r="M882" s="253"/>
    </row>
    <row r="883">
      <c r="F883" s="252" t="s">
        <v>161</v>
      </c>
      <c r="M883" s="253"/>
    </row>
    <row r="884">
      <c r="F884" s="252" t="s">
        <v>161</v>
      </c>
      <c r="M884" s="253"/>
    </row>
    <row r="885">
      <c r="F885" s="252" t="s">
        <v>161</v>
      </c>
      <c r="M885" s="253"/>
    </row>
    <row r="886">
      <c r="F886" s="252" t="s">
        <v>161</v>
      </c>
      <c r="M886" s="253"/>
    </row>
    <row r="887">
      <c r="F887" s="252" t="s">
        <v>161</v>
      </c>
      <c r="M887" s="253"/>
    </row>
    <row r="888">
      <c r="F888" s="252" t="s">
        <v>161</v>
      </c>
      <c r="M888" s="253"/>
    </row>
    <row r="889">
      <c r="F889" s="252" t="s">
        <v>161</v>
      </c>
      <c r="M889" s="253"/>
    </row>
    <row r="890">
      <c r="F890" s="252" t="s">
        <v>161</v>
      </c>
      <c r="M890" s="253"/>
    </row>
    <row r="891">
      <c r="F891" s="252" t="s">
        <v>161</v>
      </c>
      <c r="M891" s="253"/>
    </row>
    <row r="892">
      <c r="F892" s="252" t="s">
        <v>161</v>
      </c>
      <c r="M892" s="253"/>
    </row>
    <row r="893">
      <c r="F893" s="252" t="s">
        <v>161</v>
      </c>
      <c r="M893" s="253"/>
    </row>
    <row r="894">
      <c r="F894" s="252" t="s">
        <v>161</v>
      </c>
      <c r="M894" s="253"/>
    </row>
    <row r="895">
      <c r="F895" s="252" t="s">
        <v>161</v>
      </c>
      <c r="M895" s="253"/>
    </row>
    <row r="896">
      <c r="F896" s="252" t="s">
        <v>161</v>
      </c>
      <c r="M896" s="253"/>
    </row>
    <row r="897">
      <c r="F897" s="252" t="s">
        <v>161</v>
      </c>
      <c r="M897" s="253"/>
    </row>
    <row r="898">
      <c r="F898" s="252" t="s">
        <v>161</v>
      </c>
      <c r="M898" s="253"/>
    </row>
    <row r="899">
      <c r="F899" s="252" t="s">
        <v>161</v>
      </c>
      <c r="M899" s="253"/>
    </row>
    <row r="900">
      <c r="F900" s="252" t="s">
        <v>161</v>
      </c>
      <c r="M900" s="253"/>
    </row>
    <row r="901">
      <c r="F901" s="252" t="s">
        <v>161</v>
      </c>
      <c r="M901" s="253"/>
    </row>
    <row r="902">
      <c r="F902" s="252" t="s">
        <v>161</v>
      </c>
      <c r="M902" s="253"/>
    </row>
    <row r="903">
      <c r="F903" s="252" t="s">
        <v>161</v>
      </c>
      <c r="M903" s="253"/>
    </row>
    <row r="904">
      <c r="F904" s="252" t="s">
        <v>161</v>
      </c>
      <c r="M904" s="253"/>
    </row>
    <row r="905">
      <c r="F905" s="252" t="s">
        <v>161</v>
      </c>
      <c r="M905" s="253"/>
    </row>
    <row r="906">
      <c r="F906" s="252" t="s">
        <v>161</v>
      </c>
      <c r="M906" s="253"/>
    </row>
    <row r="907">
      <c r="F907" s="252" t="s">
        <v>161</v>
      </c>
      <c r="M907" s="253"/>
    </row>
    <row r="908">
      <c r="F908" s="252" t="s">
        <v>161</v>
      </c>
      <c r="M908" s="253"/>
    </row>
    <row r="909">
      <c r="F909" s="252" t="s">
        <v>161</v>
      </c>
      <c r="M909" s="253"/>
    </row>
    <row r="910">
      <c r="F910" s="252" t="s">
        <v>161</v>
      </c>
      <c r="M910" s="253"/>
    </row>
    <row r="911">
      <c r="F911" s="252" t="s">
        <v>161</v>
      </c>
      <c r="M911" s="253"/>
    </row>
    <row r="912">
      <c r="F912" s="252" t="s">
        <v>161</v>
      </c>
      <c r="M912" s="253"/>
    </row>
    <row r="913">
      <c r="F913" s="252" t="s">
        <v>161</v>
      </c>
      <c r="M913" s="253"/>
    </row>
    <row r="914">
      <c r="F914" s="252" t="s">
        <v>161</v>
      </c>
      <c r="M914" s="253"/>
    </row>
    <row r="915">
      <c r="F915" s="252" t="s">
        <v>161</v>
      </c>
      <c r="M915" s="253"/>
    </row>
    <row r="916">
      <c r="F916" s="252" t="s">
        <v>161</v>
      </c>
      <c r="M916" s="253"/>
    </row>
    <row r="917">
      <c r="F917" s="252" t="s">
        <v>161</v>
      </c>
      <c r="M917" s="253"/>
    </row>
    <row r="918">
      <c r="F918" s="252" t="s">
        <v>161</v>
      </c>
      <c r="M918" s="253"/>
    </row>
    <row r="919">
      <c r="F919" s="252" t="s">
        <v>161</v>
      </c>
      <c r="M919" s="253"/>
    </row>
    <row r="920">
      <c r="F920" s="252" t="s">
        <v>161</v>
      </c>
      <c r="M920" s="253"/>
    </row>
    <row r="921">
      <c r="F921" s="252" t="s">
        <v>161</v>
      </c>
      <c r="M921" s="253"/>
    </row>
    <row r="922">
      <c r="F922" s="252" t="s">
        <v>161</v>
      </c>
      <c r="M922" s="253"/>
    </row>
    <row r="923">
      <c r="F923" s="252" t="s">
        <v>161</v>
      </c>
      <c r="M923" s="253"/>
    </row>
    <row r="924">
      <c r="F924" s="252" t="s">
        <v>161</v>
      </c>
      <c r="M924" s="253"/>
    </row>
    <row r="925">
      <c r="F925" s="252" t="s">
        <v>161</v>
      </c>
      <c r="M925" s="253"/>
    </row>
    <row r="926">
      <c r="F926" s="252" t="s">
        <v>161</v>
      </c>
      <c r="M926" s="253"/>
    </row>
    <row r="927">
      <c r="F927" s="252" t="s">
        <v>161</v>
      </c>
      <c r="M927" s="253"/>
    </row>
    <row r="928">
      <c r="F928" s="252" t="s">
        <v>161</v>
      </c>
      <c r="M928" s="253"/>
    </row>
    <row r="929">
      <c r="F929" s="252" t="s">
        <v>161</v>
      </c>
      <c r="M929" s="253"/>
    </row>
    <row r="930">
      <c r="F930" s="252" t="s">
        <v>161</v>
      </c>
      <c r="M930" s="253"/>
    </row>
    <row r="931">
      <c r="F931" s="252" t="s">
        <v>161</v>
      </c>
      <c r="M931" s="253"/>
    </row>
    <row r="932">
      <c r="F932" s="252" t="s">
        <v>161</v>
      </c>
      <c r="M932" s="253"/>
    </row>
    <row r="933">
      <c r="F933" s="252" t="s">
        <v>161</v>
      </c>
      <c r="M933" s="253"/>
    </row>
    <row r="934">
      <c r="F934" s="252" t="s">
        <v>161</v>
      </c>
      <c r="M934" s="253"/>
    </row>
    <row r="935">
      <c r="F935" s="252" t="s">
        <v>161</v>
      </c>
      <c r="M935" s="253"/>
    </row>
    <row r="936">
      <c r="F936" s="252" t="s">
        <v>161</v>
      </c>
      <c r="M936" s="253"/>
    </row>
    <row r="937">
      <c r="F937" s="252" t="s">
        <v>161</v>
      </c>
      <c r="M937" s="253"/>
    </row>
    <row r="938">
      <c r="F938" s="252" t="s">
        <v>161</v>
      </c>
      <c r="M938" s="253"/>
    </row>
    <row r="939">
      <c r="F939" s="252" t="s">
        <v>161</v>
      </c>
      <c r="M939" s="253"/>
    </row>
    <row r="940">
      <c r="F940" s="252" t="s">
        <v>161</v>
      </c>
      <c r="M940" s="253"/>
    </row>
    <row r="941">
      <c r="F941" s="252" t="s">
        <v>161</v>
      </c>
      <c r="M941" s="253"/>
    </row>
    <row r="942">
      <c r="F942" s="252" t="s">
        <v>161</v>
      </c>
      <c r="M942" s="253"/>
    </row>
    <row r="943">
      <c r="F943" s="252" t="s">
        <v>161</v>
      </c>
      <c r="M943" s="253"/>
    </row>
    <row r="944">
      <c r="F944" s="252" t="s">
        <v>161</v>
      </c>
      <c r="M944" s="253"/>
    </row>
    <row r="945">
      <c r="F945" s="252" t="s">
        <v>161</v>
      </c>
      <c r="M945" s="253"/>
    </row>
    <row r="946">
      <c r="F946" s="252" t="s">
        <v>161</v>
      </c>
      <c r="M946" s="253"/>
    </row>
    <row r="947">
      <c r="F947" s="252" t="s">
        <v>161</v>
      </c>
      <c r="M947" s="253"/>
    </row>
    <row r="948">
      <c r="F948" s="252" t="s">
        <v>161</v>
      </c>
      <c r="M948" s="253"/>
    </row>
    <row r="949">
      <c r="F949" s="252" t="s">
        <v>161</v>
      </c>
      <c r="M949" s="253"/>
    </row>
    <row r="950">
      <c r="F950" s="252" t="s">
        <v>161</v>
      </c>
      <c r="M950" s="253"/>
    </row>
    <row r="951">
      <c r="F951" s="252" t="s">
        <v>161</v>
      </c>
      <c r="M951" s="253"/>
    </row>
    <row r="952">
      <c r="F952" s="252" t="s">
        <v>161</v>
      </c>
      <c r="M952" s="253"/>
    </row>
    <row r="953">
      <c r="F953" s="252" t="s">
        <v>161</v>
      </c>
      <c r="M953" s="253"/>
    </row>
    <row r="954">
      <c r="F954" s="252" t="s">
        <v>161</v>
      </c>
      <c r="M954" s="253"/>
    </row>
    <row r="955">
      <c r="F955" s="252" t="s">
        <v>161</v>
      </c>
      <c r="M955" s="253"/>
    </row>
    <row r="956">
      <c r="F956" s="252" t="s">
        <v>161</v>
      </c>
      <c r="M956" s="253"/>
    </row>
    <row r="957">
      <c r="F957" s="252" t="s">
        <v>161</v>
      </c>
      <c r="M957" s="253"/>
    </row>
    <row r="958">
      <c r="F958" s="252" t="s">
        <v>161</v>
      </c>
      <c r="M958" s="253"/>
    </row>
    <row r="959">
      <c r="F959" s="252" t="s">
        <v>161</v>
      </c>
      <c r="M959" s="253"/>
    </row>
    <row r="960">
      <c r="F960" s="252" t="s">
        <v>161</v>
      </c>
      <c r="M960" s="253"/>
    </row>
    <row r="961">
      <c r="F961" s="252" t="s">
        <v>161</v>
      </c>
      <c r="M961" s="253"/>
    </row>
    <row r="962">
      <c r="F962" s="252" t="s">
        <v>161</v>
      </c>
      <c r="M962" s="253"/>
    </row>
    <row r="963">
      <c r="F963" s="252" t="s">
        <v>161</v>
      </c>
      <c r="M963" s="253"/>
    </row>
    <row r="964">
      <c r="F964" s="252" t="s">
        <v>161</v>
      </c>
      <c r="M964" s="253"/>
    </row>
    <row r="965">
      <c r="F965" s="252" t="s">
        <v>161</v>
      </c>
      <c r="M965" s="253"/>
    </row>
    <row r="966">
      <c r="F966" s="252" t="s">
        <v>161</v>
      </c>
      <c r="M966" s="253"/>
    </row>
    <row r="967">
      <c r="F967" s="252" t="s">
        <v>161</v>
      </c>
      <c r="M967" s="253"/>
    </row>
    <row r="968">
      <c r="F968" s="252" t="s">
        <v>161</v>
      </c>
      <c r="M968" s="253"/>
    </row>
    <row r="969">
      <c r="F969" s="252" t="s">
        <v>161</v>
      </c>
      <c r="M969" s="253"/>
    </row>
    <row r="970">
      <c r="F970" s="252" t="s">
        <v>161</v>
      </c>
      <c r="M970" s="253"/>
    </row>
    <row r="971">
      <c r="F971" s="252" t="s">
        <v>161</v>
      </c>
      <c r="M971" s="253"/>
    </row>
    <row r="972">
      <c r="F972" s="252" t="s">
        <v>161</v>
      </c>
      <c r="M972" s="253"/>
    </row>
    <row r="973">
      <c r="F973" s="252" t="s">
        <v>161</v>
      </c>
      <c r="M973" s="253"/>
    </row>
    <row r="974">
      <c r="F974" s="252" t="s">
        <v>161</v>
      </c>
      <c r="M974" s="253"/>
    </row>
    <row r="975">
      <c r="F975" s="252" t="s">
        <v>161</v>
      </c>
      <c r="M975" s="253"/>
    </row>
    <row r="976">
      <c r="F976" s="252" t="s">
        <v>161</v>
      </c>
      <c r="M976" s="253"/>
    </row>
    <row r="977">
      <c r="F977" s="252" t="s">
        <v>161</v>
      </c>
      <c r="M977" s="253"/>
    </row>
    <row r="978">
      <c r="F978" s="252" t="s">
        <v>161</v>
      </c>
      <c r="M978" s="253"/>
    </row>
    <row r="979">
      <c r="F979" s="252" t="s">
        <v>161</v>
      </c>
      <c r="M979" s="253"/>
    </row>
    <row r="980">
      <c r="F980" s="252" t="s">
        <v>161</v>
      </c>
      <c r="M980" s="253"/>
    </row>
    <row r="981">
      <c r="F981" s="252" t="s">
        <v>161</v>
      </c>
      <c r="M981" s="253"/>
    </row>
    <row r="982">
      <c r="F982" s="252" t="s">
        <v>161</v>
      </c>
      <c r="M982" s="253"/>
    </row>
    <row r="983">
      <c r="F983" s="252" t="s">
        <v>161</v>
      </c>
      <c r="M983" s="253"/>
    </row>
    <row r="984">
      <c r="F984" s="252" t="s">
        <v>161</v>
      </c>
      <c r="M984" s="253"/>
    </row>
    <row r="985">
      <c r="F985" s="252" t="s">
        <v>161</v>
      </c>
      <c r="M985" s="253"/>
    </row>
    <row r="986">
      <c r="F986" s="252" t="s">
        <v>161</v>
      </c>
      <c r="M986" s="253"/>
    </row>
    <row r="987">
      <c r="F987" s="252" t="s">
        <v>161</v>
      </c>
      <c r="M987" s="253"/>
    </row>
    <row r="988">
      <c r="F988" s="252" t="s">
        <v>161</v>
      </c>
      <c r="M988" s="253"/>
    </row>
    <row r="989">
      <c r="F989" s="252" t="s">
        <v>161</v>
      </c>
      <c r="M989" s="253"/>
    </row>
    <row r="990">
      <c r="F990" s="252" t="s">
        <v>161</v>
      </c>
      <c r="M990" s="253"/>
    </row>
    <row r="991">
      <c r="F991" s="252" t="s">
        <v>161</v>
      </c>
      <c r="M991" s="253"/>
    </row>
    <row r="992">
      <c r="F992" s="252" t="s">
        <v>161</v>
      </c>
      <c r="M992" s="253"/>
    </row>
    <row r="993">
      <c r="F993" s="252" t="s">
        <v>161</v>
      </c>
      <c r="M993" s="253"/>
    </row>
    <row r="994">
      <c r="F994" s="252" t="s">
        <v>161</v>
      </c>
      <c r="M994" s="253"/>
    </row>
    <row r="995">
      <c r="F995" s="252" t="s">
        <v>161</v>
      </c>
      <c r="M995" s="253"/>
    </row>
    <row r="996">
      <c r="F996" s="252" t="s">
        <v>161</v>
      </c>
      <c r="M996" s="253"/>
    </row>
    <row r="997">
      <c r="F997" s="252" t="s">
        <v>161</v>
      </c>
      <c r="M997" s="253"/>
    </row>
    <row r="998">
      <c r="F998" s="252" t="s">
        <v>161</v>
      </c>
      <c r="M998" s="253"/>
    </row>
    <row r="999">
      <c r="F999" s="252" t="s">
        <v>161</v>
      </c>
      <c r="M999" s="253"/>
    </row>
    <row r="1000">
      <c r="F1000" s="252" t="s">
        <v>161</v>
      </c>
      <c r="M1000" s="253"/>
    </row>
    <row r="1001">
      <c r="F1001" s="252" t="s">
        <v>161</v>
      </c>
      <c r="M1001" s="253"/>
    </row>
    <row r="1002">
      <c r="M1002" s="253"/>
    </row>
    <row r="1003">
      <c r="M1003" s="253"/>
    </row>
    <row r="1004">
      <c r="M1004" s="253"/>
    </row>
    <row r="1005">
      <c r="M1005" s="253"/>
    </row>
  </sheetData>
  <autoFilter ref="$A$2:$AV$57"/>
  <mergeCells count="4">
    <mergeCell ref="J1:M1"/>
    <mergeCell ref="N1:Q1"/>
    <mergeCell ref="R1:U1"/>
    <mergeCell ref="V1:Y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7.25"/>
    <col customWidth="1" min="2" max="2" width="17.63"/>
    <col customWidth="1" min="3" max="3" width="11.0"/>
    <col customWidth="1" min="4" max="4" width="15.63"/>
    <col customWidth="1" min="5" max="5" width="17.63"/>
    <col customWidth="1" min="6" max="6" width="8.38"/>
    <col customWidth="1" min="8" max="8" width="10.38"/>
    <col customWidth="1" min="9" max="9" width="12.5"/>
  </cols>
  <sheetData>
    <row r="1">
      <c r="A1" s="255">
        <v>52.0</v>
      </c>
      <c r="B1" s="256"/>
      <c r="C1" s="257"/>
      <c r="D1" s="257"/>
      <c r="E1" s="257"/>
      <c r="F1" s="257"/>
      <c r="G1" s="257"/>
      <c r="H1" s="257"/>
      <c r="I1" s="258"/>
      <c r="J1" s="258"/>
      <c r="K1" s="259">
        <v>160.0</v>
      </c>
      <c r="L1" s="260" t="s">
        <v>0</v>
      </c>
      <c r="P1" s="261" t="s">
        <v>168</v>
      </c>
      <c r="Q1" s="262"/>
      <c r="R1" s="262"/>
      <c r="S1" s="262"/>
      <c r="T1" s="263" t="s">
        <v>1</v>
      </c>
      <c r="U1" s="262"/>
      <c r="V1" s="262"/>
      <c r="W1" s="262"/>
    </row>
    <row r="2">
      <c r="A2" s="264" t="s">
        <v>4</v>
      </c>
      <c r="B2" s="264" t="s">
        <v>169</v>
      </c>
      <c r="C2" s="264" t="s">
        <v>170</v>
      </c>
      <c r="D2" s="265" t="s">
        <v>6</v>
      </c>
      <c r="E2" s="266" t="s">
        <v>7</v>
      </c>
      <c r="F2" s="266" t="s">
        <v>8</v>
      </c>
      <c r="G2" s="265" t="s">
        <v>171</v>
      </c>
      <c r="H2" s="267" t="s">
        <v>9</v>
      </c>
      <c r="I2" s="264" t="s">
        <v>172</v>
      </c>
      <c r="J2" s="264" t="s">
        <v>173</v>
      </c>
      <c r="K2" s="264" t="s">
        <v>11</v>
      </c>
      <c r="L2" s="268" t="s">
        <v>174</v>
      </c>
      <c r="M2" s="269" t="s">
        <v>14</v>
      </c>
      <c r="N2" s="269" t="s">
        <v>15</v>
      </c>
      <c r="O2" s="270" t="s">
        <v>16</v>
      </c>
      <c r="P2" s="271" t="s">
        <v>174</v>
      </c>
      <c r="Q2" s="272" t="s">
        <v>14</v>
      </c>
      <c r="R2" s="272" t="s">
        <v>175</v>
      </c>
      <c r="S2" s="273"/>
      <c r="T2" s="274" t="s">
        <v>174</v>
      </c>
      <c r="U2" s="275" t="s">
        <v>14</v>
      </c>
      <c r="V2" s="275" t="s">
        <v>15</v>
      </c>
      <c r="W2" s="273"/>
      <c r="Y2" s="25" t="s">
        <v>18</v>
      </c>
    </row>
    <row r="3">
      <c r="A3" s="276" t="s">
        <v>176</v>
      </c>
      <c r="B3" s="276" t="s">
        <v>177</v>
      </c>
      <c r="C3" s="276" t="s">
        <v>178</v>
      </c>
      <c r="D3" s="277" t="s">
        <v>179</v>
      </c>
      <c r="E3" s="278" t="s">
        <v>37</v>
      </c>
      <c r="F3" s="278" t="s">
        <v>96</v>
      </c>
      <c r="G3" s="279" t="s">
        <v>180</v>
      </c>
      <c r="H3" s="280">
        <f t="array" ref="H3:H1000">IF(A3:A1000="", "", 
  IF(F3:F1000="KM", 
    IFERROR(VLOOKUP(A3:A1000, DATA_LIMPIA!A:C, 3, FALSE), 0), 
    IFERROR(VLOOKUP(A3:A1000, DATA_LIMPIA!A:C, 2, FALSE), 0)
  )
)</f>
        <v>1807</v>
      </c>
      <c r="I3" s="281">
        <v>46295.0</v>
      </c>
      <c r="J3" s="281">
        <v>46123.0</v>
      </c>
      <c r="K3" s="281">
        <v>46295.0</v>
      </c>
      <c r="L3" s="282">
        <v>46043.0</v>
      </c>
      <c r="M3" s="283">
        <v>1614.0</v>
      </c>
      <c r="N3" s="284">
        <f>M3+350</f>
        <v>1964</v>
      </c>
      <c r="O3" s="285">
        <f>+N3-H3</f>
        <v>157</v>
      </c>
      <c r="P3" s="286">
        <v>46007.0</v>
      </c>
      <c r="Q3" s="287">
        <v>1553.0</v>
      </c>
      <c r="R3" s="288">
        <f>Q3+2000</f>
        <v>3553</v>
      </c>
      <c r="S3" s="289">
        <f t="shared" ref="S3:S7" si="1">R3-H3</f>
        <v>1746</v>
      </c>
      <c r="T3" s="290">
        <v>46007.0</v>
      </c>
      <c r="U3" s="291">
        <v>1553.0</v>
      </c>
      <c r="V3" s="292">
        <f>U3+2000</f>
        <v>3553</v>
      </c>
      <c r="W3" s="293">
        <f>V3-H3</f>
        <v>1746</v>
      </c>
    </row>
    <row r="4" hidden="1">
      <c r="A4" s="294" t="s">
        <v>181</v>
      </c>
      <c r="B4" s="294" t="s">
        <v>182</v>
      </c>
      <c r="C4" s="294" t="s">
        <v>183</v>
      </c>
      <c r="D4" s="295" t="s">
        <v>48</v>
      </c>
      <c r="E4" s="296" t="s">
        <v>22</v>
      </c>
      <c r="F4" s="294"/>
      <c r="G4" s="294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7">
        <f t="shared" si="1"/>
        <v>0</v>
      </c>
      <c r="T4" s="295"/>
      <c r="U4" s="295"/>
      <c r="V4" s="295"/>
      <c r="W4" s="295"/>
    </row>
    <row r="5">
      <c r="A5" s="276" t="s">
        <v>184</v>
      </c>
      <c r="B5" s="276" t="s">
        <v>182</v>
      </c>
      <c r="C5" s="276" t="s">
        <v>185</v>
      </c>
      <c r="D5" s="277" t="s">
        <v>186</v>
      </c>
      <c r="E5" s="279" t="s">
        <v>37</v>
      </c>
      <c r="F5" s="279" t="s">
        <v>96</v>
      </c>
      <c r="G5" s="276"/>
      <c r="H5" s="280">
        <v>112.0</v>
      </c>
      <c r="I5" s="298">
        <v>46295.0</v>
      </c>
      <c r="J5" s="281">
        <v>46271.0</v>
      </c>
      <c r="K5" s="281">
        <v>46295.0</v>
      </c>
      <c r="L5" s="282">
        <v>46043.0</v>
      </c>
      <c r="M5" s="283">
        <v>0.0</v>
      </c>
      <c r="N5" s="284">
        <f t="shared" ref="N5:N6" si="2">M5+350</f>
        <v>350</v>
      </c>
      <c r="O5" s="299">
        <f t="shared" ref="O5:O23" si="3">+N5-H5</f>
        <v>238</v>
      </c>
      <c r="P5" s="300">
        <v>46043.0</v>
      </c>
      <c r="Q5" s="301">
        <v>0.0</v>
      </c>
      <c r="R5" s="302">
        <f>Q5+2000</f>
        <v>2000</v>
      </c>
      <c r="S5" s="289">
        <f t="shared" si="1"/>
        <v>1888</v>
      </c>
      <c r="T5" s="303">
        <v>46043.0</v>
      </c>
      <c r="U5" s="304">
        <v>0.0</v>
      </c>
      <c r="V5" s="305">
        <f>U5+2000</f>
        <v>2000</v>
      </c>
      <c r="W5" s="289">
        <f t="shared" ref="W5:W7" si="4">V5-H5</f>
        <v>1888</v>
      </c>
      <c r="AW5" s="306"/>
    </row>
    <row r="6">
      <c r="A6" s="279" t="s">
        <v>187</v>
      </c>
      <c r="B6" s="307" t="s">
        <v>136</v>
      </c>
      <c r="C6" s="307" t="s">
        <v>188</v>
      </c>
      <c r="D6" s="307" t="s">
        <v>136</v>
      </c>
      <c r="E6" s="307"/>
      <c r="F6" s="307"/>
      <c r="G6" s="307" t="s">
        <v>189</v>
      </c>
      <c r="H6" s="308">
        <v>5173.0</v>
      </c>
      <c r="I6" s="281">
        <v>46295.0</v>
      </c>
      <c r="J6" s="281">
        <v>46126.0</v>
      </c>
      <c r="K6" s="281">
        <v>46295.0</v>
      </c>
      <c r="L6" s="309"/>
      <c r="M6" s="283">
        <v>4823.0</v>
      </c>
      <c r="N6" s="284">
        <f t="shared" si="2"/>
        <v>5173</v>
      </c>
      <c r="O6" s="299">
        <f t="shared" si="3"/>
        <v>0</v>
      </c>
      <c r="P6" s="310"/>
      <c r="Q6" s="288"/>
      <c r="R6" s="302"/>
      <c r="S6" s="289">
        <f t="shared" si="1"/>
        <v>-5173</v>
      </c>
      <c r="T6" s="311"/>
      <c r="U6" s="292"/>
      <c r="V6" s="305"/>
      <c r="W6" s="312">
        <f t="shared" si="4"/>
        <v>-5173</v>
      </c>
    </row>
    <row r="7">
      <c r="A7" s="276" t="s">
        <v>190</v>
      </c>
      <c r="B7" s="276" t="s">
        <v>191</v>
      </c>
      <c r="C7" s="277" t="s">
        <v>192</v>
      </c>
      <c r="D7" s="277" t="s">
        <v>193</v>
      </c>
      <c r="E7" s="307" t="s">
        <v>37</v>
      </c>
      <c r="F7" s="307" t="s">
        <v>28</v>
      </c>
      <c r="G7" s="277">
        <v>7600.0</v>
      </c>
      <c r="H7" s="308">
        <v>372672.0</v>
      </c>
      <c r="I7" s="281">
        <v>46295.0</v>
      </c>
      <c r="J7" s="281">
        <v>46104.0</v>
      </c>
      <c r="K7" s="281">
        <v>46295.0</v>
      </c>
      <c r="L7" s="309">
        <v>45580.0</v>
      </c>
      <c r="M7" s="284">
        <v>366134.0</v>
      </c>
      <c r="N7" s="284">
        <f t="shared" ref="N7:N12" si="5">M7+10000</f>
        <v>376134</v>
      </c>
      <c r="O7" s="299">
        <f t="shared" si="3"/>
        <v>3462</v>
      </c>
      <c r="P7" s="310">
        <v>44835.0</v>
      </c>
      <c r="Q7" s="288">
        <v>352950.0</v>
      </c>
      <c r="R7" s="288">
        <f>Q7+40000</f>
        <v>392950</v>
      </c>
      <c r="S7" s="289">
        <f t="shared" si="1"/>
        <v>20278</v>
      </c>
      <c r="T7" s="311">
        <v>44835.0</v>
      </c>
      <c r="U7" s="292">
        <v>355390.0</v>
      </c>
      <c r="V7" s="292">
        <f>U7+40000</f>
        <v>395390</v>
      </c>
      <c r="W7" s="293">
        <f t="shared" si="4"/>
        <v>22718</v>
      </c>
    </row>
    <row r="8" hidden="1">
      <c r="A8" s="294" t="s">
        <v>194</v>
      </c>
      <c r="B8" s="294" t="s">
        <v>195</v>
      </c>
      <c r="C8" s="294" t="s">
        <v>196</v>
      </c>
      <c r="D8" s="295" t="s">
        <v>93</v>
      </c>
      <c r="E8" s="313" t="s">
        <v>22</v>
      </c>
      <c r="F8" s="295"/>
      <c r="G8" s="295" t="s">
        <v>197</v>
      </c>
      <c r="H8" s="314"/>
      <c r="I8" s="294"/>
      <c r="J8" s="294"/>
      <c r="K8" s="294"/>
      <c r="L8" s="315">
        <v>44832.0</v>
      </c>
      <c r="M8" s="314">
        <v>318000.0</v>
      </c>
      <c r="N8" s="314">
        <f t="shared" si="5"/>
        <v>328000</v>
      </c>
      <c r="O8" s="316">
        <f t="shared" si="3"/>
        <v>328000</v>
      </c>
      <c r="P8" s="317"/>
      <c r="Q8" s="314">
        <v>273324.0</v>
      </c>
      <c r="R8" s="314">
        <f>Q8+2000</f>
        <v>275324</v>
      </c>
      <c r="S8" s="318">
        <v>0.0</v>
      </c>
      <c r="T8" s="314">
        <f t="shared" ref="T8:W8" si="6">S8+2000</f>
        <v>2000</v>
      </c>
      <c r="U8" s="314">
        <f t="shared" si="6"/>
        <v>4000</v>
      </c>
      <c r="V8" s="314">
        <f t="shared" si="6"/>
        <v>6000</v>
      </c>
      <c r="W8" s="314">
        <f t="shared" si="6"/>
        <v>8000</v>
      </c>
    </row>
    <row r="9">
      <c r="A9" s="276" t="s">
        <v>198</v>
      </c>
      <c r="B9" s="276" t="s">
        <v>199</v>
      </c>
      <c r="C9" s="276" t="s">
        <v>200</v>
      </c>
      <c r="D9" s="319" t="s">
        <v>201</v>
      </c>
      <c r="E9" s="307" t="s">
        <v>37</v>
      </c>
      <c r="F9" s="320" t="s">
        <v>28</v>
      </c>
      <c r="G9" s="319" t="s">
        <v>202</v>
      </c>
      <c r="H9" s="280">
        <v>317475.0</v>
      </c>
      <c r="I9" s="281">
        <v>46295.0</v>
      </c>
      <c r="J9" s="281">
        <v>46225.0</v>
      </c>
      <c r="K9" s="281">
        <v>46295.0</v>
      </c>
      <c r="L9" s="282">
        <v>45973.0</v>
      </c>
      <c r="M9" s="283">
        <v>309365.0</v>
      </c>
      <c r="N9" s="284">
        <f t="shared" si="5"/>
        <v>319365</v>
      </c>
      <c r="O9" s="299">
        <f t="shared" si="3"/>
        <v>1890</v>
      </c>
      <c r="P9" s="310">
        <v>45174.0</v>
      </c>
      <c r="Q9" s="288">
        <v>285397.0</v>
      </c>
      <c r="R9" s="288">
        <f t="shared" ref="R9:R12" si="7">Q9+40000</f>
        <v>325397</v>
      </c>
      <c r="S9" s="289">
        <f t="shared" ref="S9:S16" si="8">R9-H9</f>
        <v>7922</v>
      </c>
      <c r="T9" s="311">
        <v>45174.0</v>
      </c>
      <c r="U9" s="292">
        <v>285397.0</v>
      </c>
      <c r="V9" s="292">
        <f t="shared" ref="V9:V12" si="9">U9+40000</f>
        <v>325397</v>
      </c>
      <c r="W9" s="289">
        <f t="shared" ref="W9:W16" si="10">V9-H9</f>
        <v>7922</v>
      </c>
    </row>
    <row r="10">
      <c r="A10" s="276" t="s">
        <v>203</v>
      </c>
      <c r="B10" s="276" t="s">
        <v>195</v>
      </c>
      <c r="C10" s="276" t="s">
        <v>204</v>
      </c>
      <c r="D10" s="277" t="s">
        <v>201</v>
      </c>
      <c r="E10" s="320" t="s">
        <v>37</v>
      </c>
      <c r="F10" s="320" t="s">
        <v>28</v>
      </c>
      <c r="G10" s="277" t="s">
        <v>205</v>
      </c>
      <c r="H10" s="308">
        <v>216887.0</v>
      </c>
      <c r="I10" s="281">
        <v>46295.0</v>
      </c>
      <c r="J10" s="321">
        <v>46106.0</v>
      </c>
      <c r="K10" s="321">
        <v>46295.0</v>
      </c>
      <c r="L10" s="322">
        <v>45994.0</v>
      </c>
      <c r="M10" s="283">
        <v>211902.0</v>
      </c>
      <c r="N10" s="284">
        <f t="shared" si="5"/>
        <v>221902</v>
      </c>
      <c r="O10" s="299">
        <f t="shared" si="3"/>
        <v>5015</v>
      </c>
      <c r="P10" s="323"/>
      <c r="Q10" s="288">
        <v>191817.0</v>
      </c>
      <c r="R10" s="288">
        <f t="shared" si="7"/>
        <v>231817</v>
      </c>
      <c r="S10" s="289">
        <f t="shared" si="8"/>
        <v>14930</v>
      </c>
      <c r="T10" s="324"/>
      <c r="U10" s="292">
        <v>191817.0</v>
      </c>
      <c r="V10" s="292">
        <f t="shared" si="9"/>
        <v>231817</v>
      </c>
      <c r="W10" s="289">
        <f t="shared" si="10"/>
        <v>14930</v>
      </c>
    </row>
    <row r="11">
      <c r="A11" s="276" t="s">
        <v>206</v>
      </c>
      <c r="B11" s="325" t="s">
        <v>199</v>
      </c>
      <c r="C11" s="276" t="s">
        <v>207</v>
      </c>
      <c r="D11" s="319" t="s">
        <v>48</v>
      </c>
      <c r="E11" s="320" t="s">
        <v>37</v>
      </c>
      <c r="F11" s="320" t="s">
        <v>28</v>
      </c>
      <c r="G11" s="319" t="s">
        <v>208</v>
      </c>
      <c r="H11" s="308">
        <v>284014.0</v>
      </c>
      <c r="I11" s="281">
        <v>46295.0</v>
      </c>
      <c r="J11" s="281">
        <v>46110.0</v>
      </c>
      <c r="K11" s="281">
        <v>46295.0</v>
      </c>
      <c r="L11" s="282">
        <v>46069.0</v>
      </c>
      <c r="M11" s="283">
        <v>281592.0</v>
      </c>
      <c r="N11" s="284">
        <f t="shared" si="5"/>
        <v>291592</v>
      </c>
      <c r="O11" s="299">
        <f t="shared" si="3"/>
        <v>7578</v>
      </c>
      <c r="P11" s="326">
        <v>46002.0</v>
      </c>
      <c r="Q11" s="287">
        <v>270518.0</v>
      </c>
      <c r="R11" s="288">
        <f t="shared" si="7"/>
        <v>310518</v>
      </c>
      <c r="S11" s="289">
        <f t="shared" si="8"/>
        <v>26504</v>
      </c>
      <c r="T11" s="327">
        <v>45754.0</v>
      </c>
      <c r="U11" s="291">
        <v>248551.0</v>
      </c>
      <c r="V11" s="292">
        <f t="shared" si="9"/>
        <v>288551</v>
      </c>
      <c r="W11" s="289">
        <f t="shared" si="10"/>
        <v>4537</v>
      </c>
    </row>
    <row r="12">
      <c r="A12" s="276" t="s">
        <v>209</v>
      </c>
      <c r="B12" s="325" t="s">
        <v>199</v>
      </c>
      <c r="C12" s="276" t="s">
        <v>210</v>
      </c>
      <c r="D12" s="319" t="s">
        <v>211</v>
      </c>
      <c r="E12" s="320" t="s">
        <v>37</v>
      </c>
      <c r="F12" s="320" t="s">
        <v>28</v>
      </c>
      <c r="G12" s="319" t="s">
        <v>212</v>
      </c>
      <c r="H12" s="280">
        <v>209398.0</v>
      </c>
      <c r="I12" s="281">
        <v>46295.0</v>
      </c>
      <c r="J12" s="328">
        <v>46267.0</v>
      </c>
      <c r="K12" s="281">
        <v>46295.0</v>
      </c>
      <c r="L12" s="329">
        <v>46057.0</v>
      </c>
      <c r="M12" s="283">
        <v>202073.0</v>
      </c>
      <c r="N12" s="284">
        <f t="shared" si="5"/>
        <v>212073</v>
      </c>
      <c r="O12" s="299">
        <f t="shared" si="3"/>
        <v>2675</v>
      </c>
      <c r="P12" s="326">
        <v>45922.0</v>
      </c>
      <c r="Q12" s="287">
        <v>181962.0</v>
      </c>
      <c r="R12" s="288">
        <f t="shared" si="7"/>
        <v>221962</v>
      </c>
      <c r="S12" s="289">
        <f t="shared" si="8"/>
        <v>12564</v>
      </c>
      <c r="T12" s="327">
        <v>45922.0</v>
      </c>
      <c r="U12" s="291">
        <v>181962.0</v>
      </c>
      <c r="V12" s="292">
        <f t="shared" si="9"/>
        <v>221962</v>
      </c>
      <c r="W12" s="289">
        <f t="shared" si="10"/>
        <v>12564</v>
      </c>
    </row>
    <row r="13">
      <c r="A13" s="276" t="s">
        <v>213</v>
      </c>
      <c r="B13" s="276" t="s">
        <v>214</v>
      </c>
      <c r="C13" s="276" t="s">
        <v>215</v>
      </c>
      <c r="D13" s="277" t="s">
        <v>216</v>
      </c>
      <c r="E13" s="320" t="s">
        <v>37</v>
      </c>
      <c r="F13" s="307" t="s">
        <v>96</v>
      </c>
      <c r="G13" s="277" t="s">
        <v>217</v>
      </c>
      <c r="H13" s="280">
        <v>10104.0</v>
      </c>
      <c r="I13" s="281">
        <v>46295.0</v>
      </c>
      <c r="J13" s="281">
        <v>46189.0</v>
      </c>
      <c r="K13" s="281">
        <v>46295.0</v>
      </c>
      <c r="L13" s="282">
        <v>45980.0</v>
      </c>
      <c r="M13" s="283">
        <v>9952.0</v>
      </c>
      <c r="N13" s="284">
        <f>M13+350</f>
        <v>10302</v>
      </c>
      <c r="O13" s="299">
        <f t="shared" si="3"/>
        <v>198</v>
      </c>
      <c r="P13" s="330">
        <v>45827.0</v>
      </c>
      <c r="Q13" s="287">
        <v>9578.0</v>
      </c>
      <c r="R13" s="288">
        <f>Q13+2000</f>
        <v>11578</v>
      </c>
      <c r="S13" s="289">
        <f t="shared" si="8"/>
        <v>1474</v>
      </c>
      <c r="T13" s="331">
        <v>45980.0</v>
      </c>
      <c r="U13" s="291">
        <v>9952.0</v>
      </c>
      <c r="V13" s="292">
        <f>U13+2000</f>
        <v>11952</v>
      </c>
      <c r="W13" s="289">
        <f t="shared" si="10"/>
        <v>1848</v>
      </c>
    </row>
    <row r="14">
      <c r="A14" s="276" t="s">
        <v>218</v>
      </c>
      <c r="B14" s="276" t="s">
        <v>214</v>
      </c>
      <c r="C14" s="276" t="s">
        <v>219</v>
      </c>
      <c r="D14" s="319" t="s">
        <v>120</v>
      </c>
      <c r="E14" s="320" t="s">
        <v>37</v>
      </c>
      <c r="F14" s="320" t="s">
        <v>28</v>
      </c>
      <c r="G14" s="332" t="s">
        <v>220</v>
      </c>
      <c r="H14" s="308">
        <v>288056.0</v>
      </c>
      <c r="I14" s="281">
        <v>46295.0</v>
      </c>
      <c r="J14" s="281">
        <v>46225.0</v>
      </c>
      <c r="K14" s="281">
        <v>46295.0</v>
      </c>
      <c r="L14" s="282">
        <v>45929.0</v>
      </c>
      <c r="M14" s="283">
        <v>284574.0</v>
      </c>
      <c r="N14" s="284">
        <f t="shared" ref="N14:N16" si="11">M14+10000</f>
        <v>294574</v>
      </c>
      <c r="O14" s="299">
        <f t="shared" si="3"/>
        <v>6518</v>
      </c>
      <c r="P14" s="326">
        <v>45824.0</v>
      </c>
      <c r="Q14" s="287">
        <v>279482.0</v>
      </c>
      <c r="R14" s="288">
        <f>Q14+40000</f>
        <v>319482</v>
      </c>
      <c r="S14" s="289">
        <f t="shared" si="8"/>
        <v>31426</v>
      </c>
      <c r="T14" s="327">
        <v>45824.0</v>
      </c>
      <c r="U14" s="291">
        <v>279482.0</v>
      </c>
      <c r="V14" s="292">
        <f t="shared" ref="V14:V15" si="12">U14+40000</f>
        <v>319482</v>
      </c>
      <c r="W14" s="289">
        <f t="shared" si="10"/>
        <v>31426</v>
      </c>
    </row>
    <row r="15">
      <c r="A15" s="276" t="s">
        <v>221</v>
      </c>
      <c r="B15" s="276" t="s">
        <v>214</v>
      </c>
      <c r="C15" s="276" t="s">
        <v>222</v>
      </c>
      <c r="D15" s="319" t="s">
        <v>223</v>
      </c>
      <c r="E15" s="320" t="s">
        <v>146</v>
      </c>
      <c r="F15" s="320" t="s">
        <v>28</v>
      </c>
      <c r="G15" s="319" t="s">
        <v>224</v>
      </c>
      <c r="H15" s="308">
        <v>71432.0</v>
      </c>
      <c r="I15" s="281">
        <v>46295.0</v>
      </c>
      <c r="J15" s="328">
        <v>46258.0</v>
      </c>
      <c r="K15" s="281">
        <v>46295.0</v>
      </c>
      <c r="L15" s="282">
        <v>46027.0</v>
      </c>
      <c r="M15" s="283">
        <v>63244.0</v>
      </c>
      <c r="N15" s="284">
        <f t="shared" si="11"/>
        <v>73244</v>
      </c>
      <c r="O15" s="299">
        <f t="shared" si="3"/>
        <v>1812</v>
      </c>
      <c r="P15" s="326">
        <v>45662.0</v>
      </c>
      <c r="Q15" s="287">
        <v>63244.0</v>
      </c>
      <c r="R15" s="288">
        <f t="shared" ref="R15:R16" si="13">Q15+20000</f>
        <v>83244</v>
      </c>
      <c r="S15" s="289">
        <f t="shared" si="8"/>
        <v>11812</v>
      </c>
      <c r="T15" s="327">
        <v>46027.0</v>
      </c>
      <c r="U15" s="291">
        <v>63244.0</v>
      </c>
      <c r="V15" s="292">
        <f t="shared" si="12"/>
        <v>103244</v>
      </c>
      <c r="W15" s="289">
        <f t="shared" si="10"/>
        <v>31812</v>
      </c>
    </row>
    <row r="16">
      <c r="A16" s="279" t="s">
        <v>225</v>
      </c>
      <c r="B16" s="279" t="s">
        <v>226</v>
      </c>
      <c r="C16" s="279" t="s">
        <v>227</v>
      </c>
      <c r="D16" s="320" t="s">
        <v>179</v>
      </c>
      <c r="E16" s="320" t="s">
        <v>228</v>
      </c>
      <c r="F16" s="320" t="s">
        <v>28</v>
      </c>
      <c r="G16" s="320" t="s">
        <v>229</v>
      </c>
      <c r="H16" s="308">
        <v>98383.0</v>
      </c>
      <c r="I16" s="281">
        <v>46295.0</v>
      </c>
      <c r="J16" s="328">
        <v>46083.0</v>
      </c>
      <c r="K16" s="281">
        <v>46295.0</v>
      </c>
      <c r="L16" s="309"/>
      <c r="M16" s="283">
        <v>98383.0</v>
      </c>
      <c r="N16" s="284">
        <f t="shared" si="11"/>
        <v>108383</v>
      </c>
      <c r="O16" s="299">
        <f t="shared" si="3"/>
        <v>10000</v>
      </c>
      <c r="P16" s="333"/>
      <c r="Q16" s="287">
        <v>98383.0</v>
      </c>
      <c r="R16" s="288">
        <f t="shared" si="13"/>
        <v>118383</v>
      </c>
      <c r="S16" s="289">
        <f t="shared" si="8"/>
        <v>20000</v>
      </c>
      <c r="T16" s="334"/>
      <c r="U16" s="291">
        <v>98383.0</v>
      </c>
      <c r="V16" s="292">
        <f>U16+20000</f>
        <v>118383</v>
      </c>
      <c r="W16" s="289">
        <f t="shared" si="10"/>
        <v>20000</v>
      </c>
    </row>
    <row r="17" hidden="1">
      <c r="A17" s="294" t="s">
        <v>230</v>
      </c>
      <c r="B17" s="294" t="s">
        <v>231</v>
      </c>
      <c r="C17" s="294" t="s">
        <v>232</v>
      </c>
      <c r="D17" s="295" t="s">
        <v>233</v>
      </c>
      <c r="E17" s="313" t="s">
        <v>22</v>
      </c>
      <c r="F17" s="295"/>
      <c r="G17" s="295" t="s">
        <v>234</v>
      </c>
      <c r="H17" s="335">
        <v>0.0</v>
      </c>
      <c r="I17" s="294"/>
      <c r="J17" s="294"/>
      <c r="K17" s="294"/>
      <c r="L17" s="336"/>
      <c r="M17" s="335">
        <v>5430.0</v>
      </c>
      <c r="N17" s="335">
        <v>5680.0</v>
      </c>
      <c r="O17" s="316">
        <f t="shared" si="3"/>
        <v>5680</v>
      </c>
      <c r="P17" s="336"/>
      <c r="Q17" s="335">
        <v>4957.0</v>
      </c>
      <c r="R17" s="335">
        <v>5557.0</v>
      </c>
      <c r="S17" s="318">
        <v>0.0</v>
      </c>
      <c r="T17" s="335">
        <v>5557.0</v>
      </c>
      <c r="U17" s="335">
        <v>5557.0</v>
      </c>
      <c r="V17" s="335">
        <v>5557.0</v>
      </c>
      <c r="W17" s="337">
        <v>0.0</v>
      </c>
    </row>
    <row r="18" hidden="1">
      <c r="A18" s="294" t="s">
        <v>235</v>
      </c>
      <c r="B18" s="294" t="s">
        <v>231</v>
      </c>
      <c r="C18" s="294" t="s">
        <v>236</v>
      </c>
      <c r="D18" s="295" t="s">
        <v>193</v>
      </c>
      <c r="E18" s="313" t="s">
        <v>22</v>
      </c>
      <c r="F18" s="295"/>
      <c r="G18" s="295" t="s">
        <v>237</v>
      </c>
      <c r="H18" s="335">
        <v>0.0</v>
      </c>
      <c r="I18" s="294"/>
      <c r="J18" s="294"/>
      <c r="K18" s="294"/>
      <c r="L18" s="336"/>
      <c r="M18" s="335">
        <v>5332.0</v>
      </c>
      <c r="N18" s="335">
        <v>5582.0</v>
      </c>
      <c r="O18" s="316">
        <f t="shared" si="3"/>
        <v>5582</v>
      </c>
      <c r="P18" s="336"/>
      <c r="Q18" s="294"/>
      <c r="R18" s="294"/>
      <c r="S18" s="318">
        <v>0.0</v>
      </c>
      <c r="T18" s="338"/>
      <c r="U18" s="294"/>
      <c r="V18" s="294"/>
      <c r="W18" s="294"/>
    </row>
    <row r="19">
      <c r="A19" s="339" t="s">
        <v>238</v>
      </c>
      <c r="B19" s="276" t="s">
        <v>231</v>
      </c>
      <c r="C19" s="277" t="s">
        <v>239</v>
      </c>
      <c r="D19" s="277" t="s">
        <v>179</v>
      </c>
      <c r="E19" s="307" t="s">
        <v>240</v>
      </c>
      <c r="F19" s="307" t="s">
        <v>96</v>
      </c>
      <c r="G19" s="277" t="s">
        <v>241</v>
      </c>
      <c r="H19" s="308">
        <v>752.0</v>
      </c>
      <c r="I19" s="340">
        <v>45930.0</v>
      </c>
      <c r="J19" s="340">
        <v>45701.0</v>
      </c>
      <c r="K19" s="340">
        <v>45930.0</v>
      </c>
      <c r="L19" s="282">
        <v>45981.0</v>
      </c>
      <c r="M19" s="283">
        <v>433.0</v>
      </c>
      <c r="N19" s="284">
        <f>M19+350</f>
        <v>783</v>
      </c>
      <c r="O19" s="299">
        <f t="shared" si="3"/>
        <v>31</v>
      </c>
      <c r="P19" s="333">
        <v>45531.0</v>
      </c>
      <c r="Q19" s="288">
        <v>50.0</v>
      </c>
      <c r="R19" s="288">
        <f>Q19+2000</f>
        <v>2050</v>
      </c>
      <c r="S19" s="289">
        <f t="shared" ref="S19:S59" si="14">R19-H19</f>
        <v>1298</v>
      </c>
      <c r="T19" s="334">
        <v>45531.0</v>
      </c>
      <c r="U19" s="292">
        <v>50.0</v>
      </c>
      <c r="V19" s="292">
        <f>U19+2000</f>
        <v>2050</v>
      </c>
      <c r="W19" s="289">
        <f>V19-H19</f>
        <v>1298</v>
      </c>
    </row>
    <row r="20" hidden="1">
      <c r="A20" s="294" t="s">
        <v>242</v>
      </c>
      <c r="B20" s="294" t="s">
        <v>231</v>
      </c>
      <c r="C20" s="294" t="s">
        <v>243</v>
      </c>
      <c r="D20" s="295" t="s">
        <v>223</v>
      </c>
      <c r="E20" s="313" t="s">
        <v>22</v>
      </c>
      <c r="F20" s="295"/>
      <c r="G20" s="295" t="s">
        <v>244</v>
      </c>
      <c r="H20" s="335">
        <v>0.0</v>
      </c>
      <c r="I20" s="294"/>
      <c r="J20" s="294"/>
      <c r="K20" s="294"/>
      <c r="L20" s="315">
        <v>44498.0</v>
      </c>
      <c r="M20" s="335">
        <v>8739.0</v>
      </c>
      <c r="N20" s="335">
        <v>8989.0</v>
      </c>
      <c r="O20" s="316">
        <f t="shared" si="3"/>
        <v>8989</v>
      </c>
      <c r="P20" s="336"/>
      <c r="Q20" s="335">
        <v>8739.0</v>
      </c>
      <c r="R20" s="335">
        <v>9339.0</v>
      </c>
      <c r="S20" s="341">
        <f t="shared" si="14"/>
        <v>9339</v>
      </c>
      <c r="T20" s="338"/>
      <c r="U20" s="335">
        <v>8739.0</v>
      </c>
      <c r="V20" s="335">
        <v>9339.0</v>
      </c>
      <c r="W20" s="318">
        <v>0.0</v>
      </c>
    </row>
    <row r="21" hidden="1">
      <c r="A21" s="294" t="s">
        <v>245</v>
      </c>
      <c r="B21" s="294" t="s">
        <v>231</v>
      </c>
      <c r="C21" s="294" t="s">
        <v>246</v>
      </c>
      <c r="D21" s="295" t="s">
        <v>223</v>
      </c>
      <c r="E21" s="313" t="s">
        <v>22</v>
      </c>
      <c r="F21" s="295"/>
      <c r="G21" s="295" t="s">
        <v>244</v>
      </c>
      <c r="H21" s="335">
        <v>0.0</v>
      </c>
      <c r="I21" s="294"/>
      <c r="J21" s="294"/>
      <c r="K21" s="294"/>
      <c r="L21" s="336"/>
      <c r="M21" s="335">
        <v>0.0</v>
      </c>
      <c r="N21" s="335">
        <v>350.0</v>
      </c>
      <c r="O21" s="316">
        <f t="shared" si="3"/>
        <v>350</v>
      </c>
      <c r="P21" s="336"/>
      <c r="Q21" s="294"/>
      <c r="R21" s="294"/>
      <c r="S21" s="341">
        <f t="shared" si="14"/>
        <v>0</v>
      </c>
      <c r="T21" s="338"/>
      <c r="U21" s="294"/>
      <c r="V21" s="294"/>
      <c r="W21" s="341">
        <f t="shared" ref="W21:W26" si="15">V21-H21</f>
        <v>0</v>
      </c>
    </row>
    <row r="22">
      <c r="A22" s="276" t="s">
        <v>247</v>
      </c>
      <c r="B22" s="276" t="s">
        <v>231</v>
      </c>
      <c r="C22" s="276" t="s">
        <v>248</v>
      </c>
      <c r="D22" s="277" t="s">
        <v>233</v>
      </c>
      <c r="E22" s="320" t="s">
        <v>37</v>
      </c>
      <c r="F22" s="307" t="s">
        <v>96</v>
      </c>
      <c r="G22" s="342" t="s">
        <v>249</v>
      </c>
      <c r="H22" s="308">
        <v>22191.0</v>
      </c>
      <c r="I22" s="281">
        <v>46295.0</v>
      </c>
      <c r="J22" s="281">
        <v>46125.0</v>
      </c>
      <c r="K22" s="281">
        <v>46295.0</v>
      </c>
      <c r="L22" s="329">
        <v>46054.0</v>
      </c>
      <c r="M22" s="283">
        <v>21976.0</v>
      </c>
      <c r="N22" s="284">
        <f t="shared" ref="N22:N26" si="16">M22+350</f>
        <v>22326</v>
      </c>
      <c r="O22" s="299">
        <f t="shared" si="3"/>
        <v>135</v>
      </c>
      <c r="P22" s="343">
        <v>45727.0</v>
      </c>
      <c r="Q22" s="287">
        <v>20609.0</v>
      </c>
      <c r="R22" s="288">
        <f t="shared" ref="R22:R26" si="17">Q22+2000</f>
        <v>22609</v>
      </c>
      <c r="S22" s="289">
        <f t="shared" si="14"/>
        <v>418</v>
      </c>
      <c r="T22" s="344">
        <v>45727.0</v>
      </c>
      <c r="U22" s="291">
        <v>20609.0</v>
      </c>
      <c r="V22" s="292">
        <f t="shared" ref="V22:V26" si="18">U22+2000</f>
        <v>22609</v>
      </c>
      <c r="W22" s="289">
        <f t="shared" si="15"/>
        <v>418</v>
      </c>
    </row>
    <row r="23" ht="15.0" customHeight="1">
      <c r="A23" s="276" t="s">
        <v>250</v>
      </c>
      <c r="B23" s="325" t="s">
        <v>231</v>
      </c>
      <c r="C23" s="276" t="s">
        <v>251</v>
      </c>
      <c r="D23" s="277" t="s">
        <v>233</v>
      </c>
      <c r="E23" s="307" t="s">
        <v>37</v>
      </c>
      <c r="F23" s="307" t="s">
        <v>96</v>
      </c>
      <c r="G23" s="277" t="s">
        <v>252</v>
      </c>
      <c r="H23" s="308">
        <v>19673.0</v>
      </c>
      <c r="I23" s="298">
        <v>46295.0</v>
      </c>
      <c r="J23" s="281">
        <v>46123.0</v>
      </c>
      <c r="K23" s="281">
        <v>46295.0</v>
      </c>
      <c r="L23" s="345">
        <v>46053.0</v>
      </c>
      <c r="M23" s="283">
        <v>19643.0</v>
      </c>
      <c r="N23" s="284">
        <f t="shared" si="16"/>
        <v>19993</v>
      </c>
      <c r="O23" s="299">
        <f t="shared" si="3"/>
        <v>320</v>
      </c>
      <c r="P23" s="326">
        <v>45845.0</v>
      </c>
      <c r="Q23" s="287">
        <v>18882.0</v>
      </c>
      <c r="R23" s="288">
        <f t="shared" si="17"/>
        <v>20882</v>
      </c>
      <c r="S23" s="289">
        <f t="shared" si="14"/>
        <v>1209</v>
      </c>
      <c r="T23" s="327">
        <v>45845.0</v>
      </c>
      <c r="U23" s="291">
        <v>18882.0</v>
      </c>
      <c r="V23" s="292">
        <f t="shared" si="18"/>
        <v>20882</v>
      </c>
      <c r="W23" s="289">
        <f t="shared" si="15"/>
        <v>1209</v>
      </c>
    </row>
    <row r="24">
      <c r="A24" s="346" t="s">
        <v>253</v>
      </c>
      <c r="B24" s="346" t="s">
        <v>231</v>
      </c>
      <c r="C24" s="346" t="s">
        <v>254</v>
      </c>
      <c r="D24" s="347" t="s">
        <v>36</v>
      </c>
      <c r="E24" s="348" t="s">
        <v>37</v>
      </c>
      <c r="F24" s="347"/>
      <c r="G24" s="347" t="s">
        <v>255</v>
      </c>
      <c r="H24" s="349">
        <v>6537.0</v>
      </c>
      <c r="I24" s="350">
        <v>45930.0</v>
      </c>
      <c r="J24" s="350">
        <v>45783.0</v>
      </c>
      <c r="K24" s="351">
        <v>46295.0</v>
      </c>
      <c r="L24" s="352">
        <v>45497.0</v>
      </c>
      <c r="M24" s="284">
        <v>6131.0</v>
      </c>
      <c r="N24" s="284">
        <f t="shared" si="16"/>
        <v>6481</v>
      </c>
      <c r="O24" s="353">
        <f>N24-H24</f>
        <v>-56</v>
      </c>
      <c r="P24" s="354">
        <v>45497.0</v>
      </c>
      <c r="Q24" s="287">
        <v>6131.0</v>
      </c>
      <c r="R24" s="288">
        <f t="shared" si="17"/>
        <v>8131</v>
      </c>
      <c r="S24" s="355">
        <f t="shared" si="14"/>
        <v>1594</v>
      </c>
      <c r="T24" s="354">
        <v>45497.0</v>
      </c>
      <c r="U24" s="291">
        <v>6131.0</v>
      </c>
      <c r="V24" s="292">
        <f t="shared" si="18"/>
        <v>8131</v>
      </c>
      <c r="W24" s="289">
        <f t="shared" si="15"/>
        <v>1594</v>
      </c>
    </row>
    <row r="25" hidden="1">
      <c r="A25" s="294" t="s">
        <v>256</v>
      </c>
      <c r="B25" s="294" t="s">
        <v>231</v>
      </c>
      <c r="C25" s="294" t="s">
        <v>257</v>
      </c>
      <c r="D25" s="295" t="s">
        <v>36</v>
      </c>
      <c r="E25" s="313" t="s">
        <v>258</v>
      </c>
      <c r="F25" s="313" t="s">
        <v>96</v>
      </c>
      <c r="G25" s="295" t="s">
        <v>255</v>
      </c>
      <c r="H25" s="356">
        <v>3590.0</v>
      </c>
      <c r="I25" s="357">
        <v>46295.0</v>
      </c>
      <c r="J25" s="357">
        <v>46038.0</v>
      </c>
      <c r="K25" s="357">
        <v>46295.0</v>
      </c>
      <c r="L25" s="358">
        <v>45976.0</v>
      </c>
      <c r="M25" s="359">
        <v>3444.0</v>
      </c>
      <c r="N25" s="314">
        <f t="shared" si="16"/>
        <v>3794</v>
      </c>
      <c r="O25" s="316">
        <f t="shared" ref="O25:O34" si="19">+N25-H25</f>
        <v>204</v>
      </c>
      <c r="P25" s="360">
        <v>45547.0</v>
      </c>
      <c r="Q25" s="314">
        <v>2239.0</v>
      </c>
      <c r="R25" s="314">
        <f t="shared" si="17"/>
        <v>4239</v>
      </c>
      <c r="S25" s="341">
        <f t="shared" si="14"/>
        <v>649</v>
      </c>
      <c r="T25" s="361">
        <v>45547.0</v>
      </c>
      <c r="U25" s="314">
        <v>2239.0</v>
      </c>
      <c r="V25" s="314">
        <f t="shared" si="18"/>
        <v>4239</v>
      </c>
      <c r="W25" s="341">
        <f t="shared" si="15"/>
        <v>649</v>
      </c>
    </row>
    <row r="26">
      <c r="A26" s="276" t="s">
        <v>259</v>
      </c>
      <c r="B26" s="276" t="s">
        <v>231</v>
      </c>
      <c r="C26" s="276" t="s">
        <v>260</v>
      </c>
      <c r="D26" s="277" t="s">
        <v>201</v>
      </c>
      <c r="E26" s="307" t="s">
        <v>37</v>
      </c>
      <c r="F26" s="307" t="s">
        <v>96</v>
      </c>
      <c r="G26" s="362" t="s">
        <v>261</v>
      </c>
      <c r="H26" s="280">
        <v>5326.0</v>
      </c>
      <c r="I26" s="281">
        <v>46295.0</v>
      </c>
      <c r="J26" s="281">
        <v>46188.0</v>
      </c>
      <c r="K26" s="281">
        <v>46295.0</v>
      </c>
      <c r="L26" s="282">
        <v>46022.0</v>
      </c>
      <c r="M26" s="283">
        <v>5059.0</v>
      </c>
      <c r="N26" s="284">
        <f t="shared" si="16"/>
        <v>5409</v>
      </c>
      <c r="O26" s="299">
        <f t="shared" si="19"/>
        <v>83</v>
      </c>
      <c r="P26" s="286">
        <v>45987.0</v>
      </c>
      <c r="Q26" s="287">
        <v>4914.0</v>
      </c>
      <c r="R26" s="288">
        <f t="shared" si="17"/>
        <v>6914</v>
      </c>
      <c r="S26" s="289">
        <f t="shared" si="14"/>
        <v>1588</v>
      </c>
      <c r="T26" s="311">
        <v>45527.0</v>
      </c>
      <c r="U26" s="292">
        <v>3595.0</v>
      </c>
      <c r="V26" s="292">
        <f t="shared" si="18"/>
        <v>5595</v>
      </c>
      <c r="W26" s="289">
        <f t="shared" si="15"/>
        <v>269</v>
      </c>
    </row>
    <row r="27" hidden="1">
      <c r="A27" s="294" t="s">
        <v>262</v>
      </c>
      <c r="B27" s="294" t="s">
        <v>231</v>
      </c>
      <c r="C27" s="294" t="s">
        <v>263</v>
      </c>
      <c r="D27" s="295" t="s">
        <v>201</v>
      </c>
      <c r="E27" s="313" t="s">
        <v>22</v>
      </c>
      <c r="F27" s="295"/>
      <c r="G27" s="295" t="s">
        <v>261</v>
      </c>
      <c r="H27" s="294">
        <v>0.0</v>
      </c>
      <c r="I27" s="294"/>
      <c r="J27" s="294"/>
      <c r="K27" s="294"/>
      <c r="L27" s="336"/>
      <c r="M27" s="294"/>
      <c r="N27" s="335">
        <v>350.0</v>
      </c>
      <c r="O27" s="316">
        <f t="shared" si="19"/>
        <v>350</v>
      </c>
      <c r="P27" s="336"/>
      <c r="Q27" s="294"/>
      <c r="R27" s="294"/>
      <c r="S27" s="341">
        <f t="shared" si="14"/>
        <v>0</v>
      </c>
      <c r="T27" s="338"/>
      <c r="U27" s="294"/>
      <c r="V27" s="294"/>
      <c r="W27" s="294"/>
    </row>
    <row r="28">
      <c r="A28" s="276" t="s">
        <v>264</v>
      </c>
      <c r="B28" s="325" t="s">
        <v>231</v>
      </c>
      <c r="C28" s="276" t="s">
        <v>265</v>
      </c>
      <c r="D28" s="277" t="s">
        <v>223</v>
      </c>
      <c r="E28" s="307" t="s">
        <v>37</v>
      </c>
      <c r="F28" s="307" t="s">
        <v>96</v>
      </c>
      <c r="G28" s="277" t="s">
        <v>266</v>
      </c>
      <c r="H28" s="280">
        <v>10306.0</v>
      </c>
      <c r="I28" s="281">
        <v>46295.0</v>
      </c>
      <c r="J28" s="281">
        <v>46162.0</v>
      </c>
      <c r="K28" s="281">
        <v>46295.0</v>
      </c>
      <c r="L28" s="282">
        <v>46083.0</v>
      </c>
      <c r="M28" s="283">
        <v>10229.0</v>
      </c>
      <c r="N28" s="284">
        <f t="shared" ref="N28:N32" si="20">M28+350</f>
        <v>10579</v>
      </c>
      <c r="O28" s="299">
        <f t="shared" si="19"/>
        <v>273</v>
      </c>
      <c r="P28" s="282">
        <v>45849.0</v>
      </c>
      <c r="Q28" s="287">
        <v>9425.0</v>
      </c>
      <c r="R28" s="288">
        <f t="shared" ref="R28:R34" si="21">Q28+2000</f>
        <v>11425</v>
      </c>
      <c r="S28" s="289">
        <f t="shared" si="14"/>
        <v>1119</v>
      </c>
      <c r="T28" s="327">
        <v>45754.0</v>
      </c>
      <c r="U28" s="291">
        <v>9025.0</v>
      </c>
      <c r="V28" s="292">
        <f t="shared" ref="V28:V32" si="22">U28+2000</f>
        <v>11025</v>
      </c>
      <c r="W28" s="289">
        <f t="shared" ref="W28:W34" si="23">V28-H28</f>
        <v>719</v>
      </c>
    </row>
    <row r="29">
      <c r="A29" s="346" t="s">
        <v>267</v>
      </c>
      <c r="B29" s="346" t="s">
        <v>231</v>
      </c>
      <c r="C29" s="346" t="s">
        <v>268</v>
      </c>
      <c r="D29" s="347" t="s">
        <v>223</v>
      </c>
      <c r="E29" s="307" t="s">
        <v>37</v>
      </c>
      <c r="F29" s="307" t="s">
        <v>96</v>
      </c>
      <c r="G29" s="347" t="s">
        <v>266</v>
      </c>
      <c r="H29" s="363">
        <v>5813.0</v>
      </c>
      <c r="I29" s="281">
        <v>46295.0</v>
      </c>
      <c r="J29" s="351">
        <v>46261.0</v>
      </c>
      <c r="K29" s="364">
        <v>46295.0</v>
      </c>
      <c r="L29" s="365" t="s">
        <v>269</v>
      </c>
      <c r="M29" s="283">
        <v>5787.0</v>
      </c>
      <c r="N29" s="284">
        <f t="shared" si="20"/>
        <v>6137</v>
      </c>
      <c r="O29" s="366">
        <f t="shared" si="19"/>
        <v>324</v>
      </c>
      <c r="P29" s="367">
        <v>45965.0</v>
      </c>
      <c r="Q29" s="287">
        <v>5058.0</v>
      </c>
      <c r="R29" s="288">
        <f t="shared" si="21"/>
        <v>7058</v>
      </c>
      <c r="S29" s="368">
        <f t="shared" si="14"/>
        <v>1245</v>
      </c>
      <c r="T29" s="369">
        <v>45965.0</v>
      </c>
      <c r="U29" s="291">
        <v>5058.0</v>
      </c>
      <c r="V29" s="292">
        <f t="shared" si="22"/>
        <v>7058</v>
      </c>
      <c r="W29" s="370">
        <f t="shared" si="23"/>
        <v>1245</v>
      </c>
    </row>
    <row r="30">
      <c r="A30" s="276" t="s">
        <v>270</v>
      </c>
      <c r="B30" s="325" t="s">
        <v>231</v>
      </c>
      <c r="C30" s="371" t="s">
        <v>271</v>
      </c>
      <c r="D30" s="342" t="s">
        <v>159</v>
      </c>
      <c r="E30" s="307" t="s">
        <v>37</v>
      </c>
      <c r="F30" s="307" t="s">
        <v>96</v>
      </c>
      <c r="G30" s="277" t="s">
        <v>272</v>
      </c>
      <c r="H30" s="252">
        <v>11827.0</v>
      </c>
      <c r="I30" s="281">
        <v>46295.0</v>
      </c>
      <c r="J30" s="328">
        <v>46245.0</v>
      </c>
      <c r="K30" s="281">
        <v>46295.0</v>
      </c>
      <c r="L30" s="282">
        <v>46040.0</v>
      </c>
      <c r="M30" s="283">
        <v>11718.0</v>
      </c>
      <c r="N30" s="284">
        <f t="shared" si="20"/>
        <v>12068</v>
      </c>
      <c r="O30" s="372">
        <f t="shared" si="19"/>
        <v>241</v>
      </c>
      <c r="P30" s="343">
        <v>45768.0</v>
      </c>
      <c r="Q30" s="301">
        <v>9551.0</v>
      </c>
      <c r="R30" s="288">
        <f t="shared" si="21"/>
        <v>11551</v>
      </c>
      <c r="S30" s="289">
        <f t="shared" si="14"/>
        <v>-276</v>
      </c>
      <c r="T30" s="343">
        <v>45768.0</v>
      </c>
      <c r="U30" s="291">
        <v>9551.0</v>
      </c>
      <c r="V30" s="292">
        <f t="shared" si="22"/>
        <v>11551</v>
      </c>
      <c r="W30" s="373">
        <f t="shared" si="23"/>
        <v>-276</v>
      </c>
    </row>
    <row r="31">
      <c r="A31" s="276" t="s">
        <v>273</v>
      </c>
      <c r="B31" s="277" t="s">
        <v>231</v>
      </c>
      <c r="C31" s="374" t="s">
        <v>274</v>
      </c>
      <c r="D31" s="277" t="s">
        <v>159</v>
      </c>
      <c r="E31" s="307" t="s">
        <v>37</v>
      </c>
      <c r="F31" s="307" t="s">
        <v>96</v>
      </c>
      <c r="G31" s="277" t="s">
        <v>272</v>
      </c>
      <c r="H31" s="363">
        <v>11540.0</v>
      </c>
      <c r="I31" s="375">
        <v>46295.0</v>
      </c>
      <c r="J31" s="375">
        <v>46153.0</v>
      </c>
      <c r="K31" s="375">
        <v>46295.0</v>
      </c>
      <c r="L31" s="286">
        <v>46041.0</v>
      </c>
      <c r="M31" s="283">
        <v>11091.0</v>
      </c>
      <c r="N31" s="376">
        <f t="shared" si="20"/>
        <v>11441</v>
      </c>
      <c r="O31" s="377">
        <f t="shared" si="19"/>
        <v>-99</v>
      </c>
      <c r="P31" s="300">
        <v>45750.0</v>
      </c>
      <c r="Q31" s="301">
        <v>9382.0</v>
      </c>
      <c r="R31" s="288">
        <f t="shared" si="21"/>
        <v>11382</v>
      </c>
      <c r="S31" s="368">
        <f t="shared" si="14"/>
        <v>-158</v>
      </c>
      <c r="T31" s="378">
        <v>45750.0</v>
      </c>
      <c r="U31" s="291">
        <v>9382.0</v>
      </c>
      <c r="V31" s="292">
        <f t="shared" si="22"/>
        <v>11382</v>
      </c>
      <c r="W31" s="368">
        <f t="shared" si="23"/>
        <v>-158</v>
      </c>
    </row>
    <row r="32">
      <c r="A32" s="276" t="s">
        <v>275</v>
      </c>
      <c r="B32" s="379" t="s">
        <v>231</v>
      </c>
      <c r="C32" s="371" t="s">
        <v>276</v>
      </c>
      <c r="D32" s="277" t="s">
        <v>159</v>
      </c>
      <c r="E32" s="307" t="s">
        <v>37</v>
      </c>
      <c r="F32" s="307" t="s">
        <v>96</v>
      </c>
      <c r="G32" s="277" t="s">
        <v>272</v>
      </c>
      <c r="H32" s="363">
        <v>99334.0</v>
      </c>
      <c r="I32" s="281">
        <v>46295.0</v>
      </c>
      <c r="J32" s="380">
        <v>46107.0</v>
      </c>
      <c r="K32" s="281">
        <v>46295.0</v>
      </c>
      <c r="L32" s="282">
        <v>46082.0</v>
      </c>
      <c r="M32" s="381">
        <v>99334.0</v>
      </c>
      <c r="N32" s="376">
        <f t="shared" si="20"/>
        <v>99684</v>
      </c>
      <c r="O32" s="377">
        <f t="shared" si="19"/>
        <v>350</v>
      </c>
      <c r="P32" s="382">
        <v>45988.0</v>
      </c>
      <c r="Q32" s="287">
        <v>10072.0</v>
      </c>
      <c r="R32" s="288">
        <f t="shared" si="21"/>
        <v>12072</v>
      </c>
      <c r="S32" s="368">
        <f t="shared" si="14"/>
        <v>-87262</v>
      </c>
      <c r="T32" s="383">
        <v>45988.0</v>
      </c>
      <c r="U32" s="291">
        <v>10072.0</v>
      </c>
      <c r="V32" s="292">
        <f t="shared" si="22"/>
        <v>12072</v>
      </c>
      <c r="W32" s="368">
        <f t="shared" si="23"/>
        <v>-87262</v>
      </c>
    </row>
    <row r="33" hidden="1">
      <c r="A33" s="294" t="s">
        <v>277</v>
      </c>
      <c r="B33" s="294" t="s">
        <v>231</v>
      </c>
      <c r="C33" s="294" t="s">
        <v>278</v>
      </c>
      <c r="D33" s="295" t="s">
        <v>159</v>
      </c>
      <c r="E33" s="313" t="s">
        <v>22</v>
      </c>
      <c r="F33" s="295"/>
      <c r="G33" s="295" t="s">
        <v>272</v>
      </c>
      <c r="H33" s="314">
        <v>0.0</v>
      </c>
      <c r="I33" s="294"/>
      <c r="J33" s="340">
        <v>45292.0</v>
      </c>
      <c r="K33" s="384"/>
      <c r="L33" s="315">
        <v>45216.0</v>
      </c>
      <c r="M33" s="314">
        <v>5601.0</v>
      </c>
      <c r="N33" s="314">
        <f>M33+600</f>
        <v>6201</v>
      </c>
      <c r="O33" s="316">
        <f t="shared" si="19"/>
        <v>6201</v>
      </c>
      <c r="P33" s="315">
        <v>45216.0</v>
      </c>
      <c r="Q33" s="314">
        <f>M33+0</f>
        <v>5601</v>
      </c>
      <c r="R33" s="314">
        <f t="shared" si="21"/>
        <v>7601</v>
      </c>
      <c r="S33" s="341">
        <f t="shared" si="14"/>
        <v>7601</v>
      </c>
      <c r="T33" s="385">
        <v>45216.0</v>
      </c>
      <c r="U33" s="314">
        <f>M33+0</f>
        <v>5601</v>
      </c>
      <c r="V33" s="314">
        <f>U33+600</f>
        <v>6201</v>
      </c>
      <c r="W33" s="341">
        <f t="shared" si="23"/>
        <v>6201</v>
      </c>
    </row>
    <row r="34" hidden="1">
      <c r="A34" s="294" t="s">
        <v>279</v>
      </c>
      <c r="B34" s="294" t="s">
        <v>231</v>
      </c>
      <c r="C34" s="294" t="s">
        <v>280</v>
      </c>
      <c r="D34" s="295" t="s">
        <v>159</v>
      </c>
      <c r="E34" s="313" t="s">
        <v>22</v>
      </c>
      <c r="F34" s="313"/>
      <c r="G34" s="295" t="s">
        <v>272</v>
      </c>
      <c r="H34" s="386">
        <v>10924.0</v>
      </c>
      <c r="I34" s="340">
        <v>45930.0</v>
      </c>
      <c r="J34" s="357">
        <v>45924.0</v>
      </c>
      <c r="K34" s="340">
        <v>45930.0</v>
      </c>
      <c r="L34" s="358">
        <v>45839.0</v>
      </c>
      <c r="M34" s="359">
        <v>10795.0</v>
      </c>
      <c r="N34" s="387">
        <f>M34+350</f>
        <v>11145</v>
      </c>
      <c r="O34" s="388">
        <f t="shared" si="19"/>
        <v>221</v>
      </c>
      <c r="P34" s="389">
        <v>45771.0</v>
      </c>
      <c r="Q34" s="359">
        <v>10476.0</v>
      </c>
      <c r="R34" s="314">
        <f t="shared" si="21"/>
        <v>12476</v>
      </c>
      <c r="S34" s="390">
        <f t="shared" si="14"/>
        <v>1552</v>
      </c>
      <c r="T34" s="391">
        <v>45771.0</v>
      </c>
      <c r="U34" s="359">
        <v>10476.0</v>
      </c>
      <c r="V34" s="314">
        <f>U34+2000</f>
        <v>12476</v>
      </c>
      <c r="W34" s="390">
        <f t="shared" si="23"/>
        <v>1552</v>
      </c>
    </row>
    <row r="35" hidden="1">
      <c r="A35" s="294" t="s">
        <v>281</v>
      </c>
      <c r="B35" s="294" t="s">
        <v>231</v>
      </c>
      <c r="C35" s="294" t="s">
        <v>282</v>
      </c>
      <c r="D35" s="295" t="s">
        <v>159</v>
      </c>
      <c r="E35" s="313" t="s">
        <v>22</v>
      </c>
      <c r="F35" s="295"/>
      <c r="G35" s="295" t="s">
        <v>272</v>
      </c>
      <c r="H35" s="335">
        <v>0.0</v>
      </c>
      <c r="I35" s="294"/>
      <c r="J35" s="340">
        <v>44856.0</v>
      </c>
      <c r="K35" s="384"/>
      <c r="L35" s="315">
        <v>44924.0</v>
      </c>
      <c r="M35" s="335">
        <v>2590.0</v>
      </c>
      <c r="N35" s="335">
        <f t="shared" ref="N35:R35" si="24">M35+600</f>
        <v>3190</v>
      </c>
      <c r="O35" s="335">
        <f t="shared" si="24"/>
        <v>3790</v>
      </c>
      <c r="P35" s="335">
        <f t="shared" si="24"/>
        <v>4390</v>
      </c>
      <c r="Q35" s="335">
        <f t="shared" si="24"/>
        <v>4990</v>
      </c>
      <c r="R35" s="335">
        <f t="shared" si="24"/>
        <v>5590</v>
      </c>
      <c r="S35" s="341">
        <f t="shared" si="14"/>
        <v>5590</v>
      </c>
      <c r="T35" s="335">
        <f t="shared" ref="T35:W35" si="25">S35+600</f>
        <v>6190</v>
      </c>
      <c r="U35" s="335">
        <f t="shared" si="25"/>
        <v>6790</v>
      </c>
      <c r="V35" s="335">
        <f t="shared" si="25"/>
        <v>7390</v>
      </c>
      <c r="W35" s="335">
        <f t="shared" si="25"/>
        <v>7990</v>
      </c>
    </row>
    <row r="36" hidden="1">
      <c r="A36" s="392" t="s">
        <v>283</v>
      </c>
      <c r="B36" s="294" t="s">
        <v>231</v>
      </c>
      <c r="C36" s="294" t="s">
        <v>284</v>
      </c>
      <c r="D36" s="295" t="s">
        <v>159</v>
      </c>
      <c r="E36" s="313" t="s">
        <v>22</v>
      </c>
      <c r="F36" s="313" t="s">
        <v>96</v>
      </c>
      <c r="G36" s="295">
        <v>3336.0</v>
      </c>
      <c r="H36" s="359">
        <v>16.0</v>
      </c>
      <c r="I36" s="357">
        <v>46295.0</v>
      </c>
      <c r="J36" s="357">
        <v>46064.0</v>
      </c>
      <c r="K36" s="357">
        <v>46295.0</v>
      </c>
      <c r="L36" s="358">
        <v>46000.0</v>
      </c>
      <c r="M36" s="359">
        <v>8318.0</v>
      </c>
      <c r="N36" s="314">
        <f t="shared" ref="N36:N52" si="26">M36+350</f>
        <v>8668</v>
      </c>
      <c r="O36" s="316">
        <f t="shared" ref="O36:O59" si="27">+N36-H36</f>
        <v>8652</v>
      </c>
      <c r="P36" s="393">
        <v>46000.0</v>
      </c>
      <c r="Q36" s="359">
        <v>8318.0</v>
      </c>
      <c r="R36" s="314">
        <f t="shared" ref="R36:R55" si="28">Q36+2000</f>
        <v>10318</v>
      </c>
      <c r="S36" s="341">
        <f t="shared" si="14"/>
        <v>10302</v>
      </c>
      <c r="T36" s="394">
        <v>46000.0</v>
      </c>
      <c r="U36" s="359">
        <v>8318.0</v>
      </c>
      <c r="V36" s="314">
        <f t="shared" ref="V36:V55" si="29">U36+2000</f>
        <v>10318</v>
      </c>
      <c r="W36" s="341">
        <f t="shared" ref="W36:W59" si="30">V36-H36</f>
        <v>10302</v>
      </c>
    </row>
    <row r="37" hidden="1">
      <c r="A37" s="294" t="s">
        <v>285</v>
      </c>
      <c r="B37" s="294" t="s">
        <v>231</v>
      </c>
      <c r="C37" s="294" t="s">
        <v>286</v>
      </c>
      <c r="D37" s="295" t="s">
        <v>159</v>
      </c>
      <c r="E37" s="313" t="s">
        <v>22</v>
      </c>
      <c r="F37" s="313" t="s">
        <v>96</v>
      </c>
      <c r="G37" s="295">
        <v>3336.0</v>
      </c>
      <c r="H37" s="359">
        <v>5242.0</v>
      </c>
      <c r="I37" s="357">
        <v>46295.0</v>
      </c>
      <c r="J37" s="357">
        <v>46071.0</v>
      </c>
      <c r="K37" s="357">
        <v>46295.0</v>
      </c>
      <c r="L37" s="358">
        <v>45874.0</v>
      </c>
      <c r="M37" s="359">
        <v>5014.0</v>
      </c>
      <c r="N37" s="314">
        <f t="shared" si="26"/>
        <v>5364</v>
      </c>
      <c r="O37" s="316">
        <f t="shared" si="27"/>
        <v>122</v>
      </c>
      <c r="P37" s="317"/>
      <c r="Q37" s="314">
        <v>3381.0</v>
      </c>
      <c r="R37" s="314">
        <f t="shared" si="28"/>
        <v>5381</v>
      </c>
      <c r="S37" s="341">
        <f t="shared" si="14"/>
        <v>139</v>
      </c>
      <c r="T37" s="395"/>
      <c r="U37" s="314">
        <v>3381.0</v>
      </c>
      <c r="V37" s="314">
        <f t="shared" si="29"/>
        <v>5381</v>
      </c>
      <c r="W37" s="341">
        <f t="shared" si="30"/>
        <v>139</v>
      </c>
    </row>
    <row r="38" hidden="1">
      <c r="A38" s="294" t="s">
        <v>287</v>
      </c>
      <c r="B38" s="294" t="s">
        <v>231</v>
      </c>
      <c r="C38" s="294" t="s">
        <v>288</v>
      </c>
      <c r="D38" s="295" t="s">
        <v>159</v>
      </c>
      <c r="E38" s="313" t="s">
        <v>22</v>
      </c>
      <c r="F38" s="313" t="s">
        <v>96</v>
      </c>
      <c r="G38" s="295" t="s">
        <v>289</v>
      </c>
      <c r="H38" s="356">
        <v>9221.0</v>
      </c>
      <c r="I38" s="357">
        <v>46295.0</v>
      </c>
      <c r="J38" s="357">
        <v>46064.0</v>
      </c>
      <c r="K38" s="357">
        <v>46295.0</v>
      </c>
      <c r="L38" s="396">
        <v>45957.0</v>
      </c>
      <c r="M38" s="359">
        <v>8829.0</v>
      </c>
      <c r="N38" s="314">
        <f t="shared" si="26"/>
        <v>9179</v>
      </c>
      <c r="O38" s="316">
        <f t="shared" si="27"/>
        <v>-42</v>
      </c>
      <c r="P38" s="397">
        <v>45805.0</v>
      </c>
      <c r="Q38" s="359">
        <v>8459.0</v>
      </c>
      <c r="R38" s="314">
        <f t="shared" si="28"/>
        <v>10459</v>
      </c>
      <c r="S38" s="341">
        <f t="shared" si="14"/>
        <v>1238</v>
      </c>
      <c r="T38" s="398">
        <v>45805.0</v>
      </c>
      <c r="U38" s="359">
        <v>8459.0</v>
      </c>
      <c r="V38" s="314">
        <f t="shared" si="29"/>
        <v>10459</v>
      </c>
      <c r="W38" s="341">
        <f t="shared" si="30"/>
        <v>1238</v>
      </c>
    </row>
    <row r="39">
      <c r="A39" s="276" t="s">
        <v>290</v>
      </c>
      <c r="B39" s="325" t="s">
        <v>231</v>
      </c>
      <c r="C39" s="371" t="s">
        <v>291</v>
      </c>
      <c r="D39" s="277" t="s">
        <v>292</v>
      </c>
      <c r="E39" s="307" t="s">
        <v>37</v>
      </c>
      <c r="F39" s="307" t="s">
        <v>96</v>
      </c>
      <c r="G39" s="277" t="s">
        <v>293</v>
      </c>
      <c r="H39" s="308">
        <v>16303.0</v>
      </c>
      <c r="I39" s="281">
        <v>46295.0</v>
      </c>
      <c r="J39" s="281">
        <v>46166.0</v>
      </c>
      <c r="K39" s="281">
        <v>46295.0</v>
      </c>
      <c r="L39" s="282">
        <v>46014.0</v>
      </c>
      <c r="M39" s="283">
        <v>15971.0</v>
      </c>
      <c r="N39" s="284">
        <f t="shared" si="26"/>
        <v>16321</v>
      </c>
      <c r="O39" s="299">
        <f t="shared" si="27"/>
        <v>18</v>
      </c>
      <c r="P39" s="309">
        <v>45630.0</v>
      </c>
      <c r="Q39" s="288">
        <v>14254.0</v>
      </c>
      <c r="R39" s="288">
        <f t="shared" si="28"/>
        <v>16254</v>
      </c>
      <c r="S39" s="289">
        <f t="shared" si="14"/>
        <v>-49</v>
      </c>
      <c r="T39" s="399">
        <v>45706.0</v>
      </c>
      <c r="U39" s="291">
        <v>14254.0</v>
      </c>
      <c r="V39" s="292">
        <f t="shared" si="29"/>
        <v>16254</v>
      </c>
      <c r="W39" s="289">
        <f t="shared" si="30"/>
        <v>-49</v>
      </c>
    </row>
    <row r="40">
      <c r="A40" s="276" t="s">
        <v>294</v>
      </c>
      <c r="B40" s="325" t="s">
        <v>231</v>
      </c>
      <c r="C40" s="276" t="s">
        <v>295</v>
      </c>
      <c r="D40" s="277" t="s">
        <v>292</v>
      </c>
      <c r="E40" s="307" t="s">
        <v>37</v>
      </c>
      <c r="F40" s="307" t="s">
        <v>96</v>
      </c>
      <c r="G40" s="277" t="s">
        <v>293</v>
      </c>
      <c r="H40" s="308">
        <v>441.0</v>
      </c>
      <c r="I40" s="281">
        <v>46295.0</v>
      </c>
      <c r="J40" s="298">
        <v>46164.0</v>
      </c>
      <c r="K40" s="281">
        <v>46295.0</v>
      </c>
      <c r="L40" s="282">
        <v>45943.0</v>
      </c>
      <c r="M40" s="283">
        <v>69.0</v>
      </c>
      <c r="N40" s="284">
        <f t="shared" si="26"/>
        <v>419</v>
      </c>
      <c r="O40" s="299">
        <f t="shared" si="27"/>
        <v>-22</v>
      </c>
      <c r="P40" s="309">
        <v>45615.0</v>
      </c>
      <c r="Q40" s="288">
        <v>499.0</v>
      </c>
      <c r="R40" s="288">
        <f t="shared" si="28"/>
        <v>2499</v>
      </c>
      <c r="S40" s="289">
        <f t="shared" si="14"/>
        <v>2058</v>
      </c>
      <c r="T40" s="400">
        <v>45615.0</v>
      </c>
      <c r="U40" s="292">
        <v>499.0</v>
      </c>
      <c r="V40" s="292">
        <f t="shared" si="29"/>
        <v>2499</v>
      </c>
      <c r="W40" s="289">
        <f t="shared" si="30"/>
        <v>2058</v>
      </c>
    </row>
    <row r="41">
      <c r="A41" s="371" t="s">
        <v>296</v>
      </c>
      <c r="B41" s="325" t="s">
        <v>231</v>
      </c>
      <c r="C41" s="371" t="s">
        <v>297</v>
      </c>
      <c r="D41" s="277" t="s">
        <v>292</v>
      </c>
      <c r="E41" s="307" t="s">
        <v>37</v>
      </c>
      <c r="F41" s="307" t="s">
        <v>96</v>
      </c>
      <c r="G41" s="277" t="s">
        <v>298</v>
      </c>
      <c r="H41" s="308">
        <v>1130.0</v>
      </c>
      <c r="I41" s="281">
        <v>46295.0</v>
      </c>
      <c r="J41" s="281">
        <v>46275.0</v>
      </c>
      <c r="K41" s="281">
        <v>46295.0</v>
      </c>
      <c r="L41" s="282">
        <v>46091.0</v>
      </c>
      <c r="M41" s="283">
        <v>1111.0</v>
      </c>
      <c r="N41" s="284">
        <f t="shared" si="26"/>
        <v>1461</v>
      </c>
      <c r="O41" s="299">
        <f t="shared" si="27"/>
        <v>331</v>
      </c>
      <c r="P41" s="309">
        <v>45617.0</v>
      </c>
      <c r="Q41" s="287">
        <v>34.0</v>
      </c>
      <c r="R41" s="288">
        <f t="shared" si="28"/>
        <v>2034</v>
      </c>
      <c r="S41" s="289">
        <f t="shared" si="14"/>
        <v>904</v>
      </c>
      <c r="T41" s="400">
        <v>45617.0</v>
      </c>
      <c r="U41" s="291">
        <v>34.0</v>
      </c>
      <c r="V41" s="292">
        <f t="shared" si="29"/>
        <v>2034</v>
      </c>
      <c r="W41" s="289">
        <f t="shared" si="30"/>
        <v>904</v>
      </c>
    </row>
    <row r="42">
      <c r="A42" s="276" t="s">
        <v>299</v>
      </c>
      <c r="B42" s="325" t="s">
        <v>231</v>
      </c>
      <c r="C42" s="276" t="s">
        <v>300</v>
      </c>
      <c r="D42" s="277" t="s">
        <v>292</v>
      </c>
      <c r="E42" s="307" t="s">
        <v>301</v>
      </c>
      <c r="F42" s="307" t="s">
        <v>96</v>
      </c>
      <c r="G42" s="277" t="s">
        <v>298</v>
      </c>
      <c r="H42" s="308">
        <v>919.0</v>
      </c>
      <c r="I42" s="325"/>
      <c r="J42" s="401">
        <v>46104.0</v>
      </c>
      <c r="K42" s="281">
        <v>46295.0</v>
      </c>
      <c r="L42" s="282">
        <v>45902.0</v>
      </c>
      <c r="M42" s="283">
        <v>736.0</v>
      </c>
      <c r="N42" s="284">
        <f t="shared" si="26"/>
        <v>1086</v>
      </c>
      <c r="O42" s="299">
        <f t="shared" si="27"/>
        <v>167</v>
      </c>
      <c r="P42" s="323"/>
      <c r="Q42" s="302"/>
      <c r="R42" s="288">
        <f t="shared" si="28"/>
        <v>2000</v>
      </c>
      <c r="S42" s="289">
        <f t="shared" si="14"/>
        <v>1081</v>
      </c>
      <c r="T42" s="324"/>
      <c r="U42" s="305"/>
      <c r="V42" s="292">
        <f t="shared" si="29"/>
        <v>2000</v>
      </c>
      <c r="W42" s="293">
        <f t="shared" si="30"/>
        <v>1081</v>
      </c>
    </row>
    <row r="43">
      <c r="A43" s="276" t="s">
        <v>302</v>
      </c>
      <c r="B43" s="325" t="s">
        <v>231</v>
      </c>
      <c r="C43" s="276" t="s">
        <v>303</v>
      </c>
      <c r="D43" s="277" t="s">
        <v>292</v>
      </c>
      <c r="E43" s="307" t="s">
        <v>37</v>
      </c>
      <c r="F43" s="307" t="s">
        <v>96</v>
      </c>
      <c r="G43" s="277" t="s">
        <v>298</v>
      </c>
      <c r="H43" s="308">
        <v>453.0</v>
      </c>
      <c r="I43" s="325"/>
      <c r="J43" s="401">
        <v>45918.0</v>
      </c>
      <c r="K43" s="281">
        <v>46295.0</v>
      </c>
      <c r="L43" s="402">
        <v>45835.0</v>
      </c>
      <c r="M43" s="283">
        <v>358.0</v>
      </c>
      <c r="N43" s="284">
        <f t="shared" si="26"/>
        <v>708</v>
      </c>
      <c r="O43" s="299">
        <f t="shared" si="27"/>
        <v>255</v>
      </c>
      <c r="P43" s="323"/>
      <c r="Q43" s="302"/>
      <c r="R43" s="288">
        <f t="shared" si="28"/>
        <v>2000</v>
      </c>
      <c r="S43" s="289">
        <f t="shared" si="14"/>
        <v>1547</v>
      </c>
      <c r="T43" s="324"/>
      <c r="U43" s="305"/>
      <c r="V43" s="292">
        <f t="shared" si="29"/>
        <v>2000</v>
      </c>
      <c r="W43" s="289">
        <f t="shared" si="30"/>
        <v>1547</v>
      </c>
    </row>
    <row r="44">
      <c r="A44" s="276" t="s">
        <v>304</v>
      </c>
      <c r="B44" s="325" t="s">
        <v>231</v>
      </c>
      <c r="C44" s="276" t="s">
        <v>305</v>
      </c>
      <c r="D44" s="277" t="s">
        <v>292</v>
      </c>
      <c r="E44" s="307" t="s">
        <v>37</v>
      </c>
      <c r="F44" s="307" t="s">
        <v>96</v>
      </c>
      <c r="G44" s="277" t="s">
        <v>298</v>
      </c>
      <c r="H44" s="308">
        <v>21449.0</v>
      </c>
      <c r="I44" s="281">
        <v>46295.0</v>
      </c>
      <c r="J44" s="281">
        <v>46080.0</v>
      </c>
      <c r="K44" s="281">
        <v>46295.0</v>
      </c>
      <c r="L44" s="282">
        <v>45674.0</v>
      </c>
      <c r="M44" s="283">
        <v>21300.0</v>
      </c>
      <c r="N44" s="284">
        <f t="shared" si="26"/>
        <v>21650</v>
      </c>
      <c r="O44" s="299">
        <f t="shared" si="27"/>
        <v>201</v>
      </c>
      <c r="P44" s="309">
        <v>45628.0</v>
      </c>
      <c r="Q44" s="288">
        <v>20128.0</v>
      </c>
      <c r="R44" s="288">
        <f t="shared" si="28"/>
        <v>22128</v>
      </c>
      <c r="S44" s="289">
        <f t="shared" si="14"/>
        <v>679</v>
      </c>
      <c r="T44" s="400">
        <v>45628.0</v>
      </c>
      <c r="U44" s="292">
        <v>20128.0</v>
      </c>
      <c r="V44" s="292">
        <f t="shared" si="29"/>
        <v>22128</v>
      </c>
      <c r="W44" s="289">
        <f t="shared" si="30"/>
        <v>679</v>
      </c>
    </row>
    <row r="45">
      <c r="A45" s="276" t="s">
        <v>306</v>
      </c>
      <c r="B45" s="325" t="s">
        <v>231</v>
      </c>
      <c r="C45" s="276" t="s">
        <v>307</v>
      </c>
      <c r="D45" s="277" t="s">
        <v>292</v>
      </c>
      <c r="E45" s="307" t="s">
        <v>37</v>
      </c>
      <c r="F45" s="307" t="s">
        <v>96</v>
      </c>
      <c r="G45" s="277" t="s">
        <v>298</v>
      </c>
      <c r="H45" s="332">
        <v>1703.0</v>
      </c>
      <c r="I45" s="325"/>
      <c r="J45" s="401">
        <v>46084.0</v>
      </c>
      <c r="K45" s="281">
        <v>46295.0</v>
      </c>
      <c r="L45" s="403"/>
      <c r="M45" s="404">
        <v>1670.0</v>
      </c>
      <c r="N45" s="284">
        <f t="shared" si="26"/>
        <v>2020</v>
      </c>
      <c r="O45" s="299">
        <f t="shared" si="27"/>
        <v>317</v>
      </c>
      <c r="P45" s="323"/>
      <c r="Q45" s="302"/>
      <c r="R45" s="288">
        <f t="shared" si="28"/>
        <v>2000</v>
      </c>
      <c r="S45" s="289">
        <f t="shared" si="14"/>
        <v>297</v>
      </c>
      <c r="T45" s="324"/>
      <c r="U45" s="305"/>
      <c r="V45" s="292">
        <f t="shared" si="29"/>
        <v>2000</v>
      </c>
      <c r="W45" s="289">
        <f t="shared" si="30"/>
        <v>297</v>
      </c>
    </row>
    <row r="46">
      <c r="A46" s="276" t="s">
        <v>308</v>
      </c>
      <c r="B46" s="325" t="s">
        <v>231</v>
      </c>
      <c r="C46" s="276" t="s">
        <v>309</v>
      </c>
      <c r="D46" s="277" t="s">
        <v>292</v>
      </c>
      <c r="E46" s="307" t="s">
        <v>37</v>
      </c>
      <c r="F46" s="307" t="s">
        <v>96</v>
      </c>
      <c r="G46" s="277" t="s">
        <v>298</v>
      </c>
      <c r="H46" s="280">
        <v>20076.0</v>
      </c>
      <c r="I46" s="281">
        <v>46295.0</v>
      </c>
      <c r="J46" s="281">
        <v>46067.0</v>
      </c>
      <c r="K46" s="281">
        <v>46295.0</v>
      </c>
      <c r="L46" s="282">
        <v>46064.0</v>
      </c>
      <c r="M46" s="283">
        <v>20043.0</v>
      </c>
      <c r="N46" s="284">
        <f t="shared" si="26"/>
        <v>20393</v>
      </c>
      <c r="O46" s="299">
        <f t="shared" si="27"/>
        <v>317</v>
      </c>
      <c r="P46" s="382">
        <v>45747.0</v>
      </c>
      <c r="Q46" s="301">
        <v>18873.0</v>
      </c>
      <c r="R46" s="288">
        <f t="shared" si="28"/>
        <v>20873</v>
      </c>
      <c r="S46" s="289">
        <f t="shared" si="14"/>
        <v>797</v>
      </c>
      <c r="T46" s="382">
        <v>45747.0</v>
      </c>
      <c r="U46" s="304">
        <v>18873.0</v>
      </c>
      <c r="V46" s="292">
        <f t="shared" si="29"/>
        <v>20873</v>
      </c>
      <c r="W46" s="289">
        <f t="shared" si="30"/>
        <v>797</v>
      </c>
    </row>
    <row r="47">
      <c r="A47" s="276" t="s">
        <v>310</v>
      </c>
      <c r="B47" s="325" t="s">
        <v>231</v>
      </c>
      <c r="C47" s="276" t="s">
        <v>311</v>
      </c>
      <c r="D47" s="277" t="s">
        <v>292</v>
      </c>
      <c r="E47" s="307" t="s">
        <v>37</v>
      </c>
      <c r="F47" s="307" t="s">
        <v>96</v>
      </c>
      <c r="G47" s="277" t="s">
        <v>298</v>
      </c>
      <c r="H47" s="280">
        <v>19782.0</v>
      </c>
      <c r="I47" s="325"/>
      <c r="J47" s="281">
        <v>46245.0</v>
      </c>
      <c r="K47" s="281">
        <v>46295.0</v>
      </c>
      <c r="L47" s="402">
        <v>46020.0</v>
      </c>
      <c r="M47" s="283">
        <v>19627.0</v>
      </c>
      <c r="N47" s="284">
        <f t="shared" si="26"/>
        <v>19977</v>
      </c>
      <c r="O47" s="299">
        <f t="shared" si="27"/>
        <v>195</v>
      </c>
      <c r="P47" s="343">
        <v>45736.0</v>
      </c>
      <c r="Q47" s="287">
        <v>18876.0</v>
      </c>
      <c r="R47" s="288">
        <f t="shared" si="28"/>
        <v>20876</v>
      </c>
      <c r="S47" s="289">
        <f t="shared" si="14"/>
        <v>1094</v>
      </c>
      <c r="T47" s="344">
        <v>45736.0</v>
      </c>
      <c r="U47" s="291">
        <v>18876.0</v>
      </c>
      <c r="V47" s="292">
        <f t="shared" si="29"/>
        <v>20876</v>
      </c>
      <c r="W47" s="289">
        <f t="shared" si="30"/>
        <v>1094</v>
      </c>
    </row>
    <row r="48">
      <c r="A48" s="294" t="s">
        <v>312</v>
      </c>
      <c r="B48" s="294" t="s">
        <v>231</v>
      </c>
      <c r="C48" s="294" t="s">
        <v>313</v>
      </c>
      <c r="D48" s="295" t="s">
        <v>292</v>
      </c>
      <c r="E48" s="296" t="s">
        <v>22</v>
      </c>
      <c r="F48" s="313"/>
      <c r="G48" s="295" t="s">
        <v>298</v>
      </c>
      <c r="H48" s="405">
        <v>1.0</v>
      </c>
      <c r="I48" s="294"/>
      <c r="J48" s="384"/>
      <c r="K48" s="357">
        <v>46295.0</v>
      </c>
      <c r="L48" s="406"/>
      <c r="M48" s="295"/>
      <c r="N48" s="314">
        <f t="shared" si="26"/>
        <v>350</v>
      </c>
      <c r="O48" s="316">
        <f t="shared" si="27"/>
        <v>349</v>
      </c>
      <c r="P48" s="317"/>
      <c r="Q48" s="295"/>
      <c r="R48" s="314">
        <f t="shared" si="28"/>
        <v>2000</v>
      </c>
      <c r="S48" s="341">
        <f t="shared" si="14"/>
        <v>1999</v>
      </c>
      <c r="T48" s="395"/>
      <c r="U48" s="295"/>
      <c r="V48" s="314">
        <f t="shared" si="29"/>
        <v>2000</v>
      </c>
      <c r="W48" s="341">
        <f t="shared" si="30"/>
        <v>1999</v>
      </c>
      <c r="Y48" s="25" t="s">
        <v>314</v>
      </c>
    </row>
    <row r="49">
      <c r="A49" s="276" t="s">
        <v>315</v>
      </c>
      <c r="B49" s="325" t="s">
        <v>231</v>
      </c>
      <c r="C49" s="276" t="s">
        <v>316</v>
      </c>
      <c r="D49" s="277" t="s">
        <v>292</v>
      </c>
      <c r="E49" s="307" t="s">
        <v>37</v>
      </c>
      <c r="F49" s="307" t="s">
        <v>96</v>
      </c>
      <c r="G49" s="277" t="s">
        <v>298</v>
      </c>
      <c r="H49" s="280">
        <v>22704.0</v>
      </c>
      <c r="I49" s="281">
        <v>46295.0</v>
      </c>
      <c r="J49" s="401">
        <v>46097.0</v>
      </c>
      <c r="K49" s="281">
        <v>46295.0</v>
      </c>
      <c r="L49" s="282">
        <v>46008.0</v>
      </c>
      <c r="M49" s="283">
        <v>22537.0</v>
      </c>
      <c r="N49" s="284">
        <f t="shared" si="26"/>
        <v>22887</v>
      </c>
      <c r="O49" s="299">
        <f t="shared" si="27"/>
        <v>183</v>
      </c>
      <c r="P49" s="282">
        <v>45789.0</v>
      </c>
      <c r="Q49" s="287">
        <v>21727.0</v>
      </c>
      <c r="R49" s="288">
        <f t="shared" si="28"/>
        <v>23727</v>
      </c>
      <c r="S49" s="289">
        <f t="shared" si="14"/>
        <v>1023</v>
      </c>
      <c r="T49" s="400">
        <v>45637.0</v>
      </c>
      <c r="U49" s="292">
        <v>21355.0</v>
      </c>
      <c r="V49" s="292">
        <f t="shared" si="29"/>
        <v>23355</v>
      </c>
      <c r="W49" s="289">
        <f t="shared" si="30"/>
        <v>651</v>
      </c>
    </row>
    <row r="50">
      <c r="A50" s="346" t="s">
        <v>317</v>
      </c>
      <c r="B50" s="346" t="s">
        <v>231</v>
      </c>
      <c r="C50" s="346" t="s">
        <v>318</v>
      </c>
      <c r="D50" s="347" t="s">
        <v>292</v>
      </c>
      <c r="E50" s="348" t="s">
        <v>37</v>
      </c>
      <c r="F50" s="348" t="s">
        <v>96</v>
      </c>
      <c r="G50" s="347" t="s">
        <v>298</v>
      </c>
      <c r="H50" s="407">
        <v>482.0</v>
      </c>
      <c r="I50" s="351">
        <v>46295.0</v>
      </c>
      <c r="J50" s="364">
        <v>46269.0</v>
      </c>
      <c r="K50" s="351">
        <v>46295.0</v>
      </c>
      <c r="L50" s="408">
        <v>46086.0</v>
      </c>
      <c r="M50" s="283">
        <v>447.0</v>
      </c>
      <c r="N50" s="284">
        <f t="shared" si="26"/>
        <v>797</v>
      </c>
      <c r="O50" s="299">
        <f t="shared" si="27"/>
        <v>315</v>
      </c>
      <c r="P50" s="382">
        <v>45638.0</v>
      </c>
      <c r="Q50" s="301">
        <v>19450.0</v>
      </c>
      <c r="R50" s="288">
        <f t="shared" si="28"/>
        <v>21450</v>
      </c>
      <c r="S50" s="289">
        <f t="shared" si="14"/>
        <v>20968</v>
      </c>
      <c r="T50" s="383">
        <v>45638.0</v>
      </c>
      <c r="U50" s="304">
        <v>19450.0</v>
      </c>
      <c r="V50" s="292">
        <f t="shared" si="29"/>
        <v>21450</v>
      </c>
      <c r="W50" s="289">
        <f t="shared" si="30"/>
        <v>20968</v>
      </c>
    </row>
    <row r="51">
      <c r="A51" s="346" t="s">
        <v>319</v>
      </c>
      <c r="B51" s="346" t="s">
        <v>231</v>
      </c>
      <c r="C51" s="409" t="s">
        <v>320</v>
      </c>
      <c r="D51" s="348" t="s">
        <v>223</v>
      </c>
      <c r="E51" s="348"/>
      <c r="F51" s="348" t="s">
        <v>96</v>
      </c>
      <c r="G51" s="348" t="s">
        <v>321</v>
      </c>
      <c r="H51" s="349">
        <v>906.0</v>
      </c>
      <c r="I51" s="351">
        <v>46295.0</v>
      </c>
      <c r="J51" s="351">
        <v>46107.0</v>
      </c>
      <c r="K51" s="351">
        <v>46295.0</v>
      </c>
      <c r="L51" s="410">
        <v>46048.0</v>
      </c>
      <c r="M51" s="283">
        <v>604.0</v>
      </c>
      <c r="N51" s="284">
        <f t="shared" si="26"/>
        <v>954</v>
      </c>
      <c r="O51" s="299">
        <f t="shared" si="27"/>
        <v>48</v>
      </c>
      <c r="P51" s="323"/>
      <c r="Q51" s="288"/>
      <c r="R51" s="288">
        <f t="shared" si="28"/>
        <v>2000</v>
      </c>
      <c r="S51" s="289">
        <f t="shared" si="14"/>
        <v>1094</v>
      </c>
      <c r="T51" s="334"/>
      <c r="U51" s="292"/>
      <c r="V51" s="292">
        <f t="shared" si="29"/>
        <v>2000</v>
      </c>
      <c r="W51" s="289">
        <f t="shared" si="30"/>
        <v>1094</v>
      </c>
    </row>
    <row r="52">
      <c r="A52" s="276" t="s">
        <v>322</v>
      </c>
      <c r="B52" s="276" t="s">
        <v>231</v>
      </c>
      <c r="C52" s="279" t="s">
        <v>323</v>
      </c>
      <c r="D52" s="307" t="s">
        <v>223</v>
      </c>
      <c r="E52" s="307"/>
      <c r="F52" s="307" t="s">
        <v>96</v>
      </c>
      <c r="G52" s="307" t="s">
        <v>321</v>
      </c>
      <c r="H52" s="411">
        <v>912.0</v>
      </c>
      <c r="I52" s="412">
        <v>46295.0</v>
      </c>
      <c r="J52" s="412">
        <v>46113.0</v>
      </c>
      <c r="K52" s="412">
        <v>46295.0</v>
      </c>
      <c r="L52" s="282">
        <v>46048.0</v>
      </c>
      <c r="M52" s="283">
        <v>604.0</v>
      </c>
      <c r="N52" s="284">
        <f t="shared" si="26"/>
        <v>954</v>
      </c>
      <c r="O52" s="299">
        <f t="shared" si="27"/>
        <v>42</v>
      </c>
      <c r="P52" s="413"/>
      <c r="Q52" s="288"/>
      <c r="R52" s="288">
        <f t="shared" si="28"/>
        <v>2000</v>
      </c>
      <c r="S52" s="289">
        <f t="shared" si="14"/>
        <v>1088</v>
      </c>
      <c r="T52" s="414"/>
      <c r="U52" s="292"/>
      <c r="V52" s="292">
        <f t="shared" si="29"/>
        <v>2000</v>
      </c>
      <c r="W52" s="289">
        <f t="shared" si="30"/>
        <v>1088</v>
      </c>
    </row>
    <row r="53">
      <c r="A53" s="346" t="s">
        <v>324</v>
      </c>
      <c r="B53" s="346" t="s">
        <v>231</v>
      </c>
      <c r="C53" s="409" t="s">
        <v>325</v>
      </c>
      <c r="D53" s="348" t="s">
        <v>223</v>
      </c>
      <c r="E53" s="348"/>
      <c r="F53" s="348" t="s">
        <v>96</v>
      </c>
      <c r="G53" s="348" t="s">
        <v>326</v>
      </c>
      <c r="H53" s="407">
        <v>1403.0</v>
      </c>
      <c r="I53" s="351">
        <v>46295.0</v>
      </c>
      <c r="J53" s="351">
        <v>46107.0</v>
      </c>
      <c r="K53" s="351">
        <v>46295.0</v>
      </c>
      <c r="L53" s="410" t="s">
        <v>327</v>
      </c>
      <c r="M53" s="283">
        <v>1287.0</v>
      </c>
      <c r="N53" s="283">
        <f t="shared" ref="N53:N54" si="31">M53+600</f>
        <v>1887</v>
      </c>
      <c r="O53" s="299">
        <f t="shared" si="27"/>
        <v>484</v>
      </c>
      <c r="P53" s="323"/>
      <c r="Q53" s="288"/>
      <c r="R53" s="288">
        <f t="shared" si="28"/>
        <v>2000</v>
      </c>
      <c r="S53" s="289">
        <f t="shared" si="14"/>
        <v>597</v>
      </c>
      <c r="T53" s="334"/>
      <c r="U53" s="292"/>
      <c r="V53" s="292">
        <f t="shared" si="29"/>
        <v>2000</v>
      </c>
      <c r="W53" s="289">
        <f t="shared" si="30"/>
        <v>597</v>
      </c>
    </row>
    <row r="54">
      <c r="A54" s="346" t="s">
        <v>328</v>
      </c>
      <c r="B54" s="346" t="s">
        <v>231</v>
      </c>
      <c r="C54" s="409" t="s">
        <v>329</v>
      </c>
      <c r="D54" s="348" t="s">
        <v>223</v>
      </c>
      <c r="E54" s="348"/>
      <c r="F54" s="348" t="s">
        <v>96</v>
      </c>
      <c r="G54" s="348" t="s">
        <v>326</v>
      </c>
      <c r="H54" s="349">
        <v>1489.0</v>
      </c>
      <c r="I54" s="351">
        <v>46295.0</v>
      </c>
      <c r="J54" s="351">
        <v>46107.0</v>
      </c>
      <c r="K54" s="351">
        <v>46295.0</v>
      </c>
      <c r="L54" s="410">
        <v>46077.0</v>
      </c>
      <c r="M54" s="283">
        <v>1287.0</v>
      </c>
      <c r="N54" s="283">
        <f t="shared" si="31"/>
        <v>1887</v>
      </c>
      <c r="O54" s="299">
        <f t="shared" si="27"/>
        <v>398</v>
      </c>
      <c r="P54" s="323"/>
      <c r="Q54" s="288"/>
      <c r="R54" s="288">
        <f t="shared" si="28"/>
        <v>2000</v>
      </c>
      <c r="S54" s="289">
        <f t="shared" si="14"/>
        <v>511</v>
      </c>
      <c r="T54" s="334"/>
      <c r="U54" s="292"/>
      <c r="V54" s="292">
        <f t="shared" si="29"/>
        <v>2000</v>
      </c>
      <c r="W54" s="289">
        <f t="shared" si="30"/>
        <v>511</v>
      </c>
    </row>
    <row r="55">
      <c r="A55" s="276" t="s">
        <v>330</v>
      </c>
      <c r="B55" s="325" t="s">
        <v>331</v>
      </c>
      <c r="C55" s="276" t="s">
        <v>332</v>
      </c>
      <c r="D55" s="277" t="s">
        <v>223</v>
      </c>
      <c r="E55" s="307" t="s">
        <v>37</v>
      </c>
      <c r="F55" s="307" t="s">
        <v>96</v>
      </c>
      <c r="G55" s="277" t="s">
        <v>333</v>
      </c>
      <c r="H55" s="280">
        <v>2107.0</v>
      </c>
      <c r="I55" s="281">
        <v>46295.0</v>
      </c>
      <c r="J55" s="281">
        <v>46271.0</v>
      </c>
      <c r="K55" s="281">
        <v>46295.0</v>
      </c>
      <c r="L55" s="282">
        <v>45976.0</v>
      </c>
      <c r="M55" s="283">
        <v>2000.0</v>
      </c>
      <c r="N55" s="284">
        <f>M55+350</f>
        <v>2350</v>
      </c>
      <c r="O55" s="299">
        <f t="shared" si="27"/>
        <v>243</v>
      </c>
      <c r="P55" s="415">
        <v>45976.0</v>
      </c>
      <c r="Q55" s="287">
        <v>2000.0</v>
      </c>
      <c r="R55" s="288">
        <f t="shared" si="28"/>
        <v>4000</v>
      </c>
      <c r="S55" s="289">
        <f t="shared" si="14"/>
        <v>1893</v>
      </c>
      <c r="T55" s="334">
        <v>45523.0</v>
      </c>
      <c r="U55" s="292">
        <v>742.0</v>
      </c>
      <c r="V55" s="292">
        <f t="shared" si="29"/>
        <v>2742</v>
      </c>
      <c r="W55" s="289">
        <f t="shared" si="30"/>
        <v>635</v>
      </c>
    </row>
    <row r="56">
      <c r="A56" s="276" t="s">
        <v>334</v>
      </c>
      <c r="B56" s="325" t="s">
        <v>331</v>
      </c>
      <c r="C56" s="276" t="s">
        <v>335</v>
      </c>
      <c r="D56" s="277" t="s">
        <v>193</v>
      </c>
      <c r="E56" s="307" t="s">
        <v>37</v>
      </c>
      <c r="F56" s="307" t="s">
        <v>28</v>
      </c>
      <c r="G56" s="416">
        <v>7600.0</v>
      </c>
      <c r="H56" s="280">
        <v>688051.0</v>
      </c>
      <c r="I56" s="298">
        <v>46295.0</v>
      </c>
      <c r="J56" s="281">
        <v>46157.0</v>
      </c>
      <c r="K56" s="281">
        <v>46295.0</v>
      </c>
      <c r="L56" s="282">
        <v>46090.0</v>
      </c>
      <c r="M56" s="283">
        <v>687837.0</v>
      </c>
      <c r="N56" s="284">
        <f>M56+10000</f>
        <v>697837</v>
      </c>
      <c r="O56" s="299">
        <f t="shared" si="27"/>
        <v>9786</v>
      </c>
      <c r="P56" s="326">
        <v>45959.0</v>
      </c>
      <c r="Q56" s="287">
        <v>676990.0</v>
      </c>
      <c r="R56" s="288">
        <f>Q56+40000</f>
        <v>716990</v>
      </c>
      <c r="S56" s="289">
        <f t="shared" si="14"/>
        <v>28939</v>
      </c>
      <c r="T56" s="327">
        <v>45959.0</v>
      </c>
      <c r="U56" s="291">
        <v>676990.0</v>
      </c>
      <c r="V56" s="292">
        <f>U56+40000</f>
        <v>716990</v>
      </c>
      <c r="W56" s="289">
        <f t="shared" si="30"/>
        <v>28939</v>
      </c>
    </row>
    <row r="57">
      <c r="A57" s="371" t="s">
        <v>336</v>
      </c>
      <c r="B57" s="325" t="s">
        <v>331</v>
      </c>
      <c r="C57" s="276" t="s">
        <v>337</v>
      </c>
      <c r="D57" s="277" t="s">
        <v>159</v>
      </c>
      <c r="E57" s="307" t="s">
        <v>78</v>
      </c>
      <c r="F57" s="307" t="s">
        <v>96</v>
      </c>
      <c r="G57" s="277" t="s">
        <v>338</v>
      </c>
      <c r="H57" s="308">
        <v>6268.0</v>
      </c>
      <c r="I57" s="298">
        <v>46295.0</v>
      </c>
      <c r="J57" s="281">
        <v>46129.0</v>
      </c>
      <c r="K57" s="281">
        <v>46295.0</v>
      </c>
      <c r="L57" s="282">
        <v>46058.0</v>
      </c>
      <c r="M57" s="283">
        <v>6047.0</v>
      </c>
      <c r="N57" s="284">
        <f t="shared" ref="N57:N58" si="32">M57+350</f>
        <v>6397</v>
      </c>
      <c r="O57" s="299">
        <f t="shared" si="27"/>
        <v>129</v>
      </c>
      <c r="P57" s="282">
        <v>45807.0</v>
      </c>
      <c r="Q57" s="287">
        <v>4842.0</v>
      </c>
      <c r="R57" s="288">
        <f t="shared" ref="R57:R58" si="33">Q57+2000</f>
        <v>6842</v>
      </c>
      <c r="S57" s="289">
        <f t="shared" si="14"/>
        <v>574</v>
      </c>
      <c r="T57" s="282">
        <v>45807.0</v>
      </c>
      <c r="U57" s="291">
        <v>4842.0</v>
      </c>
      <c r="V57" s="292">
        <f t="shared" ref="V57:V58" si="34">U57+2000</f>
        <v>6842</v>
      </c>
      <c r="W57" s="289">
        <f t="shared" si="30"/>
        <v>574</v>
      </c>
    </row>
    <row r="58">
      <c r="A58" s="417" t="s">
        <v>339</v>
      </c>
      <c r="B58" s="325" t="s">
        <v>340</v>
      </c>
      <c r="C58" s="276" t="s">
        <v>341</v>
      </c>
      <c r="D58" s="277" t="s">
        <v>120</v>
      </c>
      <c r="E58" s="307" t="s">
        <v>342</v>
      </c>
      <c r="F58" s="307" t="s">
        <v>96</v>
      </c>
      <c r="G58" s="277" t="s">
        <v>343</v>
      </c>
      <c r="H58" s="319">
        <v>138463.0</v>
      </c>
      <c r="I58" s="418">
        <v>45930.0</v>
      </c>
      <c r="J58" s="418">
        <v>45826.0</v>
      </c>
      <c r="K58" s="418">
        <v>45930.0</v>
      </c>
      <c r="L58" s="403"/>
      <c r="M58" s="404">
        <v>138113.0</v>
      </c>
      <c r="N58" s="284">
        <f t="shared" si="32"/>
        <v>138463</v>
      </c>
      <c r="O58" s="299">
        <f t="shared" si="27"/>
        <v>0</v>
      </c>
      <c r="P58" s="323"/>
      <c r="Q58" s="301">
        <v>138113.0</v>
      </c>
      <c r="R58" s="288">
        <f t="shared" si="33"/>
        <v>140113</v>
      </c>
      <c r="S58" s="289">
        <f t="shared" si="14"/>
        <v>1650</v>
      </c>
      <c r="T58" s="324"/>
      <c r="U58" s="304">
        <v>138113.0</v>
      </c>
      <c r="V58" s="292">
        <f t="shared" si="34"/>
        <v>140113</v>
      </c>
      <c r="W58" s="289">
        <f t="shared" si="30"/>
        <v>1650</v>
      </c>
    </row>
    <row r="59">
      <c r="A59" s="276" t="s">
        <v>344</v>
      </c>
      <c r="B59" s="325" t="s">
        <v>340</v>
      </c>
      <c r="C59" s="276" t="s">
        <v>345</v>
      </c>
      <c r="D59" s="277" t="s">
        <v>233</v>
      </c>
      <c r="E59" s="307" t="s">
        <v>37</v>
      </c>
      <c r="F59" s="307" t="s">
        <v>28</v>
      </c>
      <c r="G59" s="277" t="s">
        <v>346</v>
      </c>
      <c r="H59" s="308">
        <v>190254.0</v>
      </c>
      <c r="I59" s="298">
        <v>46295.0</v>
      </c>
      <c r="J59" s="281">
        <v>46189.0</v>
      </c>
      <c r="K59" s="281">
        <v>46295.0</v>
      </c>
      <c r="L59" s="419"/>
      <c r="M59" s="420">
        <v>181899.0</v>
      </c>
      <c r="N59" s="420">
        <f>M59+10000</f>
        <v>191899</v>
      </c>
      <c r="O59" s="299">
        <f t="shared" si="27"/>
        <v>1645</v>
      </c>
      <c r="P59" s="421"/>
      <c r="Q59" s="422">
        <v>181899.0</v>
      </c>
      <c r="R59" s="422">
        <f>Q59+40000</f>
        <v>221899</v>
      </c>
      <c r="S59" s="289">
        <f t="shared" si="14"/>
        <v>31645</v>
      </c>
      <c r="T59" s="423"/>
      <c r="U59" s="424">
        <v>181899.0</v>
      </c>
      <c r="V59" s="424">
        <f>U59+40000</f>
        <v>221899</v>
      </c>
      <c r="W59" s="425">
        <f t="shared" si="30"/>
        <v>31645</v>
      </c>
    </row>
    <row r="60">
      <c r="H60" s="252" t="s">
        <v>161</v>
      </c>
      <c r="O60" s="252"/>
      <c r="S60" s="252"/>
      <c r="W60" s="252"/>
    </row>
    <row r="61">
      <c r="H61" s="252" t="s">
        <v>161</v>
      </c>
      <c r="W61" s="252"/>
    </row>
    <row r="62">
      <c r="H62" s="252" t="s">
        <v>161</v>
      </c>
      <c r="W62" s="252"/>
    </row>
    <row r="63">
      <c r="H63" s="252" t="s">
        <v>161</v>
      </c>
      <c r="W63" s="252"/>
    </row>
    <row r="64">
      <c r="H64" s="252" t="s">
        <v>161</v>
      </c>
      <c r="W64" s="252"/>
    </row>
    <row r="65">
      <c r="H65" s="252" t="s">
        <v>161</v>
      </c>
      <c r="J65" s="25" t="s">
        <v>347</v>
      </c>
      <c r="W65" s="252"/>
    </row>
    <row r="66">
      <c r="H66" s="252" t="s">
        <v>161</v>
      </c>
    </row>
    <row r="67">
      <c r="H67" s="252" t="s">
        <v>161</v>
      </c>
    </row>
    <row r="68">
      <c r="H68" s="252" t="s">
        <v>161</v>
      </c>
    </row>
    <row r="69">
      <c r="H69" s="252" t="s">
        <v>161</v>
      </c>
    </row>
    <row r="70">
      <c r="H70" s="252" t="s">
        <v>161</v>
      </c>
    </row>
    <row r="71">
      <c r="H71" s="252" t="s">
        <v>161</v>
      </c>
    </row>
    <row r="72">
      <c r="H72" s="252" t="s">
        <v>161</v>
      </c>
    </row>
    <row r="73">
      <c r="H73" s="252" t="s">
        <v>161</v>
      </c>
    </row>
    <row r="74">
      <c r="H74" s="252" t="s">
        <v>161</v>
      </c>
    </row>
    <row r="75">
      <c r="H75" s="252" t="s">
        <v>161</v>
      </c>
    </row>
    <row r="76">
      <c r="H76" s="252" t="s">
        <v>161</v>
      </c>
    </row>
    <row r="77">
      <c r="H77" s="252" t="s">
        <v>161</v>
      </c>
    </row>
    <row r="78">
      <c r="H78" s="252" t="s">
        <v>161</v>
      </c>
    </row>
    <row r="79">
      <c r="H79" s="252" t="s">
        <v>161</v>
      </c>
    </row>
    <row r="80">
      <c r="H80" s="252" t="s">
        <v>161</v>
      </c>
    </row>
    <row r="81">
      <c r="H81" s="252" t="s">
        <v>161</v>
      </c>
    </row>
    <row r="82">
      <c r="H82" s="252" t="s">
        <v>161</v>
      </c>
    </row>
    <row r="83">
      <c r="H83" s="252" t="s">
        <v>161</v>
      </c>
    </row>
    <row r="84">
      <c r="H84" s="252" t="s">
        <v>161</v>
      </c>
    </row>
    <row r="85">
      <c r="H85" s="252" t="s">
        <v>161</v>
      </c>
    </row>
    <row r="86">
      <c r="H86" s="252" t="s">
        <v>161</v>
      </c>
    </row>
    <row r="87">
      <c r="H87" s="252" t="s">
        <v>161</v>
      </c>
    </row>
    <row r="88">
      <c r="H88" s="252" t="s">
        <v>161</v>
      </c>
    </row>
    <row r="89">
      <c r="H89" s="252" t="s">
        <v>161</v>
      </c>
    </row>
    <row r="90">
      <c r="H90" s="252" t="s">
        <v>161</v>
      </c>
    </row>
    <row r="91">
      <c r="H91" s="252" t="s">
        <v>161</v>
      </c>
    </row>
    <row r="92">
      <c r="H92" s="252" t="s">
        <v>161</v>
      </c>
    </row>
    <row r="93">
      <c r="H93" s="252" t="s">
        <v>161</v>
      </c>
    </row>
    <row r="94">
      <c r="H94" s="252" t="s">
        <v>161</v>
      </c>
    </row>
    <row r="95">
      <c r="H95" s="252" t="s">
        <v>161</v>
      </c>
    </row>
    <row r="96">
      <c r="H96" s="252" t="s">
        <v>161</v>
      </c>
    </row>
    <row r="97">
      <c r="H97" s="252" t="s">
        <v>161</v>
      </c>
    </row>
    <row r="98">
      <c r="H98" s="252" t="s">
        <v>161</v>
      </c>
    </row>
    <row r="99">
      <c r="H99" s="252" t="s">
        <v>161</v>
      </c>
    </row>
    <row r="100">
      <c r="H100" s="252" t="s">
        <v>161</v>
      </c>
    </row>
    <row r="101">
      <c r="H101" s="252" t="s">
        <v>161</v>
      </c>
    </row>
    <row r="102">
      <c r="H102" s="252" t="s">
        <v>161</v>
      </c>
    </row>
    <row r="103">
      <c r="H103" s="252" t="s">
        <v>161</v>
      </c>
    </row>
    <row r="104">
      <c r="H104" s="252" t="s">
        <v>161</v>
      </c>
    </row>
    <row r="105">
      <c r="H105" s="252" t="s">
        <v>161</v>
      </c>
    </row>
    <row r="106">
      <c r="H106" s="252" t="s">
        <v>161</v>
      </c>
    </row>
    <row r="107">
      <c r="H107" s="252" t="s">
        <v>161</v>
      </c>
    </row>
    <row r="108">
      <c r="H108" s="252" t="s">
        <v>161</v>
      </c>
    </row>
    <row r="109">
      <c r="H109" s="252" t="s">
        <v>161</v>
      </c>
    </row>
    <row r="110">
      <c r="H110" s="252" t="s">
        <v>161</v>
      </c>
    </row>
    <row r="111">
      <c r="H111" s="252" t="s">
        <v>161</v>
      </c>
    </row>
    <row r="112">
      <c r="H112" s="252" t="s">
        <v>161</v>
      </c>
    </row>
    <row r="113">
      <c r="H113" s="252" t="s">
        <v>161</v>
      </c>
    </row>
    <row r="114">
      <c r="H114" s="252" t="s">
        <v>161</v>
      </c>
    </row>
    <row r="115">
      <c r="H115" s="252" t="s">
        <v>161</v>
      </c>
    </row>
    <row r="116">
      <c r="H116" s="252" t="s">
        <v>161</v>
      </c>
    </row>
    <row r="117">
      <c r="H117" s="252" t="s">
        <v>161</v>
      </c>
    </row>
    <row r="118">
      <c r="H118" s="252" t="s">
        <v>161</v>
      </c>
    </row>
    <row r="119">
      <c r="H119" s="252" t="s">
        <v>161</v>
      </c>
    </row>
    <row r="120">
      <c r="H120" s="252" t="s">
        <v>161</v>
      </c>
    </row>
    <row r="121">
      <c r="H121" s="252" t="s">
        <v>161</v>
      </c>
    </row>
    <row r="122">
      <c r="H122" s="252" t="s">
        <v>161</v>
      </c>
    </row>
    <row r="123">
      <c r="H123" s="252" t="s">
        <v>161</v>
      </c>
    </row>
    <row r="124">
      <c r="H124" s="252" t="s">
        <v>161</v>
      </c>
    </row>
    <row r="125">
      <c r="H125" s="252" t="s">
        <v>161</v>
      </c>
    </row>
    <row r="126">
      <c r="H126" s="252" t="s">
        <v>161</v>
      </c>
    </row>
    <row r="127">
      <c r="H127" s="252" t="s">
        <v>161</v>
      </c>
    </row>
    <row r="128">
      <c r="H128" s="252" t="s">
        <v>161</v>
      </c>
    </row>
    <row r="129">
      <c r="H129" s="252" t="s">
        <v>161</v>
      </c>
    </row>
    <row r="130">
      <c r="H130" s="252" t="s">
        <v>161</v>
      </c>
    </row>
    <row r="131">
      <c r="H131" s="252" t="s">
        <v>161</v>
      </c>
    </row>
    <row r="132">
      <c r="H132" s="252" t="s">
        <v>161</v>
      </c>
    </row>
    <row r="133">
      <c r="H133" s="252" t="s">
        <v>161</v>
      </c>
    </row>
    <row r="134">
      <c r="H134" s="252" t="s">
        <v>161</v>
      </c>
    </row>
    <row r="135">
      <c r="H135" s="252" t="s">
        <v>161</v>
      </c>
    </row>
    <row r="136">
      <c r="H136" s="252" t="s">
        <v>161</v>
      </c>
    </row>
    <row r="137">
      <c r="H137" s="252" t="s">
        <v>161</v>
      </c>
    </row>
    <row r="138">
      <c r="H138" s="252" t="s">
        <v>161</v>
      </c>
    </row>
    <row r="139">
      <c r="H139" s="252" t="s">
        <v>161</v>
      </c>
    </row>
    <row r="140">
      <c r="H140" s="252" t="s">
        <v>161</v>
      </c>
    </row>
    <row r="141">
      <c r="H141" s="252" t="s">
        <v>161</v>
      </c>
    </row>
    <row r="142">
      <c r="H142" s="252" t="s">
        <v>161</v>
      </c>
    </row>
    <row r="143">
      <c r="H143" s="252" t="s">
        <v>161</v>
      </c>
    </row>
    <row r="144">
      <c r="H144" s="252" t="s">
        <v>161</v>
      </c>
    </row>
    <row r="145">
      <c r="H145" s="252" t="s">
        <v>161</v>
      </c>
    </row>
    <row r="146">
      <c r="H146" s="252" t="s">
        <v>161</v>
      </c>
    </row>
    <row r="147">
      <c r="H147" s="252" t="s">
        <v>161</v>
      </c>
    </row>
    <row r="148">
      <c r="H148" s="252" t="s">
        <v>161</v>
      </c>
    </row>
    <row r="149">
      <c r="H149" s="252" t="s">
        <v>161</v>
      </c>
    </row>
    <row r="150">
      <c r="H150" s="252" t="s">
        <v>161</v>
      </c>
    </row>
    <row r="151">
      <c r="H151" s="252" t="s">
        <v>161</v>
      </c>
    </row>
    <row r="152">
      <c r="H152" s="252" t="s">
        <v>161</v>
      </c>
    </row>
    <row r="153">
      <c r="H153" s="252" t="s">
        <v>161</v>
      </c>
    </row>
    <row r="154">
      <c r="H154" s="252" t="s">
        <v>161</v>
      </c>
    </row>
    <row r="155">
      <c r="H155" s="252" t="s">
        <v>161</v>
      </c>
    </row>
    <row r="156">
      <c r="H156" s="252" t="s">
        <v>161</v>
      </c>
    </row>
    <row r="157">
      <c r="H157" s="252" t="s">
        <v>161</v>
      </c>
    </row>
    <row r="158">
      <c r="H158" s="252" t="s">
        <v>161</v>
      </c>
    </row>
    <row r="159">
      <c r="H159" s="252" t="s">
        <v>161</v>
      </c>
    </row>
    <row r="160">
      <c r="H160" s="252" t="s">
        <v>161</v>
      </c>
    </row>
    <row r="161">
      <c r="H161" s="252" t="s">
        <v>161</v>
      </c>
    </row>
    <row r="162">
      <c r="H162" s="252" t="s">
        <v>161</v>
      </c>
    </row>
    <row r="163">
      <c r="H163" s="252" t="s">
        <v>161</v>
      </c>
    </row>
    <row r="164">
      <c r="H164" s="252" t="s">
        <v>161</v>
      </c>
    </row>
    <row r="165">
      <c r="H165" s="252" t="s">
        <v>161</v>
      </c>
    </row>
    <row r="166">
      <c r="H166" s="252" t="s">
        <v>161</v>
      </c>
    </row>
    <row r="167">
      <c r="H167" s="252" t="s">
        <v>161</v>
      </c>
    </row>
    <row r="168">
      <c r="H168" s="252" t="s">
        <v>161</v>
      </c>
    </row>
    <row r="169">
      <c r="H169" s="252" t="s">
        <v>161</v>
      </c>
    </row>
    <row r="170">
      <c r="H170" s="252" t="s">
        <v>161</v>
      </c>
    </row>
    <row r="171">
      <c r="H171" s="252" t="s">
        <v>161</v>
      </c>
    </row>
    <row r="172">
      <c r="H172" s="252" t="s">
        <v>161</v>
      </c>
    </row>
    <row r="173">
      <c r="H173" s="252" t="s">
        <v>161</v>
      </c>
    </row>
    <row r="174">
      <c r="H174" s="252" t="s">
        <v>161</v>
      </c>
    </row>
    <row r="175">
      <c r="H175" s="252" t="s">
        <v>161</v>
      </c>
    </row>
    <row r="176">
      <c r="H176" s="252" t="s">
        <v>161</v>
      </c>
    </row>
    <row r="177">
      <c r="H177" s="252" t="s">
        <v>161</v>
      </c>
    </row>
    <row r="178">
      <c r="H178" s="252" t="s">
        <v>161</v>
      </c>
    </row>
    <row r="179">
      <c r="H179" s="252" t="s">
        <v>161</v>
      </c>
    </row>
    <row r="180">
      <c r="H180" s="252" t="s">
        <v>161</v>
      </c>
    </row>
    <row r="181">
      <c r="H181" s="252" t="s">
        <v>161</v>
      </c>
    </row>
    <row r="182">
      <c r="H182" s="252" t="s">
        <v>161</v>
      </c>
    </row>
    <row r="183">
      <c r="H183" s="252" t="s">
        <v>161</v>
      </c>
    </row>
    <row r="184">
      <c r="H184" s="252" t="s">
        <v>161</v>
      </c>
    </row>
    <row r="185">
      <c r="H185" s="252" t="s">
        <v>161</v>
      </c>
    </row>
    <row r="186">
      <c r="H186" s="252" t="s">
        <v>161</v>
      </c>
    </row>
    <row r="187">
      <c r="H187" s="252" t="s">
        <v>161</v>
      </c>
    </row>
    <row r="188">
      <c r="H188" s="252" t="s">
        <v>161</v>
      </c>
    </row>
    <row r="189">
      <c r="H189" s="252" t="s">
        <v>161</v>
      </c>
    </row>
    <row r="190">
      <c r="H190" s="252" t="s">
        <v>161</v>
      </c>
    </row>
    <row r="191">
      <c r="H191" s="252" t="s">
        <v>161</v>
      </c>
    </row>
    <row r="192">
      <c r="H192" s="252" t="s">
        <v>161</v>
      </c>
    </row>
    <row r="193">
      <c r="H193" s="252" t="s">
        <v>161</v>
      </c>
    </row>
    <row r="194">
      <c r="H194" s="252" t="s">
        <v>161</v>
      </c>
    </row>
    <row r="195">
      <c r="H195" s="252" t="s">
        <v>161</v>
      </c>
    </row>
    <row r="196">
      <c r="H196" s="252" t="s">
        <v>161</v>
      </c>
    </row>
    <row r="197">
      <c r="H197" s="252" t="s">
        <v>161</v>
      </c>
    </row>
    <row r="198">
      <c r="H198" s="252" t="s">
        <v>161</v>
      </c>
    </row>
    <row r="199">
      <c r="H199" s="252" t="s">
        <v>161</v>
      </c>
    </row>
    <row r="200">
      <c r="H200" s="252" t="s">
        <v>161</v>
      </c>
    </row>
    <row r="201">
      <c r="H201" s="252" t="s">
        <v>161</v>
      </c>
    </row>
    <row r="202">
      <c r="H202" s="252" t="s">
        <v>161</v>
      </c>
    </row>
    <row r="203">
      <c r="H203" s="252" t="s">
        <v>161</v>
      </c>
    </row>
    <row r="204">
      <c r="H204" s="252" t="s">
        <v>161</v>
      </c>
    </row>
    <row r="205">
      <c r="H205" s="252" t="s">
        <v>161</v>
      </c>
    </row>
    <row r="206">
      <c r="H206" s="252" t="s">
        <v>161</v>
      </c>
    </row>
    <row r="207">
      <c r="H207" s="252" t="s">
        <v>161</v>
      </c>
    </row>
    <row r="208">
      <c r="H208" s="252" t="s">
        <v>161</v>
      </c>
    </row>
    <row r="209">
      <c r="H209" s="252" t="s">
        <v>161</v>
      </c>
    </row>
    <row r="210">
      <c r="H210" s="252" t="s">
        <v>161</v>
      </c>
    </row>
    <row r="211">
      <c r="H211" s="252" t="s">
        <v>161</v>
      </c>
    </row>
    <row r="212">
      <c r="H212" s="252" t="s">
        <v>161</v>
      </c>
    </row>
    <row r="213">
      <c r="H213" s="252" t="s">
        <v>161</v>
      </c>
    </row>
    <row r="214">
      <c r="H214" s="252" t="s">
        <v>161</v>
      </c>
    </row>
    <row r="215">
      <c r="H215" s="252" t="s">
        <v>161</v>
      </c>
    </row>
    <row r="216">
      <c r="H216" s="252" t="s">
        <v>161</v>
      </c>
    </row>
    <row r="217">
      <c r="H217" s="252" t="s">
        <v>161</v>
      </c>
    </row>
    <row r="218">
      <c r="H218" s="252" t="s">
        <v>161</v>
      </c>
    </row>
    <row r="219">
      <c r="H219" s="252" t="s">
        <v>161</v>
      </c>
    </row>
    <row r="220">
      <c r="H220" s="252" t="s">
        <v>161</v>
      </c>
    </row>
    <row r="221">
      <c r="H221" s="252" t="s">
        <v>161</v>
      </c>
    </row>
    <row r="222">
      <c r="H222" s="252" t="s">
        <v>161</v>
      </c>
    </row>
    <row r="223">
      <c r="H223" s="252" t="s">
        <v>161</v>
      </c>
    </row>
    <row r="224">
      <c r="H224" s="252" t="s">
        <v>161</v>
      </c>
    </row>
    <row r="225">
      <c r="H225" s="252" t="s">
        <v>161</v>
      </c>
    </row>
    <row r="226">
      <c r="H226" s="252" t="s">
        <v>161</v>
      </c>
    </row>
    <row r="227">
      <c r="H227" s="252" t="s">
        <v>161</v>
      </c>
    </row>
    <row r="228">
      <c r="H228" s="252" t="s">
        <v>161</v>
      </c>
    </row>
    <row r="229">
      <c r="H229" s="252" t="s">
        <v>161</v>
      </c>
    </row>
    <row r="230">
      <c r="H230" s="252" t="s">
        <v>161</v>
      </c>
    </row>
    <row r="231">
      <c r="H231" s="252" t="s">
        <v>161</v>
      </c>
    </row>
    <row r="232">
      <c r="H232" s="252" t="s">
        <v>161</v>
      </c>
    </row>
    <row r="233">
      <c r="H233" s="252" t="s">
        <v>161</v>
      </c>
    </row>
    <row r="234">
      <c r="H234" s="252" t="s">
        <v>161</v>
      </c>
    </row>
    <row r="235">
      <c r="H235" s="252" t="s">
        <v>161</v>
      </c>
    </row>
    <row r="236">
      <c r="H236" s="252" t="s">
        <v>161</v>
      </c>
    </row>
    <row r="237">
      <c r="H237" s="252" t="s">
        <v>161</v>
      </c>
    </row>
    <row r="238">
      <c r="H238" s="252" t="s">
        <v>161</v>
      </c>
    </row>
    <row r="239">
      <c r="H239" s="252" t="s">
        <v>161</v>
      </c>
    </row>
    <row r="240">
      <c r="H240" s="252" t="s">
        <v>161</v>
      </c>
    </row>
    <row r="241">
      <c r="H241" s="252" t="s">
        <v>161</v>
      </c>
    </row>
    <row r="242">
      <c r="H242" s="252" t="s">
        <v>161</v>
      </c>
    </row>
    <row r="243">
      <c r="H243" s="252" t="s">
        <v>161</v>
      </c>
    </row>
    <row r="244">
      <c r="H244" s="252" t="s">
        <v>161</v>
      </c>
    </row>
    <row r="245">
      <c r="H245" s="252" t="s">
        <v>161</v>
      </c>
    </row>
    <row r="246">
      <c r="H246" s="252" t="s">
        <v>161</v>
      </c>
    </row>
    <row r="247">
      <c r="H247" s="252" t="s">
        <v>161</v>
      </c>
    </row>
    <row r="248">
      <c r="H248" s="252" t="s">
        <v>161</v>
      </c>
    </row>
    <row r="249">
      <c r="H249" s="252" t="s">
        <v>161</v>
      </c>
    </row>
    <row r="250">
      <c r="H250" s="252" t="s">
        <v>161</v>
      </c>
    </row>
    <row r="251">
      <c r="H251" s="252" t="s">
        <v>161</v>
      </c>
    </row>
    <row r="252">
      <c r="H252" s="252" t="s">
        <v>161</v>
      </c>
    </row>
    <row r="253">
      <c r="H253" s="252" t="s">
        <v>161</v>
      </c>
    </row>
    <row r="254">
      <c r="H254" s="252" t="s">
        <v>161</v>
      </c>
    </row>
    <row r="255">
      <c r="H255" s="252" t="s">
        <v>161</v>
      </c>
    </row>
    <row r="256">
      <c r="H256" s="252" t="s">
        <v>161</v>
      </c>
    </row>
    <row r="257">
      <c r="H257" s="252" t="s">
        <v>161</v>
      </c>
    </row>
    <row r="258">
      <c r="H258" s="252" t="s">
        <v>161</v>
      </c>
    </row>
    <row r="259">
      <c r="H259" s="252" t="s">
        <v>161</v>
      </c>
    </row>
    <row r="260">
      <c r="H260" s="252" t="s">
        <v>161</v>
      </c>
    </row>
    <row r="261">
      <c r="H261" s="252" t="s">
        <v>161</v>
      </c>
    </row>
    <row r="262">
      <c r="H262" s="252" t="s">
        <v>161</v>
      </c>
    </row>
    <row r="263">
      <c r="H263" s="252" t="s">
        <v>161</v>
      </c>
    </row>
    <row r="264">
      <c r="H264" s="252" t="s">
        <v>161</v>
      </c>
    </row>
    <row r="265">
      <c r="H265" s="252" t="s">
        <v>161</v>
      </c>
    </row>
    <row r="266">
      <c r="H266" s="252" t="s">
        <v>161</v>
      </c>
    </row>
    <row r="267">
      <c r="H267" s="252" t="s">
        <v>161</v>
      </c>
    </row>
    <row r="268">
      <c r="H268" s="252" t="s">
        <v>161</v>
      </c>
    </row>
    <row r="269">
      <c r="H269" s="252" t="s">
        <v>161</v>
      </c>
    </row>
    <row r="270">
      <c r="H270" s="252" t="s">
        <v>161</v>
      </c>
    </row>
    <row r="271">
      <c r="H271" s="252" t="s">
        <v>161</v>
      </c>
    </row>
    <row r="272">
      <c r="H272" s="252" t="s">
        <v>161</v>
      </c>
    </row>
    <row r="273">
      <c r="H273" s="252" t="s">
        <v>161</v>
      </c>
    </row>
    <row r="274">
      <c r="H274" s="252" t="s">
        <v>161</v>
      </c>
    </row>
    <row r="275">
      <c r="H275" s="252" t="s">
        <v>161</v>
      </c>
    </row>
    <row r="276">
      <c r="H276" s="252" t="s">
        <v>161</v>
      </c>
    </row>
    <row r="277">
      <c r="H277" s="252" t="s">
        <v>161</v>
      </c>
    </row>
    <row r="278">
      <c r="H278" s="252" t="s">
        <v>161</v>
      </c>
    </row>
    <row r="279">
      <c r="H279" s="252" t="s">
        <v>161</v>
      </c>
    </row>
    <row r="280">
      <c r="H280" s="252" t="s">
        <v>161</v>
      </c>
    </row>
    <row r="281">
      <c r="H281" s="252" t="s">
        <v>161</v>
      </c>
    </row>
    <row r="282">
      <c r="H282" s="252" t="s">
        <v>161</v>
      </c>
    </row>
    <row r="283">
      <c r="H283" s="252" t="s">
        <v>161</v>
      </c>
    </row>
    <row r="284">
      <c r="H284" s="252" t="s">
        <v>161</v>
      </c>
    </row>
    <row r="285">
      <c r="H285" s="252" t="s">
        <v>161</v>
      </c>
    </row>
    <row r="286">
      <c r="H286" s="252" t="s">
        <v>161</v>
      </c>
    </row>
    <row r="287">
      <c r="H287" s="252" t="s">
        <v>161</v>
      </c>
    </row>
    <row r="288">
      <c r="H288" s="252" t="s">
        <v>161</v>
      </c>
    </row>
    <row r="289">
      <c r="H289" s="252" t="s">
        <v>161</v>
      </c>
    </row>
    <row r="290">
      <c r="H290" s="252" t="s">
        <v>161</v>
      </c>
    </row>
    <row r="291">
      <c r="H291" s="252" t="s">
        <v>161</v>
      </c>
    </row>
    <row r="292">
      <c r="H292" s="252" t="s">
        <v>161</v>
      </c>
    </row>
    <row r="293">
      <c r="H293" s="252" t="s">
        <v>161</v>
      </c>
    </row>
    <row r="294">
      <c r="H294" s="252" t="s">
        <v>161</v>
      </c>
    </row>
    <row r="295">
      <c r="H295" s="252" t="s">
        <v>161</v>
      </c>
    </row>
    <row r="296">
      <c r="H296" s="252" t="s">
        <v>161</v>
      </c>
    </row>
    <row r="297">
      <c r="H297" s="252" t="s">
        <v>161</v>
      </c>
    </row>
    <row r="298">
      <c r="H298" s="252" t="s">
        <v>161</v>
      </c>
    </row>
    <row r="299">
      <c r="H299" s="252" t="s">
        <v>161</v>
      </c>
    </row>
    <row r="300">
      <c r="H300" s="252" t="s">
        <v>161</v>
      </c>
    </row>
    <row r="301">
      <c r="H301" s="252" t="s">
        <v>161</v>
      </c>
    </row>
    <row r="302">
      <c r="H302" s="252" t="s">
        <v>161</v>
      </c>
    </row>
    <row r="303">
      <c r="H303" s="252" t="s">
        <v>161</v>
      </c>
    </row>
    <row r="304">
      <c r="H304" s="252" t="s">
        <v>161</v>
      </c>
    </row>
    <row r="305">
      <c r="H305" s="252" t="s">
        <v>161</v>
      </c>
    </row>
    <row r="306">
      <c r="H306" s="252" t="s">
        <v>161</v>
      </c>
    </row>
    <row r="307">
      <c r="H307" s="252" t="s">
        <v>161</v>
      </c>
    </row>
    <row r="308">
      <c r="H308" s="252" t="s">
        <v>161</v>
      </c>
    </row>
    <row r="309">
      <c r="H309" s="252" t="s">
        <v>161</v>
      </c>
    </row>
    <row r="310">
      <c r="H310" s="252" t="s">
        <v>161</v>
      </c>
    </row>
    <row r="311">
      <c r="H311" s="252" t="s">
        <v>161</v>
      </c>
    </row>
    <row r="312">
      <c r="H312" s="252" t="s">
        <v>161</v>
      </c>
    </row>
    <row r="313">
      <c r="H313" s="252" t="s">
        <v>161</v>
      </c>
    </row>
    <row r="314">
      <c r="H314" s="252" t="s">
        <v>161</v>
      </c>
    </row>
    <row r="315">
      <c r="H315" s="252" t="s">
        <v>161</v>
      </c>
    </row>
    <row r="316">
      <c r="H316" s="252" t="s">
        <v>161</v>
      </c>
    </row>
    <row r="317">
      <c r="H317" s="252" t="s">
        <v>161</v>
      </c>
    </row>
    <row r="318">
      <c r="H318" s="252" t="s">
        <v>161</v>
      </c>
    </row>
    <row r="319">
      <c r="H319" s="252" t="s">
        <v>161</v>
      </c>
    </row>
    <row r="320">
      <c r="H320" s="252" t="s">
        <v>161</v>
      </c>
    </row>
    <row r="321">
      <c r="H321" s="252" t="s">
        <v>161</v>
      </c>
    </row>
    <row r="322">
      <c r="H322" s="252" t="s">
        <v>161</v>
      </c>
    </row>
    <row r="323">
      <c r="H323" s="252" t="s">
        <v>161</v>
      </c>
    </row>
    <row r="324">
      <c r="H324" s="252" t="s">
        <v>161</v>
      </c>
    </row>
    <row r="325">
      <c r="H325" s="252" t="s">
        <v>161</v>
      </c>
    </row>
    <row r="326">
      <c r="H326" s="252" t="s">
        <v>161</v>
      </c>
    </row>
    <row r="327">
      <c r="H327" s="252" t="s">
        <v>161</v>
      </c>
    </row>
    <row r="328">
      <c r="H328" s="252" t="s">
        <v>161</v>
      </c>
    </row>
    <row r="329">
      <c r="H329" s="252" t="s">
        <v>161</v>
      </c>
    </row>
    <row r="330">
      <c r="H330" s="252" t="s">
        <v>161</v>
      </c>
    </row>
    <row r="331">
      <c r="H331" s="252" t="s">
        <v>161</v>
      </c>
    </row>
    <row r="332">
      <c r="H332" s="252" t="s">
        <v>161</v>
      </c>
    </row>
    <row r="333">
      <c r="H333" s="252" t="s">
        <v>161</v>
      </c>
    </row>
    <row r="334">
      <c r="H334" s="252" t="s">
        <v>161</v>
      </c>
    </row>
    <row r="335">
      <c r="H335" s="252" t="s">
        <v>161</v>
      </c>
    </row>
    <row r="336">
      <c r="H336" s="252" t="s">
        <v>161</v>
      </c>
    </row>
    <row r="337">
      <c r="H337" s="252" t="s">
        <v>161</v>
      </c>
    </row>
    <row r="338">
      <c r="H338" s="252" t="s">
        <v>161</v>
      </c>
    </row>
    <row r="339">
      <c r="H339" s="252" t="s">
        <v>161</v>
      </c>
    </row>
    <row r="340">
      <c r="H340" s="252" t="s">
        <v>161</v>
      </c>
    </row>
    <row r="341">
      <c r="H341" s="252" t="s">
        <v>161</v>
      </c>
    </row>
    <row r="342">
      <c r="H342" s="252" t="s">
        <v>161</v>
      </c>
    </row>
    <row r="343">
      <c r="H343" s="252" t="s">
        <v>161</v>
      </c>
    </row>
    <row r="344">
      <c r="H344" s="252" t="s">
        <v>161</v>
      </c>
    </row>
    <row r="345">
      <c r="H345" s="252" t="s">
        <v>161</v>
      </c>
    </row>
    <row r="346">
      <c r="H346" s="252" t="s">
        <v>161</v>
      </c>
    </row>
    <row r="347">
      <c r="H347" s="252" t="s">
        <v>161</v>
      </c>
    </row>
    <row r="348">
      <c r="H348" s="252" t="s">
        <v>161</v>
      </c>
    </row>
    <row r="349">
      <c r="H349" s="252" t="s">
        <v>161</v>
      </c>
    </row>
    <row r="350">
      <c r="H350" s="252" t="s">
        <v>161</v>
      </c>
    </row>
    <row r="351">
      <c r="H351" s="252" t="s">
        <v>161</v>
      </c>
    </row>
    <row r="352">
      <c r="H352" s="252" t="s">
        <v>161</v>
      </c>
    </row>
    <row r="353">
      <c r="H353" s="252" t="s">
        <v>161</v>
      </c>
    </row>
    <row r="354">
      <c r="H354" s="252" t="s">
        <v>161</v>
      </c>
    </row>
    <row r="355">
      <c r="H355" s="252" t="s">
        <v>161</v>
      </c>
    </row>
    <row r="356">
      <c r="H356" s="252" t="s">
        <v>161</v>
      </c>
    </row>
    <row r="357">
      <c r="H357" s="252" t="s">
        <v>161</v>
      </c>
    </row>
    <row r="358">
      <c r="H358" s="252" t="s">
        <v>161</v>
      </c>
    </row>
    <row r="359">
      <c r="H359" s="252" t="s">
        <v>161</v>
      </c>
    </row>
    <row r="360">
      <c r="H360" s="252" t="s">
        <v>161</v>
      </c>
    </row>
    <row r="361">
      <c r="H361" s="252" t="s">
        <v>161</v>
      </c>
    </row>
    <row r="362">
      <c r="H362" s="252" t="s">
        <v>161</v>
      </c>
    </row>
    <row r="363">
      <c r="H363" s="252" t="s">
        <v>161</v>
      </c>
    </row>
    <row r="364">
      <c r="H364" s="252" t="s">
        <v>161</v>
      </c>
    </row>
    <row r="365">
      <c r="H365" s="252" t="s">
        <v>161</v>
      </c>
    </row>
    <row r="366">
      <c r="H366" s="252" t="s">
        <v>161</v>
      </c>
    </row>
    <row r="367">
      <c r="H367" s="252" t="s">
        <v>161</v>
      </c>
    </row>
    <row r="368">
      <c r="H368" s="252" t="s">
        <v>161</v>
      </c>
    </row>
    <row r="369">
      <c r="H369" s="252" t="s">
        <v>161</v>
      </c>
    </row>
    <row r="370">
      <c r="H370" s="252" t="s">
        <v>161</v>
      </c>
    </row>
    <row r="371">
      <c r="H371" s="252" t="s">
        <v>161</v>
      </c>
    </row>
    <row r="372">
      <c r="H372" s="252" t="s">
        <v>161</v>
      </c>
    </row>
    <row r="373">
      <c r="H373" s="252" t="s">
        <v>161</v>
      </c>
    </row>
    <row r="374">
      <c r="H374" s="252" t="s">
        <v>161</v>
      </c>
    </row>
    <row r="375">
      <c r="H375" s="252" t="s">
        <v>161</v>
      </c>
    </row>
    <row r="376">
      <c r="H376" s="252" t="s">
        <v>161</v>
      </c>
    </row>
    <row r="377">
      <c r="H377" s="252" t="s">
        <v>161</v>
      </c>
    </row>
    <row r="378">
      <c r="H378" s="252" t="s">
        <v>161</v>
      </c>
    </row>
    <row r="379">
      <c r="H379" s="252" t="s">
        <v>161</v>
      </c>
    </row>
    <row r="380">
      <c r="H380" s="252" t="s">
        <v>161</v>
      </c>
    </row>
    <row r="381">
      <c r="H381" s="252" t="s">
        <v>161</v>
      </c>
    </row>
    <row r="382">
      <c r="H382" s="252" t="s">
        <v>161</v>
      </c>
    </row>
    <row r="383">
      <c r="H383" s="252" t="s">
        <v>161</v>
      </c>
    </row>
    <row r="384">
      <c r="H384" s="252" t="s">
        <v>161</v>
      </c>
    </row>
    <row r="385">
      <c r="H385" s="252" t="s">
        <v>161</v>
      </c>
    </row>
    <row r="386">
      <c r="H386" s="252" t="s">
        <v>161</v>
      </c>
    </row>
    <row r="387">
      <c r="H387" s="252" t="s">
        <v>161</v>
      </c>
    </row>
    <row r="388">
      <c r="H388" s="252" t="s">
        <v>161</v>
      </c>
    </row>
    <row r="389">
      <c r="H389" s="252" t="s">
        <v>161</v>
      </c>
    </row>
    <row r="390">
      <c r="H390" s="252" t="s">
        <v>161</v>
      </c>
    </row>
    <row r="391">
      <c r="H391" s="252" t="s">
        <v>161</v>
      </c>
    </row>
    <row r="392">
      <c r="H392" s="252" t="s">
        <v>161</v>
      </c>
    </row>
    <row r="393">
      <c r="H393" s="252" t="s">
        <v>161</v>
      </c>
    </row>
    <row r="394">
      <c r="H394" s="252" t="s">
        <v>161</v>
      </c>
    </row>
    <row r="395">
      <c r="H395" s="252" t="s">
        <v>161</v>
      </c>
    </row>
    <row r="396">
      <c r="H396" s="252" t="s">
        <v>161</v>
      </c>
    </row>
    <row r="397">
      <c r="H397" s="252" t="s">
        <v>161</v>
      </c>
    </row>
    <row r="398">
      <c r="H398" s="252" t="s">
        <v>161</v>
      </c>
    </row>
    <row r="399">
      <c r="H399" s="252" t="s">
        <v>161</v>
      </c>
    </row>
    <row r="400">
      <c r="H400" s="252" t="s">
        <v>161</v>
      </c>
    </row>
    <row r="401">
      <c r="H401" s="252" t="s">
        <v>161</v>
      </c>
    </row>
    <row r="402">
      <c r="H402" s="252" t="s">
        <v>161</v>
      </c>
    </row>
    <row r="403">
      <c r="H403" s="252" t="s">
        <v>161</v>
      </c>
    </row>
    <row r="404">
      <c r="H404" s="252" t="s">
        <v>161</v>
      </c>
    </row>
    <row r="405">
      <c r="H405" s="252" t="s">
        <v>161</v>
      </c>
    </row>
    <row r="406">
      <c r="H406" s="252" t="s">
        <v>161</v>
      </c>
    </row>
    <row r="407">
      <c r="H407" s="252" t="s">
        <v>161</v>
      </c>
    </row>
    <row r="408">
      <c r="H408" s="252" t="s">
        <v>161</v>
      </c>
    </row>
    <row r="409">
      <c r="H409" s="252" t="s">
        <v>161</v>
      </c>
    </row>
    <row r="410">
      <c r="H410" s="252" t="s">
        <v>161</v>
      </c>
    </row>
    <row r="411">
      <c r="H411" s="252" t="s">
        <v>161</v>
      </c>
    </row>
    <row r="412">
      <c r="H412" s="252" t="s">
        <v>161</v>
      </c>
    </row>
    <row r="413">
      <c r="H413" s="252" t="s">
        <v>161</v>
      </c>
    </row>
    <row r="414">
      <c r="H414" s="252" t="s">
        <v>161</v>
      </c>
    </row>
    <row r="415">
      <c r="H415" s="252" t="s">
        <v>161</v>
      </c>
    </row>
    <row r="416">
      <c r="H416" s="252" t="s">
        <v>161</v>
      </c>
    </row>
    <row r="417">
      <c r="H417" s="252" t="s">
        <v>161</v>
      </c>
    </row>
    <row r="418">
      <c r="H418" s="252" t="s">
        <v>161</v>
      </c>
    </row>
    <row r="419">
      <c r="H419" s="252" t="s">
        <v>161</v>
      </c>
    </row>
    <row r="420">
      <c r="H420" s="252" t="s">
        <v>161</v>
      </c>
    </row>
    <row r="421">
      <c r="H421" s="252" t="s">
        <v>161</v>
      </c>
    </row>
    <row r="422">
      <c r="H422" s="252" t="s">
        <v>161</v>
      </c>
    </row>
    <row r="423">
      <c r="H423" s="252" t="s">
        <v>161</v>
      </c>
    </row>
    <row r="424">
      <c r="H424" s="252" t="s">
        <v>161</v>
      </c>
    </row>
    <row r="425">
      <c r="H425" s="252" t="s">
        <v>161</v>
      </c>
    </row>
    <row r="426">
      <c r="H426" s="252" t="s">
        <v>161</v>
      </c>
    </row>
    <row r="427">
      <c r="H427" s="252" t="s">
        <v>161</v>
      </c>
    </row>
    <row r="428">
      <c r="H428" s="252" t="s">
        <v>161</v>
      </c>
    </row>
    <row r="429">
      <c r="H429" s="252" t="s">
        <v>161</v>
      </c>
    </row>
    <row r="430">
      <c r="H430" s="252" t="s">
        <v>161</v>
      </c>
    </row>
    <row r="431">
      <c r="H431" s="252" t="s">
        <v>161</v>
      </c>
    </row>
    <row r="432">
      <c r="H432" s="252" t="s">
        <v>161</v>
      </c>
    </row>
    <row r="433">
      <c r="H433" s="252" t="s">
        <v>161</v>
      </c>
    </row>
    <row r="434">
      <c r="H434" s="252" t="s">
        <v>161</v>
      </c>
    </row>
    <row r="435">
      <c r="H435" s="252" t="s">
        <v>161</v>
      </c>
    </row>
    <row r="436">
      <c r="H436" s="252" t="s">
        <v>161</v>
      </c>
    </row>
    <row r="437">
      <c r="H437" s="252" t="s">
        <v>161</v>
      </c>
    </row>
    <row r="438">
      <c r="H438" s="252" t="s">
        <v>161</v>
      </c>
    </row>
    <row r="439">
      <c r="H439" s="252" t="s">
        <v>161</v>
      </c>
    </row>
    <row r="440">
      <c r="H440" s="252" t="s">
        <v>161</v>
      </c>
    </row>
    <row r="441">
      <c r="H441" s="252" t="s">
        <v>161</v>
      </c>
    </row>
    <row r="442">
      <c r="H442" s="252" t="s">
        <v>161</v>
      </c>
    </row>
    <row r="443">
      <c r="H443" s="252" t="s">
        <v>161</v>
      </c>
    </row>
    <row r="444">
      <c r="H444" s="252" t="s">
        <v>161</v>
      </c>
    </row>
    <row r="445">
      <c r="H445" s="252" t="s">
        <v>161</v>
      </c>
    </row>
    <row r="446">
      <c r="H446" s="252" t="s">
        <v>161</v>
      </c>
    </row>
    <row r="447">
      <c r="H447" s="252" t="s">
        <v>161</v>
      </c>
    </row>
    <row r="448">
      <c r="H448" s="252" t="s">
        <v>161</v>
      </c>
    </row>
    <row r="449">
      <c r="H449" s="252" t="s">
        <v>161</v>
      </c>
    </row>
    <row r="450">
      <c r="H450" s="252" t="s">
        <v>161</v>
      </c>
    </row>
    <row r="451">
      <c r="H451" s="252" t="s">
        <v>161</v>
      </c>
    </row>
    <row r="452">
      <c r="H452" s="252" t="s">
        <v>161</v>
      </c>
    </row>
    <row r="453">
      <c r="H453" s="252" t="s">
        <v>161</v>
      </c>
    </row>
    <row r="454">
      <c r="H454" s="252" t="s">
        <v>161</v>
      </c>
    </row>
    <row r="455">
      <c r="H455" s="252" t="s">
        <v>161</v>
      </c>
    </row>
    <row r="456">
      <c r="H456" s="252" t="s">
        <v>161</v>
      </c>
    </row>
    <row r="457">
      <c r="H457" s="252" t="s">
        <v>161</v>
      </c>
    </row>
    <row r="458">
      <c r="H458" s="252" t="s">
        <v>161</v>
      </c>
    </row>
    <row r="459">
      <c r="H459" s="252" t="s">
        <v>161</v>
      </c>
    </row>
    <row r="460">
      <c r="H460" s="252" t="s">
        <v>161</v>
      </c>
    </row>
    <row r="461">
      <c r="H461" s="252" t="s">
        <v>161</v>
      </c>
    </row>
    <row r="462">
      <c r="H462" s="252" t="s">
        <v>161</v>
      </c>
    </row>
    <row r="463">
      <c r="H463" s="252" t="s">
        <v>161</v>
      </c>
    </row>
    <row r="464">
      <c r="H464" s="252" t="s">
        <v>161</v>
      </c>
    </row>
    <row r="465">
      <c r="H465" s="252" t="s">
        <v>161</v>
      </c>
    </row>
    <row r="466">
      <c r="H466" s="252" t="s">
        <v>161</v>
      </c>
    </row>
    <row r="467">
      <c r="H467" s="252" t="s">
        <v>161</v>
      </c>
    </row>
    <row r="468">
      <c r="H468" s="252" t="s">
        <v>161</v>
      </c>
    </row>
    <row r="469">
      <c r="H469" s="252" t="s">
        <v>161</v>
      </c>
    </row>
    <row r="470">
      <c r="H470" s="252" t="s">
        <v>161</v>
      </c>
    </row>
    <row r="471">
      <c r="H471" s="252" t="s">
        <v>161</v>
      </c>
    </row>
    <row r="472">
      <c r="H472" s="252" t="s">
        <v>161</v>
      </c>
    </row>
    <row r="473">
      <c r="H473" s="252" t="s">
        <v>161</v>
      </c>
    </row>
    <row r="474">
      <c r="H474" s="252" t="s">
        <v>161</v>
      </c>
    </row>
    <row r="475">
      <c r="H475" s="252" t="s">
        <v>161</v>
      </c>
    </row>
    <row r="476">
      <c r="H476" s="252" t="s">
        <v>161</v>
      </c>
    </row>
    <row r="477">
      <c r="H477" s="252" t="s">
        <v>161</v>
      </c>
    </row>
    <row r="478">
      <c r="H478" s="252" t="s">
        <v>161</v>
      </c>
    </row>
    <row r="479">
      <c r="H479" s="252" t="s">
        <v>161</v>
      </c>
    </row>
    <row r="480">
      <c r="H480" s="252" t="s">
        <v>161</v>
      </c>
    </row>
    <row r="481">
      <c r="H481" s="252" t="s">
        <v>161</v>
      </c>
    </row>
    <row r="482">
      <c r="H482" s="252" t="s">
        <v>161</v>
      </c>
    </row>
    <row r="483">
      <c r="H483" s="252" t="s">
        <v>161</v>
      </c>
    </row>
    <row r="484">
      <c r="H484" s="252" t="s">
        <v>161</v>
      </c>
    </row>
    <row r="485">
      <c r="H485" s="252" t="s">
        <v>161</v>
      </c>
    </row>
    <row r="486">
      <c r="H486" s="252" t="s">
        <v>161</v>
      </c>
    </row>
    <row r="487">
      <c r="H487" s="252" t="s">
        <v>161</v>
      </c>
    </row>
    <row r="488">
      <c r="H488" s="252" t="s">
        <v>161</v>
      </c>
    </row>
    <row r="489">
      <c r="H489" s="252" t="s">
        <v>161</v>
      </c>
    </row>
    <row r="490">
      <c r="H490" s="252" t="s">
        <v>161</v>
      </c>
    </row>
    <row r="491">
      <c r="H491" s="252" t="s">
        <v>161</v>
      </c>
    </row>
    <row r="492">
      <c r="H492" s="252" t="s">
        <v>161</v>
      </c>
    </row>
    <row r="493">
      <c r="H493" s="252" t="s">
        <v>161</v>
      </c>
    </row>
    <row r="494">
      <c r="H494" s="252" t="s">
        <v>161</v>
      </c>
    </row>
    <row r="495">
      <c r="H495" s="252" t="s">
        <v>161</v>
      </c>
    </row>
    <row r="496">
      <c r="H496" s="252" t="s">
        <v>161</v>
      </c>
    </row>
    <row r="497">
      <c r="H497" s="252" t="s">
        <v>161</v>
      </c>
    </row>
    <row r="498">
      <c r="H498" s="252" t="s">
        <v>161</v>
      </c>
    </row>
    <row r="499">
      <c r="H499" s="252" t="s">
        <v>161</v>
      </c>
    </row>
    <row r="500">
      <c r="H500" s="252" t="s">
        <v>161</v>
      </c>
    </row>
    <row r="501">
      <c r="H501" s="252" t="s">
        <v>161</v>
      </c>
    </row>
    <row r="502">
      <c r="H502" s="252" t="s">
        <v>161</v>
      </c>
    </row>
    <row r="503">
      <c r="H503" s="252" t="s">
        <v>161</v>
      </c>
    </row>
    <row r="504">
      <c r="H504" s="252" t="s">
        <v>161</v>
      </c>
    </row>
    <row r="505">
      <c r="H505" s="252" t="s">
        <v>161</v>
      </c>
    </row>
    <row r="506">
      <c r="H506" s="252" t="s">
        <v>161</v>
      </c>
    </row>
    <row r="507">
      <c r="H507" s="252" t="s">
        <v>161</v>
      </c>
    </row>
    <row r="508">
      <c r="H508" s="252" t="s">
        <v>161</v>
      </c>
    </row>
    <row r="509">
      <c r="H509" s="252" t="s">
        <v>161</v>
      </c>
    </row>
    <row r="510">
      <c r="H510" s="252" t="s">
        <v>161</v>
      </c>
    </row>
    <row r="511">
      <c r="H511" s="252" t="s">
        <v>161</v>
      </c>
    </row>
    <row r="512">
      <c r="H512" s="252" t="s">
        <v>161</v>
      </c>
    </row>
    <row r="513">
      <c r="H513" s="252" t="s">
        <v>161</v>
      </c>
    </row>
    <row r="514">
      <c r="H514" s="252" t="s">
        <v>161</v>
      </c>
    </row>
    <row r="515">
      <c r="H515" s="252" t="s">
        <v>161</v>
      </c>
    </row>
    <row r="516">
      <c r="H516" s="252" t="s">
        <v>161</v>
      </c>
    </row>
    <row r="517">
      <c r="H517" s="252" t="s">
        <v>161</v>
      </c>
    </row>
    <row r="518">
      <c r="H518" s="252" t="s">
        <v>161</v>
      </c>
    </row>
    <row r="519">
      <c r="H519" s="252" t="s">
        <v>161</v>
      </c>
    </row>
    <row r="520">
      <c r="H520" s="252" t="s">
        <v>161</v>
      </c>
    </row>
    <row r="521">
      <c r="H521" s="252" t="s">
        <v>161</v>
      </c>
    </row>
    <row r="522">
      <c r="H522" s="252" t="s">
        <v>161</v>
      </c>
    </row>
    <row r="523">
      <c r="H523" s="252" t="s">
        <v>161</v>
      </c>
    </row>
    <row r="524">
      <c r="H524" s="252" t="s">
        <v>161</v>
      </c>
    </row>
    <row r="525">
      <c r="H525" s="252" t="s">
        <v>161</v>
      </c>
    </row>
    <row r="526">
      <c r="H526" s="252" t="s">
        <v>161</v>
      </c>
    </row>
    <row r="527">
      <c r="H527" s="252" t="s">
        <v>161</v>
      </c>
    </row>
    <row r="528">
      <c r="H528" s="252" t="s">
        <v>161</v>
      </c>
    </row>
    <row r="529">
      <c r="H529" s="252" t="s">
        <v>161</v>
      </c>
    </row>
    <row r="530">
      <c r="H530" s="252" t="s">
        <v>161</v>
      </c>
    </row>
    <row r="531">
      <c r="H531" s="252" t="s">
        <v>161</v>
      </c>
    </row>
    <row r="532">
      <c r="H532" s="252" t="s">
        <v>161</v>
      </c>
    </row>
    <row r="533">
      <c r="H533" s="252" t="s">
        <v>161</v>
      </c>
    </row>
    <row r="534">
      <c r="H534" s="252" t="s">
        <v>161</v>
      </c>
    </row>
    <row r="535">
      <c r="H535" s="252" t="s">
        <v>161</v>
      </c>
    </row>
    <row r="536">
      <c r="H536" s="252" t="s">
        <v>161</v>
      </c>
    </row>
    <row r="537">
      <c r="H537" s="252" t="s">
        <v>161</v>
      </c>
    </row>
    <row r="538">
      <c r="H538" s="252" t="s">
        <v>161</v>
      </c>
    </row>
    <row r="539">
      <c r="H539" s="252" t="s">
        <v>161</v>
      </c>
    </row>
    <row r="540">
      <c r="H540" s="252" t="s">
        <v>161</v>
      </c>
    </row>
    <row r="541">
      <c r="H541" s="252" t="s">
        <v>161</v>
      </c>
    </row>
    <row r="542">
      <c r="H542" s="252" t="s">
        <v>161</v>
      </c>
    </row>
    <row r="543">
      <c r="H543" s="252" t="s">
        <v>161</v>
      </c>
    </row>
    <row r="544">
      <c r="H544" s="252" t="s">
        <v>161</v>
      </c>
    </row>
    <row r="545">
      <c r="H545" s="252" t="s">
        <v>161</v>
      </c>
    </row>
    <row r="546">
      <c r="H546" s="252" t="s">
        <v>161</v>
      </c>
    </row>
    <row r="547">
      <c r="H547" s="252" t="s">
        <v>161</v>
      </c>
    </row>
    <row r="548">
      <c r="H548" s="252" t="s">
        <v>161</v>
      </c>
    </row>
    <row r="549">
      <c r="H549" s="252" t="s">
        <v>161</v>
      </c>
    </row>
    <row r="550">
      <c r="H550" s="252" t="s">
        <v>161</v>
      </c>
    </row>
    <row r="551">
      <c r="H551" s="252" t="s">
        <v>161</v>
      </c>
    </row>
    <row r="552">
      <c r="H552" s="252" t="s">
        <v>161</v>
      </c>
    </row>
    <row r="553">
      <c r="H553" s="252" t="s">
        <v>161</v>
      </c>
    </row>
    <row r="554">
      <c r="H554" s="252" t="s">
        <v>161</v>
      </c>
    </row>
    <row r="555">
      <c r="H555" s="252" t="s">
        <v>161</v>
      </c>
    </row>
    <row r="556">
      <c r="H556" s="252" t="s">
        <v>161</v>
      </c>
    </row>
    <row r="557">
      <c r="H557" s="252" t="s">
        <v>161</v>
      </c>
    </row>
    <row r="558">
      <c r="H558" s="252" t="s">
        <v>161</v>
      </c>
    </row>
    <row r="559">
      <c r="H559" s="252" t="s">
        <v>161</v>
      </c>
    </row>
    <row r="560">
      <c r="H560" s="252" t="s">
        <v>161</v>
      </c>
    </row>
    <row r="561">
      <c r="H561" s="252" t="s">
        <v>161</v>
      </c>
    </row>
    <row r="562">
      <c r="H562" s="252" t="s">
        <v>161</v>
      </c>
    </row>
    <row r="563">
      <c r="H563" s="252" t="s">
        <v>161</v>
      </c>
    </row>
    <row r="564">
      <c r="H564" s="252" t="s">
        <v>161</v>
      </c>
    </row>
    <row r="565">
      <c r="H565" s="252" t="s">
        <v>161</v>
      </c>
    </row>
    <row r="566">
      <c r="H566" s="252" t="s">
        <v>161</v>
      </c>
    </row>
    <row r="567">
      <c r="H567" s="252" t="s">
        <v>161</v>
      </c>
    </row>
    <row r="568">
      <c r="H568" s="252" t="s">
        <v>161</v>
      </c>
    </row>
    <row r="569">
      <c r="H569" s="252" t="s">
        <v>161</v>
      </c>
    </row>
    <row r="570">
      <c r="H570" s="252" t="s">
        <v>161</v>
      </c>
    </row>
    <row r="571">
      <c r="H571" s="252" t="s">
        <v>161</v>
      </c>
    </row>
    <row r="572">
      <c r="H572" s="252" t="s">
        <v>161</v>
      </c>
    </row>
    <row r="573">
      <c r="H573" s="252" t="s">
        <v>161</v>
      </c>
    </row>
    <row r="574">
      <c r="H574" s="252" t="s">
        <v>161</v>
      </c>
    </row>
    <row r="575">
      <c r="H575" s="252" t="s">
        <v>161</v>
      </c>
    </row>
    <row r="576">
      <c r="H576" s="252" t="s">
        <v>161</v>
      </c>
    </row>
    <row r="577">
      <c r="H577" s="252" t="s">
        <v>161</v>
      </c>
    </row>
    <row r="578">
      <c r="H578" s="252" t="s">
        <v>161</v>
      </c>
    </row>
    <row r="579">
      <c r="H579" s="252" t="s">
        <v>161</v>
      </c>
    </row>
    <row r="580">
      <c r="H580" s="252" t="s">
        <v>161</v>
      </c>
    </row>
    <row r="581">
      <c r="H581" s="252" t="s">
        <v>161</v>
      </c>
    </row>
    <row r="582">
      <c r="H582" s="252" t="s">
        <v>161</v>
      </c>
    </row>
    <row r="583">
      <c r="H583" s="252" t="s">
        <v>161</v>
      </c>
    </row>
    <row r="584">
      <c r="H584" s="252" t="s">
        <v>161</v>
      </c>
    </row>
    <row r="585">
      <c r="H585" s="252" t="s">
        <v>161</v>
      </c>
    </row>
    <row r="586">
      <c r="H586" s="252" t="s">
        <v>161</v>
      </c>
    </row>
    <row r="587">
      <c r="H587" s="252" t="s">
        <v>161</v>
      </c>
    </row>
    <row r="588">
      <c r="H588" s="252" t="s">
        <v>161</v>
      </c>
    </row>
    <row r="589">
      <c r="H589" s="252" t="s">
        <v>161</v>
      </c>
    </row>
    <row r="590">
      <c r="H590" s="252" t="s">
        <v>161</v>
      </c>
    </row>
    <row r="591">
      <c r="H591" s="252" t="s">
        <v>161</v>
      </c>
    </row>
    <row r="592">
      <c r="H592" s="252" t="s">
        <v>161</v>
      </c>
    </row>
    <row r="593">
      <c r="H593" s="252" t="s">
        <v>161</v>
      </c>
    </row>
    <row r="594">
      <c r="H594" s="252" t="s">
        <v>161</v>
      </c>
    </row>
    <row r="595">
      <c r="H595" s="252" t="s">
        <v>161</v>
      </c>
    </row>
    <row r="596">
      <c r="H596" s="252" t="s">
        <v>161</v>
      </c>
    </row>
    <row r="597">
      <c r="H597" s="252" t="s">
        <v>161</v>
      </c>
    </row>
    <row r="598">
      <c r="H598" s="252" t="s">
        <v>161</v>
      </c>
    </row>
    <row r="599">
      <c r="H599" s="252" t="s">
        <v>161</v>
      </c>
    </row>
    <row r="600">
      <c r="H600" s="252" t="s">
        <v>161</v>
      </c>
    </row>
    <row r="601">
      <c r="H601" s="252" t="s">
        <v>161</v>
      </c>
    </row>
    <row r="602">
      <c r="H602" s="252" t="s">
        <v>161</v>
      </c>
    </row>
    <row r="603">
      <c r="H603" s="252" t="s">
        <v>161</v>
      </c>
    </row>
    <row r="604">
      <c r="H604" s="252" t="s">
        <v>161</v>
      </c>
    </row>
    <row r="605">
      <c r="H605" s="252" t="s">
        <v>161</v>
      </c>
    </row>
    <row r="606">
      <c r="H606" s="252" t="s">
        <v>161</v>
      </c>
    </row>
    <row r="607">
      <c r="H607" s="252" t="s">
        <v>161</v>
      </c>
    </row>
    <row r="608">
      <c r="H608" s="252" t="s">
        <v>161</v>
      </c>
    </row>
    <row r="609">
      <c r="H609" s="252" t="s">
        <v>161</v>
      </c>
    </row>
    <row r="610">
      <c r="H610" s="252" t="s">
        <v>161</v>
      </c>
    </row>
    <row r="611">
      <c r="H611" s="252" t="s">
        <v>161</v>
      </c>
    </row>
    <row r="612">
      <c r="H612" s="252" t="s">
        <v>161</v>
      </c>
    </row>
    <row r="613">
      <c r="H613" s="252" t="s">
        <v>161</v>
      </c>
    </row>
    <row r="614">
      <c r="H614" s="252" t="s">
        <v>161</v>
      </c>
    </row>
    <row r="615">
      <c r="H615" s="252" t="s">
        <v>161</v>
      </c>
    </row>
    <row r="616">
      <c r="H616" s="252" t="s">
        <v>161</v>
      </c>
    </row>
    <row r="617">
      <c r="H617" s="252" t="s">
        <v>161</v>
      </c>
    </row>
    <row r="618">
      <c r="H618" s="252" t="s">
        <v>161</v>
      </c>
    </row>
    <row r="619">
      <c r="H619" s="252" t="s">
        <v>161</v>
      </c>
    </row>
    <row r="620">
      <c r="H620" s="252" t="s">
        <v>161</v>
      </c>
    </row>
    <row r="621">
      <c r="H621" s="252" t="s">
        <v>161</v>
      </c>
    </row>
    <row r="622">
      <c r="H622" s="252" t="s">
        <v>161</v>
      </c>
    </row>
    <row r="623">
      <c r="H623" s="252" t="s">
        <v>161</v>
      </c>
    </row>
    <row r="624">
      <c r="H624" s="252" t="s">
        <v>161</v>
      </c>
    </row>
    <row r="625">
      <c r="H625" s="252" t="s">
        <v>161</v>
      </c>
    </row>
    <row r="626">
      <c r="H626" s="252" t="s">
        <v>161</v>
      </c>
    </row>
    <row r="627">
      <c r="H627" s="252" t="s">
        <v>161</v>
      </c>
    </row>
    <row r="628">
      <c r="H628" s="252" t="s">
        <v>161</v>
      </c>
    </row>
    <row r="629">
      <c r="H629" s="252" t="s">
        <v>161</v>
      </c>
    </row>
    <row r="630">
      <c r="H630" s="252" t="s">
        <v>161</v>
      </c>
    </row>
    <row r="631">
      <c r="H631" s="252" t="s">
        <v>161</v>
      </c>
    </row>
    <row r="632">
      <c r="H632" s="252" t="s">
        <v>161</v>
      </c>
    </row>
    <row r="633">
      <c r="H633" s="252" t="s">
        <v>161</v>
      </c>
    </row>
    <row r="634">
      <c r="H634" s="252" t="s">
        <v>161</v>
      </c>
    </row>
    <row r="635">
      <c r="H635" s="252" t="s">
        <v>161</v>
      </c>
    </row>
    <row r="636">
      <c r="H636" s="252" t="s">
        <v>161</v>
      </c>
    </row>
    <row r="637">
      <c r="H637" s="252" t="s">
        <v>161</v>
      </c>
    </row>
    <row r="638">
      <c r="H638" s="252" t="s">
        <v>161</v>
      </c>
    </row>
    <row r="639">
      <c r="H639" s="252" t="s">
        <v>161</v>
      </c>
    </row>
    <row r="640">
      <c r="H640" s="252" t="s">
        <v>161</v>
      </c>
    </row>
    <row r="641">
      <c r="H641" s="252" t="s">
        <v>161</v>
      </c>
    </row>
    <row r="642">
      <c r="H642" s="252" t="s">
        <v>161</v>
      </c>
    </row>
    <row r="643">
      <c r="H643" s="252" t="s">
        <v>161</v>
      </c>
    </row>
    <row r="644">
      <c r="H644" s="252" t="s">
        <v>161</v>
      </c>
    </row>
    <row r="645">
      <c r="H645" s="252" t="s">
        <v>161</v>
      </c>
    </row>
    <row r="646">
      <c r="H646" s="252" t="s">
        <v>161</v>
      </c>
    </row>
    <row r="647">
      <c r="H647" s="252" t="s">
        <v>161</v>
      </c>
    </row>
    <row r="648">
      <c r="H648" s="252" t="s">
        <v>161</v>
      </c>
    </row>
    <row r="649">
      <c r="H649" s="252" t="s">
        <v>161</v>
      </c>
    </row>
    <row r="650">
      <c r="H650" s="252" t="s">
        <v>161</v>
      </c>
    </row>
    <row r="651">
      <c r="H651" s="252" t="s">
        <v>161</v>
      </c>
    </row>
    <row r="652">
      <c r="H652" s="252" t="s">
        <v>161</v>
      </c>
    </row>
    <row r="653">
      <c r="H653" s="252" t="s">
        <v>161</v>
      </c>
    </row>
    <row r="654">
      <c r="H654" s="252" t="s">
        <v>161</v>
      </c>
    </row>
    <row r="655">
      <c r="H655" s="252" t="s">
        <v>161</v>
      </c>
    </row>
    <row r="656">
      <c r="H656" s="252" t="s">
        <v>161</v>
      </c>
    </row>
    <row r="657">
      <c r="H657" s="252" t="s">
        <v>161</v>
      </c>
    </row>
    <row r="658">
      <c r="H658" s="252" t="s">
        <v>161</v>
      </c>
    </row>
    <row r="659">
      <c r="H659" s="252" t="s">
        <v>161</v>
      </c>
    </row>
    <row r="660">
      <c r="H660" s="252" t="s">
        <v>161</v>
      </c>
    </row>
    <row r="661">
      <c r="H661" s="252" t="s">
        <v>161</v>
      </c>
    </row>
    <row r="662">
      <c r="H662" s="252" t="s">
        <v>161</v>
      </c>
    </row>
    <row r="663">
      <c r="H663" s="252" t="s">
        <v>161</v>
      </c>
    </row>
    <row r="664">
      <c r="H664" s="252" t="s">
        <v>161</v>
      </c>
    </row>
    <row r="665">
      <c r="H665" s="252" t="s">
        <v>161</v>
      </c>
    </row>
    <row r="666">
      <c r="H666" s="252" t="s">
        <v>161</v>
      </c>
    </row>
    <row r="667">
      <c r="H667" s="252" t="s">
        <v>161</v>
      </c>
    </row>
    <row r="668">
      <c r="H668" s="252" t="s">
        <v>161</v>
      </c>
    </row>
    <row r="669">
      <c r="H669" s="252" t="s">
        <v>161</v>
      </c>
    </row>
    <row r="670">
      <c r="H670" s="252" t="s">
        <v>161</v>
      </c>
    </row>
    <row r="671">
      <c r="H671" s="252" t="s">
        <v>161</v>
      </c>
    </row>
    <row r="672">
      <c r="H672" s="252" t="s">
        <v>161</v>
      </c>
    </row>
    <row r="673">
      <c r="H673" s="252" t="s">
        <v>161</v>
      </c>
    </row>
    <row r="674">
      <c r="H674" s="252" t="s">
        <v>161</v>
      </c>
    </row>
    <row r="675">
      <c r="H675" s="252" t="s">
        <v>161</v>
      </c>
    </row>
    <row r="676">
      <c r="H676" s="252" t="s">
        <v>161</v>
      </c>
    </row>
    <row r="677">
      <c r="H677" s="252" t="s">
        <v>161</v>
      </c>
    </row>
    <row r="678">
      <c r="H678" s="252" t="s">
        <v>161</v>
      </c>
    </row>
    <row r="679">
      <c r="H679" s="252" t="s">
        <v>161</v>
      </c>
    </row>
    <row r="680">
      <c r="H680" s="252" t="s">
        <v>161</v>
      </c>
    </row>
    <row r="681">
      <c r="H681" s="252" t="s">
        <v>161</v>
      </c>
    </row>
    <row r="682">
      <c r="H682" s="252" t="s">
        <v>161</v>
      </c>
    </row>
    <row r="683">
      <c r="H683" s="252" t="s">
        <v>161</v>
      </c>
    </row>
    <row r="684">
      <c r="H684" s="252" t="s">
        <v>161</v>
      </c>
    </row>
    <row r="685">
      <c r="H685" s="252" t="s">
        <v>161</v>
      </c>
    </row>
    <row r="686">
      <c r="H686" s="252" t="s">
        <v>161</v>
      </c>
    </row>
    <row r="687">
      <c r="H687" s="252" t="s">
        <v>161</v>
      </c>
    </row>
    <row r="688">
      <c r="H688" s="252" t="s">
        <v>161</v>
      </c>
    </row>
    <row r="689">
      <c r="H689" s="252" t="s">
        <v>161</v>
      </c>
    </row>
    <row r="690">
      <c r="H690" s="252" t="s">
        <v>161</v>
      </c>
    </row>
    <row r="691">
      <c r="H691" s="252" t="s">
        <v>161</v>
      </c>
    </row>
    <row r="692">
      <c r="H692" s="252" t="s">
        <v>161</v>
      </c>
    </row>
    <row r="693">
      <c r="H693" s="252" t="s">
        <v>161</v>
      </c>
    </row>
    <row r="694">
      <c r="H694" s="252" t="s">
        <v>161</v>
      </c>
    </row>
    <row r="695">
      <c r="H695" s="252" t="s">
        <v>161</v>
      </c>
    </row>
    <row r="696">
      <c r="H696" s="252" t="s">
        <v>161</v>
      </c>
    </row>
    <row r="697">
      <c r="H697" s="252" t="s">
        <v>161</v>
      </c>
    </row>
    <row r="698">
      <c r="H698" s="252" t="s">
        <v>161</v>
      </c>
    </row>
    <row r="699">
      <c r="H699" s="252" t="s">
        <v>161</v>
      </c>
    </row>
    <row r="700">
      <c r="H700" s="252" t="s">
        <v>161</v>
      </c>
    </row>
    <row r="701">
      <c r="H701" s="252" t="s">
        <v>161</v>
      </c>
    </row>
    <row r="702">
      <c r="H702" s="252" t="s">
        <v>161</v>
      </c>
    </row>
    <row r="703">
      <c r="H703" s="252" t="s">
        <v>161</v>
      </c>
    </row>
    <row r="704">
      <c r="H704" s="252" t="s">
        <v>161</v>
      </c>
    </row>
    <row r="705">
      <c r="H705" s="252" t="s">
        <v>161</v>
      </c>
    </row>
    <row r="706">
      <c r="H706" s="252" t="s">
        <v>161</v>
      </c>
    </row>
    <row r="707">
      <c r="H707" s="252" t="s">
        <v>161</v>
      </c>
    </row>
    <row r="708">
      <c r="H708" s="252" t="s">
        <v>161</v>
      </c>
    </row>
    <row r="709">
      <c r="H709" s="252" t="s">
        <v>161</v>
      </c>
    </row>
    <row r="710">
      <c r="H710" s="252" t="s">
        <v>161</v>
      </c>
    </row>
    <row r="711">
      <c r="H711" s="252" t="s">
        <v>161</v>
      </c>
    </row>
    <row r="712">
      <c r="H712" s="252" t="s">
        <v>161</v>
      </c>
    </row>
    <row r="713">
      <c r="H713" s="252" t="s">
        <v>161</v>
      </c>
    </row>
    <row r="714">
      <c r="H714" s="252" t="s">
        <v>161</v>
      </c>
    </row>
    <row r="715">
      <c r="H715" s="252" t="s">
        <v>161</v>
      </c>
    </row>
    <row r="716">
      <c r="H716" s="252" t="s">
        <v>161</v>
      </c>
    </row>
    <row r="717">
      <c r="H717" s="252" t="s">
        <v>161</v>
      </c>
    </row>
    <row r="718">
      <c r="H718" s="252" t="s">
        <v>161</v>
      </c>
    </row>
    <row r="719">
      <c r="H719" s="252" t="s">
        <v>161</v>
      </c>
    </row>
    <row r="720">
      <c r="H720" s="252" t="s">
        <v>161</v>
      </c>
    </row>
    <row r="721">
      <c r="H721" s="252" t="s">
        <v>161</v>
      </c>
    </row>
    <row r="722">
      <c r="H722" s="252" t="s">
        <v>161</v>
      </c>
    </row>
    <row r="723">
      <c r="H723" s="252" t="s">
        <v>161</v>
      </c>
    </row>
    <row r="724">
      <c r="H724" s="252" t="s">
        <v>161</v>
      </c>
    </row>
    <row r="725">
      <c r="H725" s="252" t="s">
        <v>161</v>
      </c>
    </row>
    <row r="726">
      <c r="H726" s="252" t="s">
        <v>161</v>
      </c>
    </row>
    <row r="727">
      <c r="H727" s="252" t="s">
        <v>161</v>
      </c>
    </row>
    <row r="728">
      <c r="H728" s="252" t="s">
        <v>161</v>
      </c>
    </row>
    <row r="729">
      <c r="H729" s="252" t="s">
        <v>161</v>
      </c>
    </row>
    <row r="730">
      <c r="H730" s="252" t="s">
        <v>161</v>
      </c>
    </row>
    <row r="731">
      <c r="H731" s="252" t="s">
        <v>161</v>
      </c>
    </row>
    <row r="732">
      <c r="H732" s="252" t="s">
        <v>161</v>
      </c>
    </row>
    <row r="733">
      <c r="H733" s="252" t="s">
        <v>161</v>
      </c>
    </row>
    <row r="734">
      <c r="H734" s="252" t="s">
        <v>161</v>
      </c>
    </row>
    <row r="735">
      <c r="H735" s="252" t="s">
        <v>161</v>
      </c>
    </row>
    <row r="736">
      <c r="H736" s="252" t="s">
        <v>161</v>
      </c>
    </row>
    <row r="737">
      <c r="H737" s="252" t="s">
        <v>161</v>
      </c>
    </row>
    <row r="738">
      <c r="H738" s="252" t="s">
        <v>161</v>
      </c>
    </row>
    <row r="739">
      <c r="H739" s="252" t="s">
        <v>161</v>
      </c>
    </row>
    <row r="740">
      <c r="H740" s="252" t="s">
        <v>161</v>
      </c>
    </row>
    <row r="741">
      <c r="H741" s="252" t="s">
        <v>161</v>
      </c>
    </row>
    <row r="742">
      <c r="H742" s="252" t="s">
        <v>161</v>
      </c>
    </row>
    <row r="743">
      <c r="H743" s="252" t="s">
        <v>161</v>
      </c>
    </row>
    <row r="744">
      <c r="H744" s="252" t="s">
        <v>161</v>
      </c>
    </row>
    <row r="745">
      <c r="H745" s="252" t="s">
        <v>161</v>
      </c>
    </row>
    <row r="746">
      <c r="H746" s="252" t="s">
        <v>161</v>
      </c>
    </row>
    <row r="747">
      <c r="H747" s="252" t="s">
        <v>161</v>
      </c>
    </row>
    <row r="748">
      <c r="H748" s="252" t="s">
        <v>161</v>
      </c>
    </row>
    <row r="749">
      <c r="H749" s="252" t="s">
        <v>161</v>
      </c>
    </row>
    <row r="750">
      <c r="H750" s="252" t="s">
        <v>161</v>
      </c>
    </row>
    <row r="751">
      <c r="H751" s="252" t="s">
        <v>161</v>
      </c>
    </row>
    <row r="752">
      <c r="H752" s="252" t="s">
        <v>161</v>
      </c>
    </row>
    <row r="753">
      <c r="H753" s="252" t="s">
        <v>161</v>
      </c>
    </row>
    <row r="754">
      <c r="H754" s="252" t="s">
        <v>161</v>
      </c>
    </row>
    <row r="755">
      <c r="H755" s="252" t="s">
        <v>161</v>
      </c>
    </row>
    <row r="756">
      <c r="H756" s="252" t="s">
        <v>161</v>
      </c>
    </row>
    <row r="757">
      <c r="H757" s="252" t="s">
        <v>161</v>
      </c>
    </row>
    <row r="758">
      <c r="H758" s="252" t="s">
        <v>161</v>
      </c>
    </row>
    <row r="759">
      <c r="H759" s="252" t="s">
        <v>161</v>
      </c>
    </row>
    <row r="760">
      <c r="H760" s="252" t="s">
        <v>161</v>
      </c>
    </row>
    <row r="761">
      <c r="H761" s="252" t="s">
        <v>161</v>
      </c>
    </row>
    <row r="762">
      <c r="H762" s="252" t="s">
        <v>161</v>
      </c>
    </row>
    <row r="763">
      <c r="H763" s="252" t="s">
        <v>161</v>
      </c>
    </row>
    <row r="764">
      <c r="H764" s="252" t="s">
        <v>161</v>
      </c>
    </row>
    <row r="765">
      <c r="H765" s="252" t="s">
        <v>161</v>
      </c>
    </row>
    <row r="766">
      <c r="H766" s="252" t="s">
        <v>161</v>
      </c>
    </row>
    <row r="767">
      <c r="H767" s="252" t="s">
        <v>161</v>
      </c>
    </row>
    <row r="768">
      <c r="H768" s="252" t="s">
        <v>161</v>
      </c>
    </row>
    <row r="769">
      <c r="H769" s="252" t="s">
        <v>161</v>
      </c>
    </row>
    <row r="770">
      <c r="H770" s="252" t="s">
        <v>161</v>
      </c>
    </row>
    <row r="771">
      <c r="H771" s="252" t="s">
        <v>161</v>
      </c>
    </row>
    <row r="772">
      <c r="H772" s="252" t="s">
        <v>161</v>
      </c>
    </row>
    <row r="773">
      <c r="H773" s="252" t="s">
        <v>161</v>
      </c>
    </row>
    <row r="774">
      <c r="H774" s="252" t="s">
        <v>161</v>
      </c>
    </row>
    <row r="775">
      <c r="H775" s="252" t="s">
        <v>161</v>
      </c>
    </row>
    <row r="776">
      <c r="H776" s="252" t="s">
        <v>161</v>
      </c>
    </row>
    <row r="777">
      <c r="H777" s="252" t="s">
        <v>161</v>
      </c>
    </row>
    <row r="778">
      <c r="H778" s="252" t="s">
        <v>161</v>
      </c>
    </row>
    <row r="779">
      <c r="H779" s="252" t="s">
        <v>161</v>
      </c>
    </row>
    <row r="780">
      <c r="H780" s="252" t="s">
        <v>161</v>
      </c>
    </row>
    <row r="781">
      <c r="H781" s="252" t="s">
        <v>161</v>
      </c>
    </row>
    <row r="782">
      <c r="H782" s="252" t="s">
        <v>161</v>
      </c>
    </row>
    <row r="783">
      <c r="H783" s="252" t="s">
        <v>161</v>
      </c>
    </row>
    <row r="784">
      <c r="H784" s="252" t="s">
        <v>161</v>
      </c>
    </row>
    <row r="785">
      <c r="H785" s="252" t="s">
        <v>161</v>
      </c>
    </row>
    <row r="786">
      <c r="H786" s="252" t="s">
        <v>161</v>
      </c>
    </row>
    <row r="787">
      <c r="H787" s="252" t="s">
        <v>161</v>
      </c>
    </row>
    <row r="788">
      <c r="H788" s="252" t="s">
        <v>161</v>
      </c>
    </row>
    <row r="789">
      <c r="H789" s="252" t="s">
        <v>161</v>
      </c>
    </row>
    <row r="790">
      <c r="H790" s="252" t="s">
        <v>161</v>
      </c>
    </row>
    <row r="791">
      <c r="H791" s="252" t="s">
        <v>161</v>
      </c>
    </row>
    <row r="792">
      <c r="H792" s="252" t="s">
        <v>161</v>
      </c>
    </row>
    <row r="793">
      <c r="H793" s="252" t="s">
        <v>161</v>
      </c>
    </row>
    <row r="794">
      <c r="H794" s="252" t="s">
        <v>161</v>
      </c>
    </row>
    <row r="795">
      <c r="H795" s="252" t="s">
        <v>161</v>
      </c>
    </row>
    <row r="796">
      <c r="H796" s="252" t="s">
        <v>161</v>
      </c>
    </row>
    <row r="797">
      <c r="H797" s="252" t="s">
        <v>161</v>
      </c>
    </row>
    <row r="798">
      <c r="H798" s="252" t="s">
        <v>161</v>
      </c>
    </row>
    <row r="799">
      <c r="H799" s="252" t="s">
        <v>161</v>
      </c>
    </row>
    <row r="800">
      <c r="H800" s="252" t="s">
        <v>161</v>
      </c>
    </row>
    <row r="801">
      <c r="H801" s="252" t="s">
        <v>161</v>
      </c>
    </row>
    <row r="802">
      <c r="H802" s="252" t="s">
        <v>161</v>
      </c>
    </row>
    <row r="803">
      <c r="H803" s="252" t="s">
        <v>161</v>
      </c>
    </row>
    <row r="804">
      <c r="H804" s="252" t="s">
        <v>161</v>
      </c>
    </row>
    <row r="805">
      <c r="H805" s="252" t="s">
        <v>161</v>
      </c>
    </row>
    <row r="806">
      <c r="H806" s="252" t="s">
        <v>161</v>
      </c>
    </row>
    <row r="807">
      <c r="H807" s="252" t="s">
        <v>161</v>
      </c>
    </row>
    <row r="808">
      <c r="H808" s="252" t="s">
        <v>161</v>
      </c>
    </row>
    <row r="809">
      <c r="H809" s="252" t="s">
        <v>161</v>
      </c>
    </row>
    <row r="810">
      <c r="H810" s="252" t="s">
        <v>161</v>
      </c>
    </row>
    <row r="811">
      <c r="H811" s="252" t="s">
        <v>161</v>
      </c>
    </row>
    <row r="812">
      <c r="H812" s="252" t="s">
        <v>161</v>
      </c>
    </row>
    <row r="813">
      <c r="H813" s="252" t="s">
        <v>161</v>
      </c>
    </row>
    <row r="814">
      <c r="H814" s="252" t="s">
        <v>161</v>
      </c>
    </row>
    <row r="815">
      <c r="H815" s="252" t="s">
        <v>161</v>
      </c>
    </row>
    <row r="816">
      <c r="H816" s="252" t="s">
        <v>161</v>
      </c>
    </row>
    <row r="817">
      <c r="H817" s="252" t="s">
        <v>161</v>
      </c>
    </row>
    <row r="818">
      <c r="H818" s="252" t="s">
        <v>161</v>
      </c>
    </row>
    <row r="819">
      <c r="H819" s="252" t="s">
        <v>161</v>
      </c>
    </row>
    <row r="820">
      <c r="H820" s="252" t="s">
        <v>161</v>
      </c>
    </row>
    <row r="821">
      <c r="H821" s="252" t="s">
        <v>161</v>
      </c>
    </row>
    <row r="822">
      <c r="H822" s="252" t="s">
        <v>161</v>
      </c>
    </row>
    <row r="823">
      <c r="H823" s="252" t="s">
        <v>161</v>
      </c>
    </row>
    <row r="824">
      <c r="H824" s="252" t="s">
        <v>161</v>
      </c>
    </row>
    <row r="825">
      <c r="H825" s="252" t="s">
        <v>161</v>
      </c>
    </row>
    <row r="826">
      <c r="H826" s="252" t="s">
        <v>161</v>
      </c>
    </row>
    <row r="827">
      <c r="H827" s="252" t="s">
        <v>161</v>
      </c>
    </row>
    <row r="828">
      <c r="H828" s="252" t="s">
        <v>161</v>
      </c>
    </row>
    <row r="829">
      <c r="H829" s="252" t="s">
        <v>161</v>
      </c>
    </row>
    <row r="830">
      <c r="H830" s="252" t="s">
        <v>161</v>
      </c>
    </row>
    <row r="831">
      <c r="H831" s="252" t="s">
        <v>161</v>
      </c>
    </row>
    <row r="832">
      <c r="H832" s="252" t="s">
        <v>161</v>
      </c>
    </row>
    <row r="833">
      <c r="H833" s="252" t="s">
        <v>161</v>
      </c>
    </row>
    <row r="834">
      <c r="H834" s="252" t="s">
        <v>161</v>
      </c>
    </row>
    <row r="835">
      <c r="H835" s="252" t="s">
        <v>161</v>
      </c>
    </row>
    <row r="836">
      <c r="H836" s="252" t="s">
        <v>161</v>
      </c>
    </row>
    <row r="837">
      <c r="H837" s="252" t="s">
        <v>161</v>
      </c>
    </row>
    <row r="838">
      <c r="H838" s="252" t="s">
        <v>161</v>
      </c>
    </row>
    <row r="839">
      <c r="H839" s="252" t="s">
        <v>161</v>
      </c>
    </row>
    <row r="840">
      <c r="H840" s="252" t="s">
        <v>161</v>
      </c>
    </row>
    <row r="841">
      <c r="H841" s="252" t="s">
        <v>161</v>
      </c>
    </row>
    <row r="842">
      <c r="H842" s="252" t="s">
        <v>161</v>
      </c>
    </row>
    <row r="843">
      <c r="H843" s="252" t="s">
        <v>161</v>
      </c>
    </row>
    <row r="844">
      <c r="H844" s="252" t="s">
        <v>161</v>
      </c>
    </row>
    <row r="845">
      <c r="H845" s="252" t="s">
        <v>161</v>
      </c>
    </row>
    <row r="846">
      <c r="H846" s="252" t="s">
        <v>161</v>
      </c>
    </row>
    <row r="847">
      <c r="H847" s="252" t="s">
        <v>161</v>
      </c>
    </row>
    <row r="848">
      <c r="H848" s="252" t="s">
        <v>161</v>
      </c>
    </row>
    <row r="849">
      <c r="H849" s="252" t="s">
        <v>161</v>
      </c>
    </row>
    <row r="850">
      <c r="H850" s="252" t="s">
        <v>161</v>
      </c>
    </row>
    <row r="851">
      <c r="H851" s="252" t="s">
        <v>161</v>
      </c>
    </row>
    <row r="852">
      <c r="H852" s="252" t="s">
        <v>161</v>
      </c>
    </row>
    <row r="853">
      <c r="H853" s="252" t="s">
        <v>161</v>
      </c>
    </row>
    <row r="854">
      <c r="H854" s="252" t="s">
        <v>161</v>
      </c>
    </row>
    <row r="855">
      <c r="H855" s="252" t="s">
        <v>161</v>
      </c>
    </row>
    <row r="856">
      <c r="H856" s="252" t="s">
        <v>161</v>
      </c>
    </row>
    <row r="857">
      <c r="H857" s="252" t="s">
        <v>161</v>
      </c>
    </row>
    <row r="858">
      <c r="H858" s="252" t="s">
        <v>161</v>
      </c>
    </row>
    <row r="859">
      <c r="H859" s="252" t="s">
        <v>161</v>
      </c>
    </row>
    <row r="860">
      <c r="H860" s="252" t="s">
        <v>161</v>
      </c>
    </row>
    <row r="861">
      <c r="H861" s="252" t="s">
        <v>161</v>
      </c>
    </row>
    <row r="862">
      <c r="H862" s="252" t="s">
        <v>161</v>
      </c>
    </row>
    <row r="863">
      <c r="H863" s="252" t="s">
        <v>161</v>
      </c>
    </row>
    <row r="864">
      <c r="H864" s="252" t="s">
        <v>161</v>
      </c>
    </row>
    <row r="865">
      <c r="H865" s="252" t="s">
        <v>161</v>
      </c>
    </row>
    <row r="866">
      <c r="H866" s="252" t="s">
        <v>161</v>
      </c>
    </row>
    <row r="867">
      <c r="H867" s="252" t="s">
        <v>161</v>
      </c>
    </row>
    <row r="868">
      <c r="H868" s="252" t="s">
        <v>161</v>
      </c>
    </row>
    <row r="869">
      <c r="H869" s="252" t="s">
        <v>161</v>
      </c>
    </row>
    <row r="870">
      <c r="H870" s="252" t="s">
        <v>161</v>
      </c>
    </row>
    <row r="871">
      <c r="H871" s="252" t="s">
        <v>161</v>
      </c>
    </row>
    <row r="872">
      <c r="H872" s="252" t="s">
        <v>161</v>
      </c>
    </row>
    <row r="873">
      <c r="H873" s="252" t="s">
        <v>161</v>
      </c>
    </row>
    <row r="874">
      <c r="H874" s="252" t="s">
        <v>161</v>
      </c>
    </row>
    <row r="875">
      <c r="H875" s="252" t="s">
        <v>161</v>
      </c>
    </row>
    <row r="876">
      <c r="H876" s="252" t="s">
        <v>161</v>
      </c>
    </row>
    <row r="877">
      <c r="H877" s="252" t="s">
        <v>161</v>
      </c>
    </row>
    <row r="878">
      <c r="H878" s="252" t="s">
        <v>161</v>
      </c>
    </row>
    <row r="879">
      <c r="H879" s="252" t="s">
        <v>161</v>
      </c>
    </row>
    <row r="880">
      <c r="H880" s="252" t="s">
        <v>161</v>
      </c>
    </row>
    <row r="881">
      <c r="H881" s="252" t="s">
        <v>161</v>
      </c>
    </row>
    <row r="882">
      <c r="H882" s="252" t="s">
        <v>161</v>
      </c>
    </row>
    <row r="883">
      <c r="H883" s="252" t="s">
        <v>161</v>
      </c>
    </row>
    <row r="884">
      <c r="H884" s="252" t="s">
        <v>161</v>
      </c>
    </row>
    <row r="885">
      <c r="H885" s="252" t="s">
        <v>161</v>
      </c>
    </row>
    <row r="886">
      <c r="H886" s="252" t="s">
        <v>161</v>
      </c>
    </row>
    <row r="887">
      <c r="H887" s="252" t="s">
        <v>161</v>
      </c>
    </row>
    <row r="888">
      <c r="H888" s="252" t="s">
        <v>161</v>
      </c>
    </row>
    <row r="889">
      <c r="H889" s="252" t="s">
        <v>161</v>
      </c>
    </row>
    <row r="890">
      <c r="H890" s="252" t="s">
        <v>161</v>
      </c>
    </row>
    <row r="891">
      <c r="H891" s="252" t="s">
        <v>161</v>
      </c>
    </row>
    <row r="892">
      <c r="H892" s="252" t="s">
        <v>161</v>
      </c>
    </row>
    <row r="893">
      <c r="H893" s="252" t="s">
        <v>161</v>
      </c>
    </row>
    <row r="894">
      <c r="H894" s="252" t="s">
        <v>161</v>
      </c>
    </row>
    <row r="895">
      <c r="H895" s="252" t="s">
        <v>161</v>
      </c>
    </row>
    <row r="896">
      <c r="H896" s="252" t="s">
        <v>161</v>
      </c>
    </row>
    <row r="897">
      <c r="H897" s="252" t="s">
        <v>161</v>
      </c>
    </row>
    <row r="898">
      <c r="H898" s="252" t="s">
        <v>161</v>
      </c>
    </row>
    <row r="899">
      <c r="H899" s="252" t="s">
        <v>161</v>
      </c>
    </row>
    <row r="900">
      <c r="H900" s="252" t="s">
        <v>161</v>
      </c>
    </row>
    <row r="901">
      <c r="H901" s="252" t="s">
        <v>161</v>
      </c>
    </row>
    <row r="902">
      <c r="H902" s="252" t="s">
        <v>161</v>
      </c>
    </row>
    <row r="903">
      <c r="H903" s="252" t="s">
        <v>161</v>
      </c>
    </row>
    <row r="904">
      <c r="H904" s="252" t="s">
        <v>161</v>
      </c>
    </row>
    <row r="905">
      <c r="H905" s="252" t="s">
        <v>161</v>
      </c>
    </row>
    <row r="906">
      <c r="H906" s="252" t="s">
        <v>161</v>
      </c>
    </row>
    <row r="907">
      <c r="H907" s="252" t="s">
        <v>161</v>
      </c>
    </row>
    <row r="908">
      <c r="H908" s="252" t="s">
        <v>161</v>
      </c>
    </row>
    <row r="909">
      <c r="H909" s="252" t="s">
        <v>161</v>
      </c>
    </row>
    <row r="910">
      <c r="H910" s="252" t="s">
        <v>161</v>
      </c>
    </row>
    <row r="911">
      <c r="H911" s="252" t="s">
        <v>161</v>
      </c>
    </row>
    <row r="912">
      <c r="H912" s="252" t="s">
        <v>161</v>
      </c>
    </row>
    <row r="913">
      <c r="H913" s="252" t="s">
        <v>161</v>
      </c>
    </row>
    <row r="914">
      <c r="H914" s="252" t="s">
        <v>161</v>
      </c>
    </row>
    <row r="915">
      <c r="H915" s="252" t="s">
        <v>161</v>
      </c>
    </row>
    <row r="916">
      <c r="H916" s="252" t="s">
        <v>161</v>
      </c>
    </row>
    <row r="917">
      <c r="H917" s="252" t="s">
        <v>161</v>
      </c>
    </row>
    <row r="918">
      <c r="H918" s="252" t="s">
        <v>161</v>
      </c>
    </row>
    <row r="919">
      <c r="H919" s="252" t="s">
        <v>161</v>
      </c>
    </row>
    <row r="920">
      <c r="H920" s="252" t="s">
        <v>161</v>
      </c>
    </row>
    <row r="921">
      <c r="H921" s="252" t="s">
        <v>161</v>
      </c>
    </row>
    <row r="922">
      <c r="H922" s="252" t="s">
        <v>161</v>
      </c>
    </row>
    <row r="923">
      <c r="H923" s="252" t="s">
        <v>161</v>
      </c>
    </row>
    <row r="924">
      <c r="H924" s="252" t="s">
        <v>161</v>
      </c>
    </row>
    <row r="925">
      <c r="H925" s="252" t="s">
        <v>161</v>
      </c>
    </row>
    <row r="926">
      <c r="H926" s="252" t="s">
        <v>161</v>
      </c>
    </row>
    <row r="927">
      <c r="H927" s="252" t="s">
        <v>161</v>
      </c>
    </row>
    <row r="928">
      <c r="H928" s="252" t="s">
        <v>161</v>
      </c>
    </row>
    <row r="929">
      <c r="H929" s="252" t="s">
        <v>161</v>
      </c>
    </row>
    <row r="930">
      <c r="H930" s="252" t="s">
        <v>161</v>
      </c>
    </row>
    <row r="931">
      <c r="H931" s="252" t="s">
        <v>161</v>
      </c>
    </row>
    <row r="932">
      <c r="H932" s="252" t="s">
        <v>161</v>
      </c>
    </row>
    <row r="933">
      <c r="H933" s="252" t="s">
        <v>161</v>
      </c>
    </row>
    <row r="934">
      <c r="H934" s="252" t="s">
        <v>161</v>
      </c>
    </row>
    <row r="935">
      <c r="H935" s="252" t="s">
        <v>161</v>
      </c>
    </row>
    <row r="936">
      <c r="H936" s="252" t="s">
        <v>161</v>
      </c>
    </row>
    <row r="937">
      <c r="H937" s="252" t="s">
        <v>161</v>
      </c>
    </row>
    <row r="938">
      <c r="H938" s="252" t="s">
        <v>161</v>
      </c>
    </row>
    <row r="939">
      <c r="H939" s="252" t="s">
        <v>161</v>
      </c>
    </row>
    <row r="940">
      <c r="H940" s="252" t="s">
        <v>161</v>
      </c>
    </row>
    <row r="941">
      <c r="H941" s="252" t="s">
        <v>161</v>
      </c>
    </row>
    <row r="942">
      <c r="H942" s="252" t="s">
        <v>161</v>
      </c>
    </row>
    <row r="943">
      <c r="H943" s="252" t="s">
        <v>161</v>
      </c>
    </row>
    <row r="944">
      <c r="H944" s="252" t="s">
        <v>161</v>
      </c>
    </row>
    <row r="945">
      <c r="H945" s="252" t="s">
        <v>161</v>
      </c>
    </row>
    <row r="946">
      <c r="H946" s="252" t="s">
        <v>161</v>
      </c>
    </row>
    <row r="947">
      <c r="H947" s="252" t="s">
        <v>161</v>
      </c>
    </row>
    <row r="948">
      <c r="H948" s="252" t="s">
        <v>161</v>
      </c>
    </row>
    <row r="949">
      <c r="H949" s="252" t="s">
        <v>161</v>
      </c>
    </row>
    <row r="950">
      <c r="H950" s="252" t="s">
        <v>161</v>
      </c>
    </row>
    <row r="951">
      <c r="H951" s="252" t="s">
        <v>161</v>
      </c>
    </row>
    <row r="952">
      <c r="H952" s="252" t="s">
        <v>161</v>
      </c>
    </row>
    <row r="953">
      <c r="H953" s="252" t="s">
        <v>161</v>
      </c>
    </row>
    <row r="954">
      <c r="H954" s="252" t="s">
        <v>161</v>
      </c>
    </row>
    <row r="955">
      <c r="H955" s="252" t="s">
        <v>161</v>
      </c>
    </row>
    <row r="956">
      <c r="H956" s="252" t="s">
        <v>161</v>
      </c>
    </row>
    <row r="957">
      <c r="H957" s="252" t="s">
        <v>161</v>
      </c>
    </row>
    <row r="958">
      <c r="H958" s="252" t="s">
        <v>161</v>
      </c>
    </row>
    <row r="959">
      <c r="H959" s="252" t="s">
        <v>161</v>
      </c>
    </row>
    <row r="960">
      <c r="H960" s="252" t="s">
        <v>161</v>
      </c>
    </row>
    <row r="961">
      <c r="H961" s="252" t="s">
        <v>161</v>
      </c>
    </row>
    <row r="962">
      <c r="H962" s="252" t="s">
        <v>161</v>
      </c>
    </row>
    <row r="963">
      <c r="H963" s="252" t="s">
        <v>161</v>
      </c>
    </row>
    <row r="964">
      <c r="H964" s="252" t="s">
        <v>161</v>
      </c>
    </row>
    <row r="965">
      <c r="H965" s="252" t="s">
        <v>161</v>
      </c>
    </row>
    <row r="966">
      <c r="H966" s="252" t="s">
        <v>161</v>
      </c>
    </row>
    <row r="967">
      <c r="H967" s="252" t="s">
        <v>161</v>
      </c>
    </row>
    <row r="968">
      <c r="H968" s="252" t="s">
        <v>161</v>
      </c>
    </row>
    <row r="969">
      <c r="H969" s="252" t="s">
        <v>161</v>
      </c>
    </row>
    <row r="970">
      <c r="H970" s="252" t="s">
        <v>161</v>
      </c>
    </row>
    <row r="971">
      <c r="H971" s="252" t="s">
        <v>161</v>
      </c>
    </row>
    <row r="972">
      <c r="H972" s="252" t="s">
        <v>161</v>
      </c>
    </row>
    <row r="973">
      <c r="H973" s="252" t="s">
        <v>161</v>
      </c>
    </row>
    <row r="974">
      <c r="H974" s="252" t="s">
        <v>161</v>
      </c>
    </row>
    <row r="975">
      <c r="H975" s="252" t="s">
        <v>161</v>
      </c>
    </row>
    <row r="976">
      <c r="H976" s="252" t="s">
        <v>161</v>
      </c>
    </row>
    <row r="977">
      <c r="H977" s="252" t="s">
        <v>161</v>
      </c>
    </row>
    <row r="978">
      <c r="H978" s="252" t="s">
        <v>161</v>
      </c>
    </row>
    <row r="979">
      <c r="H979" s="252" t="s">
        <v>161</v>
      </c>
    </row>
    <row r="980">
      <c r="H980" s="252" t="s">
        <v>161</v>
      </c>
    </row>
    <row r="981">
      <c r="H981" s="252" t="s">
        <v>161</v>
      </c>
    </row>
    <row r="982">
      <c r="H982" s="252" t="s">
        <v>161</v>
      </c>
    </row>
    <row r="983">
      <c r="H983" s="252" t="s">
        <v>161</v>
      </c>
    </row>
    <row r="984">
      <c r="H984" s="252" t="s">
        <v>161</v>
      </c>
    </row>
    <row r="985">
      <c r="H985" s="252" t="s">
        <v>161</v>
      </c>
    </row>
    <row r="986">
      <c r="H986" s="252" t="s">
        <v>161</v>
      </c>
    </row>
    <row r="987">
      <c r="H987" s="252" t="s">
        <v>161</v>
      </c>
    </row>
    <row r="988">
      <c r="H988" s="252" t="s">
        <v>161</v>
      </c>
    </row>
    <row r="989">
      <c r="H989" s="252" t="s">
        <v>161</v>
      </c>
    </row>
    <row r="990">
      <c r="H990" s="252" t="s">
        <v>161</v>
      </c>
    </row>
    <row r="991">
      <c r="H991" s="252" t="s">
        <v>161</v>
      </c>
    </row>
    <row r="992">
      <c r="H992" s="252" t="s">
        <v>161</v>
      </c>
    </row>
    <row r="993">
      <c r="H993" s="252" t="s">
        <v>161</v>
      </c>
    </row>
    <row r="994">
      <c r="H994" s="252" t="s">
        <v>161</v>
      </c>
    </row>
    <row r="995">
      <c r="H995" s="252" t="s">
        <v>161</v>
      </c>
    </row>
    <row r="996">
      <c r="H996" s="252" t="s">
        <v>161</v>
      </c>
    </row>
    <row r="997">
      <c r="H997" s="252" t="s">
        <v>161</v>
      </c>
    </row>
    <row r="998">
      <c r="H998" s="252" t="s">
        <v>161</v>
      </c>
    </row>
    <row r="999">
      <c r="H999" s="252" t="s">
        <v>161</v>
      </c>
    </row>
    <row r="1000">
      <c r="H1000" s="252" t="s">
        <v>161</v>
      </c>
    </row>
  </sheetData>
  <autoFilter ref="$A$2:$W$59"/>
  <mergeCells count="3">
    <mergeCell ref="L1:O1"/>
    <mergeCell ref="P1:S1"/>
    <mergeCell ref="T1:W1"/>
  </mergeCells>
  <conditionalFormatting sqref="O3:O60">
    <cfRule type="cellIs" dxfId="0" priority="1" operator="lessThan">
      <formula>0</formula>
    </cfRule>
  </conditionalFormatting>
  <conditionalFormatting sqref="S3:S60">
    <cfRule type="cellIs" dxfId="0" priority="2" operator="lessThan">
      <formula>0</formula>
    </cfRule>
  </conditionalFormatting>
  <conditionalFormatting sqref="W28:W65">
    <cfRule type="cellIs" dxfId="0" priority="3" operator="lessThan">
      <formula>0</formula>
    </cfRule>
  </conditionalFormatting>
  <conditionalFormatting sqref="W3:W60">
    <cfRule type="cellIs" dxfId="0" priority="4" operator="lessThan">
      <formula>0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20.5"/>
    <col customWidth="1" min="3" max="3" width="15.88"/>
    <col customWidth="1" min="4" max="4" width="19.38"/>
    <col customWidth="1" min="7" max="7" width="8.38"/>
  </cols>
  <sheetData>
    <row r="1">
      <c r="A1" s="426">
        <v>9.0</v>
      </c>
      <c r="B1" s="258"/>
      <c r="C1" s="258"/>
      <c r="D1" s="258"/>
      <c r="E1" s="258"/>
      <c r="F1" s="258"/>
      <c r="G1" s="258"/>
      <c r="H1" s="258"/>
      <c r="I1" s="427" t="s">
        <v>0</v>
      </c>
      <c r="J1" s="262"/>
      <c r="K1" s="262"/>
      <c r="L1" s="262"/>
      <c r="M1" s="427" t="s">
        <v>348</v>
      </c>
      <c r="N1" s="262"/>
      <c r="O1" s="262"/>
      <c r="P1" s="262"/>
      <c r="Q1" s="427" t="s">
        <v>349</v>
      </c>
      <c r="R1" s="262"/>
      <c r="S1" s="262"/>
      <c r="T1" s="262"/>
      <c r="U1" s="428" t="s">
        <v>350</v>
      </c>
      <c r="V1" s="262"/>
      <c r="W1" s="262"/>
      <c r="X1" s="262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8"/>
      <c r="AP1" s="258"/>
      <c r="AQ1" s="258"/>
      <c r="AR1" s="258"/>
      <c r="AS1" s="258"/>
      <c r="AT1" s="258"/>
      <c r="AU1" s="258"/>
      <c r="AV1" s="258"/>
      <c r="AW1" s="258"/>
      <c r="AX1" s="258"/>
    </row>
    <row r="2">
      <c r="A2" s="429" t="s">
        <v>4</v>
      </c>
      <c r="B2" s="430" t="s">
        <v>351</v>
      </c>
      <c r="C2" s="431" t="s">
        <v>6</v>
      </c>
      <c r="D2" s="432" t="s">
        <v>7</v>
      </c>
      <c r="E2" s="431" t="s">
        <v>171</v>
      </c>
      <c r="F2" s="429" t="s">
        <v>170</v>
      </c>
      <c r="G2" s="13" t="s">
        <v>8</v>
      </c>
      <c r="H2" s="433" t="s">
        <v>9</v>
      </c>
      <c r="I2" s="434" t="s">
        <v>174</v>
      </c>
      <c r="J2" s="435" t="s">
        <v>14</v>
      </c>
      <c r="K2" s="435" t="s">
        <v>15</v>
      </c>
      <c r="L2" s="436" t="s">
        <v>16</v>
      </c>
      <c r="M2" s="429" t="s">
        <v>174</v>
      </c>
      <c r="N2" s="437" t="s">
        <v>14</v>
      </c>
      <c r="O2" s="437" t="s">
        <v>15</v>
      </c>
      <c r="P2" s="438"/>
      <c r="Q2" s="429" t="s">
        <v>174</v>
      </c>
      <c r="R2" s="439" t="s">
        <v>14</v>
      </c>
      <c r="S2" s="439" t="s">
        <v>175</v>
      </c>
      <c r="T2" s="438"/>
      <c r="U2" s="431" t="s">
        <v>174</v>
      </c>
      <c r="V2" s="440" t="s">
        <v>14</v>
      </c>
      <c r="W2" s="440" t="s">
        <v>15</v>
      </c>
      <c r="X2" s="438"/>
      <c r="Y2" s="258"/>
      <c r="Z2" s="259" t="s">
        <v>18</v>
      </c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/>
      <c r="AL2" s="258"/>
      <c r="AM2" s="258"/>
      <c r="AN2" s="258"/>
      <c r="AO2" s="258"/>
      <c r="AP2" s="258"/>
      <c r="AQ2" s="258"/>
      <c r="AR2" s="258"/>
      <c r="AS2" s="258"/>
      <c r="AT2" s="258"/>
      <c r="AU2" s="258"/>
      <c r="AV2" s="258"/>
      <c r="AW2" s="258"/>
      <c r="AX2" s="258"/>
    </row>
    <row r="3" hidden="1">
      <c r="A3" s="441" t="s">
        <v>352</v>
      </c>
      <c r="B3" s="441" t="s">
        <v>353</v>
      </c>
      <c r="C3" s="441" t="s">
        <v>354</v>
      </c>
      <c r="D3" s="442" t="s">
        <v>22</v>
      </c>
      <c r="E3" s="441" t="s">
        <v>355</v>
      </c>
      <c r="F3" s="295"/>
      <c r="G3" s="295"/>
      <c r="H3" s="443" t="str">
        <f t="array" ref="H3:H1000">IF(A3:A1000="", "", 
  IF(G3:G1000="KM", 
    IFERROR(VLOOKUP(A3:A1000, DATA_LIMPIA!A:C, 3, FALSE), ""), 
    IFERROR(VLOOKUP(A3:A1000, DATA_LIMPIA!A:C, 2, FALSE), "")
  )
)</f>
        <v/>
      </c>
      <c r="I3" s="317"/>
      <c r="J3" s="295"/>
      <c r="K3" s="295"/>
      <c r="L3" s="444"/>
      <c r="M3" s="317"/>
      <c r="N3" s="295"/>
      <c r="O3" s="295"/>
      <c r="P3" s="444"/>
      <c r="Q3" s="317"/>
      <c r="R3" s="295"/>
      <c r="S3" s="295"/>
      <c r="T3" s="445">
        <f t="shared" ref="T3:T12" si="1">S3-H3</f>
        <v>0</v>
      </c>
      <c r="U3" s="446"/>
      <c r="V3" s="295"/>
      <c r="W3" s="295"/>
      <c r="X3" s="295"/>
      <c r="Y3" s="258"/>
      <c r="Z3" s="258"/>
      <c r="AA3" s="258"/>
      <c r="AB3" s="258"/>
      <c r="AC3" s="258"/>
      <c r="AD3" s="258"/>
      <c r="AE3" s="258"/>
      <c r="AF3" s="258"/>
      <c r="AG3" s="258"/>
      <c r="AH3" s="258"/>
      <c r="AI3" s="258"/>
      <c r="AJ3" s="258"/>
      <c r="AK3" s="258"/>
      <c r="AL3" s="258"/>
      <c r="AM3" s="258"/>
      <c r="AN3" s="258"/>
      <c r="AO3" s="258"/>
      <c r="AP3" s="258"/>
      <c r="AQ3" s="258"/>
      <c r="AR3" s="258"/>
      <c r="AS3" s="258"/>
      <c r="AT3" s="258"/>
      <c r="AU3" s="258"/>
      <c r="AV3" s="258"/>
      <c r="AW3" s="258"/>
      <c r="AX3" s="258"/>
    </row>
    <row r="4" hidden="1">
      <c r="A4" s="441" t="s">
        <v>356</v>
      </c>
      <c r="B4" s="441" t="s">
        <v>353</v>
      </c>
      <c r="C4" s="441" t="s">
        <v>357</v>
      </c>
      <c r="D4" s="442" t="s">
        <v>22</v>
      </c>
      <c r="E4" s="441" t="s">
        <v>358</v>
      </c>
      <c r="F4" s="295"/>
      <c r="G4" s="295"/>
      <c r="H4" s="443" t="s">
        <v>161</v>
      </c>
      <c r="I4" s="317"/>
      <c r="J4" s="295"/>
      <c r="K4" s="295"/>
      <c r="L4" s="444"/>
      <c r="M4" s="317"/>
      <c r="N4" s="295"/>
      <c r="O4" s="295"/>
      <c r="P4" s="444"/>
      <c r="Q4" s="317"/>
      <c r="R4" s="295"/>
      <c r="S4" s="295"/>
      <c r="T4" s="445">
        <f t="shared" si="1"/>
        <v>0</v>
      </c>
      <c r="U4" s="446"/>
      <c r="V4" s="295"/>
      <c r="W4" s="295"/>
      <c r="X4" s="295"/>
      <c r="Y4" s="258"/>
      <c r="Z4" s="258"/>
      <c r="AA4" s="258"/>
      <c r="AB4" s="258"/>
      <c r="AC4" s="258"/>
      <c r="AD4" s="258"/>
      <c r="AE4" s="258"/>
      <c r="AF4" s="258"/>
      <c r="AG4" s="258"/>
      <c r="AH4" s="258"/>
      <c r="AI4" s="258"/>
      <c r="AJ4" s="258"/>
      <c r="AK4" s="258"/>
      <c r="AL4" s="258"/>
      <c r="AM4" s="258"/>
      <c r="AN4" s="258"/>
      <c r="AO4" s="258"/>
      <c r="AP4" s="258"/>
      <c r="AQ4" s="258"/>
      <c r="AR4" s="258"/>
      <c r="AS4" s="258"/>
      <c r="AT4" s="258"/>
      <c r="AU4" s="258"/>
      <c r="AV4" s="258"/>
      <c r="AW4" s="258"/>
      <c r="AX4" s="258"/>
    </row>
    <row r="5">
      <c r="A5" s="447" t="s">
        <v>359</v>
      </c>
      <c r="B5" s="448" t="s">
        <v>353</v>
      </c>
      <c r="C5" s="448" t="s">
        <v>360</v>
      </c>
      <c r="D5" s="449" t="s">
        <v>37</v>
      </c>
      <c r="E5" s="450" t="s">
        <v>361</v>
      </c>
      <c r="F5" s="374" t="s">
        <v>362</v>
      </c>
      <c r="G5" s="278" t="s">
        <v>96</v>
      </c>
      <c r="H5" s="451">
        <v>11346.0</v>
      </c>
      <c r="I5" s="452">
        <v>46000.0</v>
      </c>
      <c r="J5" s="453">
        <v>11071.0</v>
      </c>
      <c r="K5" s="454">
        <f t="shared" ref="K5:K16" si="2">J5+350</f>
        <v>11421</v>
      </c>
      <c r="L5" s="455">
        <f t="shared" ref="L5:L16" si="3">K5-H5</f>
        <v>75</v>
      </c>
      <c r="M5" s="456">
        <v>45195.0</v>
      </c>
      <c r="N5" s="457">
        <v>10625.0</v>
      </c>
      <c r="O5" s="458">
        <f>N5+2000</f>
        <v>12625</v>
      </c>
      <c r="P5" s="459">
        <f t="shared" ref="P5:P10" si="4">O5-H5</f>
        <v>1279</v>
      </c>
      <c r="Q5" s="460">
        <v>45804.0</v>
      </c>
      <c r="R5" s="461">
        <v>10898.0</v>
      </c>
      <c r="S5" s="462">
        <f t="shared" ref="S5:S13" si="5">R5+2000</f>
        <v>12898</v>
      </c>
      <c r="T5" s="463">
        <f t="shared" si="1"/>
        <v>1552</v>
      </c>
      <c r="U5" s="464">
        <v>45587.0</v>
      </c>
      <c r="V5" s="465">
        <v>10066.0</v>
      </c>
      <c r="W5" s="465">
        <f t="shared" ref="W5:W12" si="6">V5+1000</f>
        <v>11066</v>
      </c>
      <c r="X5" s="466">
        <f t="shared" ref="X5:X10" si="7">W5-H5</f>
        <v>-280</v>
      </c>
      <c r="Y5" s="258"/>
      <c r="Z5" s="258"/>
      <c r="AA5" s="258"/>
      <c r="AB5" s="258"/>
      <c r="AC5" s="258"/>
      <c r="AD5" s="258"/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8"/>
      <c r="AS5" s="258"/>
      <c r="AT5" s="258"/>
      <c r="AU5" s="258"/>
      <c r="AV5" s="258"/>
      <c r="AW5" s="258"/>
      <c r="AX5" s="258"/>
    </row>
    <row r="6">
      <c r="A6" s="467" t="s">
        <v>363</v>
      </c>
      <c r="B6" s="450" t="s">
        <v>353</v>
      </c>
      <c r="C6" s="468" t="s">
        <v>364</v>
      </c>
      <c r="D6" s="449" t="s">
        <v>37</v>
      </c>
      <c r="E6" s="450" t="s">
        <v>365</v>
      </c>
      <c r="F6" s="374" t="s">
        <v>366</v>
      </c>
      <c r="G6" s="278" t="s">
        <v>96</v>
      </c>
      <c r="H6" s="469">
        <v>7466.0</v>
      </c>
      <c r="I6" s="452">
        <v>46039.0</v>
      </c>
      <c r="J6" s="453">
        <v>7113.0</v>
      </c>
      <c r="K6" s="454">
        <f t="shared" si="2"/>
        <v>7463</v>
      </c>
      <c r="L6" s="470">
        <f t="shared" si="3"/>
        <v>-3</v>
      </c>
      <c r="M6" s="460">
        <v>45951.0</v>
      </c>
      <c r="N6" s="457">
        <v>6645.0</v>
      </c>
      <c r="O6" s="458">
        <f>N6+700</f>
        <v>7345</v>
      </c>
      <c r="P6" s="459">
        <f t="shared" si="4"/>
        <v>-121</v>
      </c>
      <c r="Q6" s="343">
        <v>45750.0</v>
      </c>
      <c r="R6" s="461">
        <v>5889.0</v>
      </c>
      <c r="S6" s="462">
        <f t="shared" si="5"/>
        <v>7889</v>
      </c>
      <c r="T6" s="471">
        <f t="shared" si="1"/>
        <v>423</v>
      </c>
      <c r="U6" s="344">
        <v>46039.0</v>
      </c>
      <c r="V6" s="472">
        <v>7113.0</v>
      </c>
      <c r="W6" s="465">
        <f t="shared" si="6"/>
        <v>8113</v>
      </c>
      <c r="X6" s="473">
        <f t="shared" si="7"/>
        <v>647</v>
      </c>
      <c r="Y6" s="258"/>
      <c r="Z6" s="258"/>
      <c r="AA6" s="258"/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</row>
    <row r="7">
      <c r="A7" s="474" t="s">
        <v>367</v>
      </c>
      <c r="B7" s="450" t="s">
        <v>353</v>
      </c>
      <c r="C7" s="468" t="s">
        <v>368</v>
      </c>
      <c r="D7" s="449" t="s">
        <v>37</v>
      </c>
      <c r="E7" s="450" t="s">
        <v>369</v>
      </c>
      <c r="F7" s="475" t="s">
        <v>370</v>
      </c>
      <c r="G7" s="278" t="s">
        <v>96</v>
      </c>
      <c r="H7" s="451">
        <v>6372.0</v>
      </c>
      <c r="I7" s="452">
        <v>46011.0</v>
      </c>
      <c r="J7" s="453">
        <v>6119.0</v>
      </c>
      <c r="K7" s="454">
        <f t="shared" si="2"/>
        <v>6469</v>
      </c>
      <c r="L7" s="476">
        <f t="shared" si="3"/>
        <v>97</v>
      </c>
      <c r="M7" s="460">
        <v>46011.0</v>
      </c>
      <c r="N7" s="457">
        <v>6119.0</v>
      </c>
      <c r="O7" s="458">
        <f t="shared" ref="O7:O12" si="8">N7+2000</f>
        <v>8119</v>
      </c>
      <c r="P7" s="477">
        <f t="shared" si="4"/>
        <v>1747</v>
      </c>
      <c r="Q7" s="460">
        <v>46011.0</v>
      </c>
      <c r="R7" s="461">
        <v>6119.0</v>
      </c>
      <c r="S7" s="462">
        <f t="shared" si="5"/>
        <v>8119</v>
      </c>
      <c r="T7" s="463">
        <f t="shared" si="1"/>
        <v>1747</v>
      </c>
      <c r="U7" s="478">
        <v>45983.0</v>
      </c>
      <c r="V7" s="472">
        <v>5990.0</v>
      </c>
      <c r="W7" s="465">
        <f t="shared" si="6"/>
        <v>6990</v>
      </c>
      <c r="X7" s="466">
        <f t="shared" si="7"/>
        <v>618</v>
      </c>
      <c r="Y7" s="258"/>
      <c r="Z7" s="258"/>
      <c r="AA7" s="258"/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</row>
    <row r="8">
      <c r="A8" s="474" t="s">
        <v>371</v>
      </c>
      <c r="B8" s="450" t="s">
        <v>353</v>
      </c>
      <c r="C8" s="450" t="s">
        <v>372</v>
      </c>
      <c r="D8" s="449" t="s">
        <v>146</v>
      </c>
      <c r="E8" s="449" t="s">
        <v>373</v>
      </c>
      <c r="F8" s="467" t="s">
        <v>374</v>
      </c>
      <c r="G8" s="278" t="s">
        <v>96</v>
      </c>
      <c r="H8" s="479">
        <v>10723.0</v>
      </c>
      <c r="I8" s="452">
        <v>45953.0</v>
      </c>
      <c r="J8" s="453">
        <v>10254.0</v>
      </c>
      <c r="K8" s="454">
        <f t="shared" si="2"/>
        <v>10604</v>
      </c>
      <c r="L8" s="476">
        <f t="shared" si="3"/>
        <v>-119</v>
      </c>
      <c r="M8" s="460">
        <v>45953.0</v>
      </c>
      <c r="N8" s="457">
        <v>10249.0</v>
      </c>
      <c r="O8" s="458">
        <f t="shared" si="8"/>
        <v>12249</v>
      </c>
      <c r="P8" s="477">
        <f t="shared" si="4"/>
        <v>1526</v>
      </c>
      <c r="Q8" s="460">
        <v>45749.0</v>
      </c>
      <c r="R8" s="461">
        <v>9040.0</v>
      </c>
      <c r="S8" s="462">
        <f t="shared" si="5"/>
        <v>11040</v>
      </c>
      <c r="T8" s="463">
        <f t="shared" si="1"/>
        <v>317</v>
      </c>
      <c r="U8" s="478">
        <v>45750.0</v>
      </c>
      <c r="V8" s="472">
        <v>9062.0</v>
      </c>
      <c r="W8" s="465">
        <f t="shared" si="6"/>
        <v>10062</v>
      </c>
      <c r="X8" s="463">
        <f t="shared" si="7"/>
        <v>-661</v>
      </c>
      <c r="Y8" s="258"/>
      <c r="Z8" s="258"/>
      <c r="AA8" s="258"/>
      <c r="AB8" s="258"/>
      <c r="AC8" s="258"/>
      <c r="AD8" s="258"/>
      <c r="AE8" s="258"/>
      <c r="AF8" s="258"/>
      <c r="AG8" s="258"/>
      <c r="AH8" s="258"/>
      <c r="AI8" s="258"/>
      <c r="AJ8" s="258"/>
      <c r="AK8" s="258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  <c r="AX8" s="258"/>
    </row>
    <row r="9">
      <c r="A9" s="474" t="s">
        <v>375</v>
      </c>
      <c r="B9" s="450" t="s">
        <v>353</v>
      </c>
      <c r="C9" s="450" t="s">
        <v>21</v>
      </c>
      <c r="D9" s="449" t="s">
        <v>37</v>
      </c>
      <c r="E9" s="450" t="s">
        <v>376</v>
      </c>
      <c r="F9" s="474" t="s">
        <v>377</v>
      </c>
      <c r="G9" s="278" t="s">
        <v>96</v>
      </c>
      <c r="H9" s="451">
        <v>9130.0</v>
      </c>
      <c r="I9" s="402">
        <v>46073.0</v>
      </c>
      <c r="J9" s="480">
        <v>9057.0</v>
      </c>
      <c r="K9" s="454">
        <f t="shared" si="2"/>
        <v>9407</v>
      </c>
      <c r="L9" s="476">
        <f t="shared" si="3"/>
        <v>277</v>
      </c>
      <c r="M9" s="460">
        <v>45910.0</v>
      </c>
      <c r="N9" s="25">
        <v>8255.0</v>
      </c>
      <c r="O9" s="458">
        <f t="shared" si="8"/>
        <v>10255</v>
      </c>
      <c r="P9" s="477">
        <f t="shared" si="4"/>
        <v>1125</v>
      </c>
      <c r="Q9" s="415">
        <v>45737.0</v>
      </c>
      <c r="R9" s="304">
        <v>7874.0</v>
      </c>
      <c r="S9" s="462">
        <f t="shared" si="5"/>
        <v>9874</v>
      </c>
      <c r="T9" s="463">
        <f t="shared" si="1"/>
        <v>744</v>
      </c>
      <c r="U9" s="478">
        <v>45910.0</v>
      </c>
      <c r="V9" s="25">
        <v>8255.0</v>
      </c>
      <c r="W9" s="465">
        <f t="shared" si="6"/>
        <v>9255</v>
      </c>
      <c r="X9" s="463">
        <f t="shared" si="7"/>
        <v>125</v>
      </c>
      <c r="Y9" s="258"/>
      <c r="Z9" s="258"/>
      <c r="AA9" s="258"/>
      <c r="AB9" s="258"/>
      <c r="AC9" s="258"/>
      <c r="AD9" s="258"/>
      <c r="AE9" s="258"/>
      <c r="AF9" s="258"/>
      <c r="AG9" s="258"/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  <c r="AX9" s="258"/>
    </row>
    <row r="10">
      <c r="A10" s="448" t="s">
        <v>378</v>
      </c>
      <c r="B10" s="448" t="s">
        <v>353</v>
      </c>
      <c r="C10" s="448" t="s">
        <v>379</v>
      </c>
      <c r="D10" s="449" t="s">
        <v>342</v>
      </c>
      <c r="E10" s="449" t="s">
        <v>380</v>
      </c>
      <c r="F10" s="319" t="s">
        <v>381</v>
      </c>
      <c r="G10" s="278" t="s">
        <v>96</v>
      </c>
      <c r="H10" s="451">
        <v>23292.0</v>
      </c>
      <c r="I10" s="452">
        <v>45882.0</v>
      </c>
      <c r="J10" s="453">
        <v>23118.0</v>
      </c>
      <c r="K10" s="454">
        <f t="shared" si="2"/>
        <v>23468</v>
      </c>
      <c r="L10" s="476">
        <f t="shared" si="3"/>
        <v>176</v>
      </c>
      <c r="M10" s="456">
        <v>45630.0</v>
      </c>
      <c r="N10" s="458">
        <v>22149.0</v>
      </c>
      <c r="O10" s="458">
        <f t="shared" si="8"/>
        <v>24149</v>
      </c>
      <c r="P10" s="477">
        <f t="shared" si="4"/>
        <v>857</v>
      </c>
      <c r="Q10" s="481"/>
      <c r="R10" s="462">
        <v>22085.0</v>
      </c>
      <c r="S10" s="462">
        <f t="shared" si="5"/>
        <v>24085</v>
      </c>
      <c r="T10" s="463">
        <f t="shared" si="1"/>
        <v>793</v>
      </c>
      <c r="U10" s="464">
        <v>45635.0</v>
      </c>
      <c r="V10" s="465">
        <v>22461.0</v>
      </c>
      <c r="W10" s="465">
        <f t="shared" si="6"/>
        <v>23461</v>
      </c>
      <c r="X10" s="463">
        <f t="shared" si="7"/>
        <v>169</v>
      </c>
      <c r="Y10" s="258"/>
      <c r="Z10" s="258"/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  <c r="AX10" s="258"/>
    </row>
    <row r="11">
      <c r="A11" s="474" t="s">
        <v>382</v>
      </c>
      <c r="B11" s="450" t="s">
        <v>353</v>
      </c>
      <c r="C11" s="450" t="s">
        <v>379</v>
      </c>
      <c r="D11" s="482" t="s">
        <v>342</v>
      </c>
      <c r="E11" s="325"/>
      <c r="F11" s="474" t="s">
        <v>383</v>
      </c>
      <c r="G11" s="278" t="s">
        <v>96</v>
      </c>
      <c r="H11" s="451">
        <v>17265.0</v>
      </c>
      <c r="I11" s="452">
        <v>45972.0</v>
      </c>
      <c r="J11" s="453">
        <v>17253.0</v>
      </c>
      <c r="K11" s="454">
        <f t="shared" si="2"/>
        <v>17603</v>
      </c>
      <c r="L11" s="476">
        <f t="shared" si="3"/>
        <v>338</v>
      </c>
      <c r="M11" s="483">
        <v>45567.0</v>
      </c>
      <c r="N11" s="458">
        <v>15889.0</v>
      </c>
      <c r="O11" s="458">
        <f t="shared" si="8"/>
        <v>17889</v>
      </c>
      <c r="P11" s="477">
        <f>O11-H5</f>
        <v>6543</v>
      </c>
      <c r="Q11" s="483">
        <v>45567.0</v>
      </c>
      <c r="R11" s="462">
        <v>15889.0</v>
      </c>
      <c r="S11" s="462">
        <f t="shared" si="5"/>
        <v>17889</v>
      </c>
      <c r="T11" s="463">
        <f t="shared" si="1"/>
        <v>624</v>
      </c>
      <c r="U11" s="484">
        <v>45567.0</v>
      </c>
      <c r="V11" s="465">
        <v>15889.0</v>
      </c>
      <c r="W11" s="465">
        <f t="shared" si="6"/>
        <v>16889</v>
      </c>
      <c r="X11" s="473">
        <f>W11-H6</f>
        <v>9423</v>
      </c>
      <c r="Y11" s="258"/>
      <c r="Z11" s="258"/>
      <c r="AA11" s="258"/>
      <c r="AB11" s="258"/>
      <c r="AC11" s="258"/>
      <c r="AD11" s="258"/>
      <c r="AE11" s="258"/>
      <c r="AF11" s="258"/>
      <c r="AG11" s="258"/>
      <c r="AH11" s="258"/>
      <c r="AI11" s="258"/>
      <c r="AJ11" s="258"/>
      <c r="AK11" s="258"/>
      <c r="AL11" s="258"/>
      <c r="AM11" s="258"/>
      <c r="AN11" s="258"/>
      <c r="AO11" s="258"/>
      <c r="AP11" s="258"/>
      <c r="AQ11" s="258"/>
      <c r="AR11" s="258"/>
      <c r="AS11" s="258"/>
      <c r="AT11" s="258"/>
      <c r="AU11" s="258"/>
      <c r="AV11" s="258"/>
      <c r="AW11" s="258"/>
      <c r="AX11" s="258"/>
    </row>
    <row r="12">
      <c r="A12" s="474" t="s">
        <v>384</v>
      </c>
      <c r="B12" s="450" t="s">
        <v>353</v>
      </c>
      <c r="C12" s="449" t="s">
        <v>379</v>
      </c>
      <c r="D12" s="482"/>
      <c r="E12" s="482" t="s">
        <v>385</v>
      </c>
      <c r="F12" s="485" t="s">
        <v>386</v>
      </c>
      <c r="G12" s="278" t="s">
        <v>96</v>
      </c>
      <c r="H12" s="451">
        <v>4671.0</v>
      </c>
      <c r="I12" s="452"/>
      <c r="J12" s="486">
        <v>4419.0</v>
      </c>
      <c r="K12" s="454">
        <f t="shared" si="2"/>
        <v>4769</v>
      </c>
      <c r="L12" s="476">
        <f t="shared" si="3"/>
        <v>98</v>
      </c>
      <c r="M12" s="483"/>
      <c r="N12" s="487">
        <v>4419.0</v>
      </c>
      <c r="O12" s="458">
        <f t="shared" si="8"/>
        <v>6419</v>
      </c>
      <c r="P12" s="477">
        <f>O12-H12</f>
        <v>1748</v>
      </c>
      <c r="Q12" s="483"/>
      <c r="R12" s="461">
        <v>4419.0</v>
      </c>
      <c r="S12" s="462">
        <f t="shared" si="5"/>
        <v>6419</v>
      </c>
      <c r="T12" s="463">
        <f t="shared" si="1"/>
        <v>1748</v>
      </c>
      <c r="U12" s="484"/>
      <c r="V12" s="472">
        <v>4419.0</v>
      </c>
      <c r="W12" s="465">
        <f t="shared" si="6"/>
        <v>5419</v>
      </c>
      <c r="X12" s="473">
        <f>W12-H12</f>
        <v>748</v>
      </c>
      <c r="Y12" s="258"/>
      <c r="Z12" s="258"/>
      <c r="AA12" s="258"/>
      <c r="AB12" s="258"/>
      <c r="AC12" s="258"/>
      <c r="AD12" s="258"/>
      <c r="AE12" s="258"/>
      <c r="AF12" s="258"/>
      <c r="AG12" s="258"/>
      <c r="AH12" s="258"/>
      <c r="AI12" s="258"/>
      <c r="AJ12" s="258"/>
      <c r="AK12" s="258"/>
      <c r="AL12" s="258"/>
      <c r="AM12" s="258"/>
      <c r="AN12" s="258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</row>
    <row r="13" hidden="1">
      <c r="A13" s="488" t="s">
        <v>387</v>
      </c>
      <c r="B13" s="488" t="s">
        <v>388</v>
      </c>
      <c r="C13" s="488" t="s">
        <v>372</v>
      </c>
      <c r="D13" s="488"/>
      <c r="E13" s="488">
        <v>250.0</v>
      </c>
      <c r="F13" s="294"/>
      <c r="G13" s="294"/>
      <c r="H13" s="489"/>
      <c r="I13" s="490">
        <v>45418.0</v>
      </c>
      <c r="J13" s="445">
        <v>53040.0</v>
      </c>
      <c r="K13" s="445">
        <f t="shared" si="2"/>
        <v>53390</v>
      </c>
      <c r="L13" s="491">
        <f t="shared" si="3"/>
        <v>53390</v>
      </c>
      <c r="M13" s="317"/>
      <c r="N13" s="295"/>
      <c r="O13" s="295"/>
      <c r="P13" s="492">
        <v>0.0</v>
      </c>
      <c r="Q13" s="493">
        <v>45418.0</v>
      </c>
      <c r="R13" s="445">
        <v>53040.0</v>
      </c>
      <c r="S13" s="445">
        <f t="shared" si="5"/>
        <v>55040</v>
      </c>
      <c r="T13" s="494">
        <v>0.0</v>
      </c>
      <c r="U13" s="446"/>
      <c r="V13" s="295"/>
      <c r="W13" s="295"/>
      <c r="X13" s="494">
        <v>0.0</v>
      </c>
      <c r="Y13" s="258"/>
      <c r="Z13" s="258"/>
      <c r="AA13" s="258"/>
      <c r="AB13" s="258"/>
      <c r="AC13" s="258"/>
      <c r="AD13" s="258"/>
      <c r="AE13" s="258"/>
      <c r="AF13" s="258"/>
      <c r="AG13" s="258"/>
      <c r="AH13" s="258"/>
      <c r="AI13" s="258"/>
      <c r="AJ13" s="258"/>
      <c r="AK13" s="258"/>
      <c r="AL13" s="258"/>
      <c r="AM13" s="258"/>
      <c r="AN13" s="258"/>
      <c r="AO13" s="258"/>
      <c r="AP13" s="258"/>
      <c r="AQ13" s="258"/>
      <c r="AR13" s="258"/>
      <c r="AS13" s="258"/>
      <c r="AT13" s="258"/>
      <c r="AU13" s="258"/>
      <c r="AV13" s="258"/>
      <c r="AW13" s="258"/>
      <c r="AX13" s="258"/>
    </row>
    <row r="14" hidden="1">
      <c r="A14" s="488" t="s">
        <v>389</v>
      </c>
      <c r="B14" s="488" t="s">
        <v>388</v>
      </c>
      <c r="C14" s="488" t="s">
        <v>390</v>
      </c>
      <c r="D14" s="488"/>
      <c r="E14" s="488" t="s">
        <v>391</v>
      </c>
      <c r="F14" s="488" t="s">
        <v>392</v>
      </c>
      <c r="G14" s="294"/>
      <c r="H14" s="443"/>
      <c r="I14" s="406"/>
      <c r="J14" s="295"/>
      <c r="K14" s="445">
        <f t="shared" si="2"/>
        <v>350</v>
      </c>
      <c r="L14" s="491">
        <f t="shared" si="3"/>
        <v>350</v>
      </c>
      <c r="M14" s="317"/>
      <c r="N14" s="295"/>
      <c r="O14" s="295"/>
      <c r="P14" s="495">
        <v>0.0</v>
      </c>
      <c r="Q14" s="317"/>
      <c r="R14" s="295"/>
      <c r="S14" s="295"/>
      <c r="T14" s="445">
        <f t="shared" ref="T14:T16" si="9">S14-H14</f>
        <v>0</v>
      </c>
      <c r="U14" s="446"/>
      <c r="V14" s="295"/>
      <c r="W14" s="295"/>
      <c r="X14" s="494">
        <v>0.0</v>
      </c>
      <c r="Y14" s="258"/>
      <c r="Z14" s="258"/>
      <c r="AA14" s="258"/>
      <c r="AB14" s="258"/>
      <c r="AC14" s="258"/>
      <c r="AD14" s="258"/>
      <c r="AE14" s="258"/>
      <c r="AF14" s="258"/>
      <c r="AG14" s="258"/>
      <c r="AH14" s="258"/>
      <c r="AI14" s="258"/>
      <c r="AJ14" s="258"/>
      <c r="AK14" s="258"/>
      <c r="AL14" s="258"/>
      <c r="AM14" s="258"/>
      <c r="AN14" s="258"/>
      <c r="AO14" s="258"/>
      <c r="AP14" s="258"/>
      <c r="AQ14" s="258"/>
      <c r="AR14" s="258"/>
      <c r="AS14" s="258"/>
      <c r="AT14" s="258"/>
      <c r="AU14" s="258"/>
      <c r="AV14" s="258"/>
      <c r="AW14" s="258"/>
      <c r="AX14" s="258"/>
    </row>
    <row r="15">
      <c r="A15" s="474" t="s">
        <v>393</v>
      </c>
      <c r="B15" s="450" t="s">
        <v>394</v>
      </c>
      <c r="C15" s="450" t="s">
        <v>395</v>
      </c>
      <c r="D15" s="325"/>
      <c r="E15" s="325"/>
      <c r="F15" s="276"/>
      <c r="G15" s="278" t="s">
        <v>96</v>
      </c>
      <c r="H15" s="451">
        <v>18715.0</v>
      </c>
      <c r="I15" s="452">
        <v>46090.0</v>
      </c>
      <c r="J15" s="453">
        <v>18706.0</v>
      </c>
      <c r="K15" s="454">
        <f t="shared" si="2"/>
        <v>19056</v>
      </c>
      <c r="L15" s="476">
        <f t="shared" si="3"/>
        <v>341</v>
      </c>
      <c r="M15" s="323"/>
      <c r="N15" s="302"/>
      <c r="O15" s="302"/>
      <c r="P15" s="496"/>
      <c r="Q15" s="323"/>
      <c r="R15" s="305"/>
      <c r="S15" s="305"/>
      <c r="T15" s="497">
        <f t="shared" si="9"/>
        <v>-18715</v>
      </c>
      <c r="U15" s="324"/>
      <c r="V15" s="498"/>
      <c r="W15" s="498"/>
      <c r="X15" s="277"/>
      <c r="Y15" s="258"/>
      <c r="Z15" s="25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</row>
    <row r="16">
      <c r="A16" s="474" t="s">
        <v>396</v>
      </c>
      <c r="B16" s="450" t="s">
        <v>388</v>
      </c>
      <c r="C16" s="450" t="s">
        <v>397</v>
      </c>
      <c r="D16" s="325"/>
      <c r="E16" s="325"/>
      <c r="F16" s="276"/>
      <c r="G16" s="278" t="s">
        <v>96</v>
      </c>
      <c r="H16" s="451">
        <v>7821.0</v>
      </c>
      <c r="I16" s="499">
        <v>46071.0</v>
      </c>
      <c r="J16" s="500">
        <v>7800.0</v>
      </c>
      <c r="K16" s="501">
        <f t="shared" si="2"/>
        <v>8150</v>
      </c>
      <c r="L16" s="476">
        <f t="shared" si="3"/>
        <v>329</v>
      </c>
      <c r="M16" s="499">
        <v>45845.0</v>
      </c>
      <c r="N16" s="502">
        <v>7681.0</v>
      </c>
      <c r="O16" s="503">
        <f>J16+2000</f>
        <v>9800</v>
      </c>
      <c r="P16" s="476">
        <f>O16-H9</f>
        <v>670</v>
      </c>
      <c r="Q16" s="499">
        <v>45845.0</v>
      </c>
      <c r="R16" s="504">
        <v>7681.0</v>
      </c>
      <c r="S16" s="505">
        <f>J16+2000</f>
        <v>9800</v>
      </c>
      <c r="T16" s="466">
        <f t="shared" si="9"/>
        <v>1979</v>
      </c>
      <c r="U16" s="324"/>
      <c r="V16" s="498"/>
      <c r="W16" s="498"/>
      <c r="X16" s="497">
        <f>W16-H5</f>
        <v>-11346</v>
      </c>
      <c r="Y16" s="258"/>
      <c r="Z16" s="258"/>
      <c r="AA16" s="258"/>
      <c r="AB16" s="258"/>
      <c r="AC16" s="258"/>
      <c r="AD16" s="258"/>
      <c r="AE16" s="258"/>
      <c r="AF16" s="258"/>
      <c r="AG16" s="258"/>
      <c r="AH16" s="258"/>
      <c r="AI16" s="258"/>
      <c r="AJ16" s="258"/>
      <c r="AK16" s="258"/>
      <c r="AL16" s="258"/>
      <c r="AM16" s="258"/>
      <c r="AN16" s="258"/>
      <c r="AO16" s="258"/>
      <c r="AP16" s="258"/>
      <c r="AQ16" s="258"/>
      <c r="AR16" s="258"/>
      <c r="AS16" s="258"/>
      <c r="AT16" s="258"/>
      <c r="AU16" s="258"/>
      <c r="AV16" s="258"/>
      <c r="AW16" s="258"/>
      <c r="AX16" s="258"/>
    </row>
    <row r="17">
      <c r="H17" s="252" t="s">
        <v>161</v>
      </c>
      <c r="X17" s="252"/>
    </row>
    <row r="18">
      <c r="H18" s="252" t="s">
        <v>161</v>
      </c>
    </row>
    <row r="19">
      <c r="H19" s="252" t="s">
        <v>161</v>
      </c>
    </row>
    <row r="20">
      <c r="H20" s="252" t="s">
        <v>161</v>
      </c>
    </row>
    <row r="21">
      <c r="H21" s="252" t="s">
        <v>161</v>
      </c>
    </row>
    <row r="22">
      <c r="H22" s="252" t="s">
        <v>161</v>
      </c>
    </row>
    <row r="23">
      <c r="H23" s="252" t="s">
        <v>161</v>
      </c>
    </row>
    <row r="24">
      <c r="H24" s="252" t="s">
        <v>161</v>
      </c>
    </row>
    <row r="25">
      <c r="H25" s="252" t="s">
        <v>161</v>
      </c>
    </row>
    <row r="26">
      <c r="H26" s="252" t="s">
        <v>161</v>
      </c>
    </row>
    <row r="27">
      <c r="G27" s="254"/>
      <c r="H27" s="252" t="s">
        <v>161</v>
      </c>
    </row>
    <row r="28">
      <c r="H28" s="252" t="s">
        <v>161</v>
      </c>
    </row>
    <row r="29">
      <c r="H29" s="252" t="s">
        <v>161</v>
      </c>
    </row>
    <row r="30">
      <c r="H30" s="252" t="s">
        <v>161</v>
      </c>
    </row>
    <row r="31">
      <c r="H31" s="252" t="s">
        <v>161</v>
      </c>
    </row>
    <row r="32">
      <c r="H32" s="252" t="s">
        <v>161</v>
      </c>
    </row>
    <row r="33">
      <c r="H33" s="252" t="s">
        <v>161</v>
      </c>
    </row>
    <row r="34">
      <c r="H34" s="252" t="s">
        <v>161</v>
      </c>
    </row>
    <row r="35">
      <c r="H35" s="252" t="s">
        <v>161</v>
      </c>
    </row>
    <row r="36">
      <c r="H36" s="252" t="s">
        <v>161</v>
      </c>
    </row>
    <row r="37">
      <c r="H37" s="252" t="s">
        <v>161</v>
      </c>
    </row>
    <row r="38">
      <c r="H38" s="252" t="s">
        <v>161</v>
      </c>
    </row>
    <row r="39">
      <c r="H39" s="252" t="s">
        <v>161</v>
      </c>
    </row>
    <row r="40">
      <c r="H40" s="252" t="s">
        <v>161</v>
      </c>
    </row>
    <row r="41">
      <c r="H41" s="252" t="s">
        <v>161</v>
      </c>
    </row>
    <row r="42">
      <c r="H42" s="252" t="s">
        <v>161</v>
      </c>
    </row>
    <row r="43">
      <c r="H43" s="252" t="s">
        <v>161</v>
      </c>
    </row>
    <row r="44">
      <c r="H44" s="252" t="s">
        <v>161</v>
      </c>
    </row>
    <row r="45">
      <c r="H45" s="252" t="s">
        <v>161</v>
      </c>
    </row>
    <row r="46">
      <c r="H46" s="252" t="s">
        <v>161</v>
      </c>
    </row>
    <row r="47">
      <c r="H47" s="252" t="s">
        <v>161</v>
      </c>
    </row>
    <row r="48">
      <c r="H48" s="252" t="s">
        <v>161</v>
      </c>
    </row>
    <row r="49">
      <c r="H49" s="252" t="s">
        <v>161</v>
      </c>
    </row>
    <row r="50">
      <c r="H50" s="252" t="s">
        <v>161</v>
      </c>
    </row>
    <row r="51">
      <c r="H51" s="252" t="s">
        <v>161</v>
      </c>
    </row>
    <row r="52">
      <c r="H52" s="252" t="s">
        <v>161</v>
      </c>
    </row>
    <row r="53">
      <c r="H53" s="252" t="s">
        <v>161</v>
      </c>
    </row>
    <row r="54">
      <c r="H54" s="252" t="s">
        <v>161</v>
      </c>
    </row>
    <row r="55">
      <c r="H55" s="252" t="s">
        <v>161</v>
      </c>
    </row>
    <row r="56">
      <c r="H56" s="252" t="s">
        <v>161</v>
      </c>
    </row>
    <row r="57">
      <c r="H57" s="252" t="s">
        <v>161</v>
      </c>
    </row>
    <row r="58">
      <c r="H58" s="252" t="s">
        <v>161</v>
      </c>
    </row>
    <row r="59">
      <c r="H59" s="252" t="s">
        <v>161</v>
      </c>
    </row>
    <row r="60">
      <c r="H60" s="252" t="s">
        <v>161</v>
      </c>
    </row>
    <row r="61">
      <c r="H61" s="252" t="s">
        <v>161</v>
      </c>
    </row>
    <row r="62">
      <c r="H62" s="252" t="s">
        <v>161</v>
      </c>
    </row>
    <row r="63">
      <c r="H63" s="252" t="s">
        <v>161</v>
      </c>
    </row>
    <row r="64">
      <c r="H64" s="252" t="s">
        <v>161</v>
      </c>
    </row>
    <row r="65">
      <c r="H65" s="252" t="s">
        <v>161</v>
      </c>
    </row>
    <row r="66">
      <c r="H66" s="252" t="s">
        <v>161</v>
      </c>
    </row>
    <row r="67">
      <c r="H67" s="252" t="s">
        <v>161</v>
      </c>
    </row>
    <row r="68">
      <c r="H68" s="252" t="s">
        <v>161</v>
      </c>
    </row>
    <row r="69">
      <c r="H69" s="252" t="s">
        <v>161</v>
      </c>
    </row>
    <row r="70">
      <c r="H70" s="252" t="s">
        <v>161</v>
      </c>
    </row>
    <row r="71">
      <c r="H71" s="252" t="s">
        <v>161</v>
      </c>
    </row>
    <row r="72">
      <c r="H72" s="252" t="s">
        <v>161</v>
      </c>
    </row>
    <row r="73">
      <c r="H73" s="252" t="s">
        <v>161</v>
      </c>
    </row>
    <row r="74">
      <c r="H74" s="252" t="s">
        <v>161</v>
      </c>
    </row>
    <row r="75">
      <c r="H75" s="252" t="s">
        <v>161</v>
      </c>
    </row>
    <row r="76">
      <c r="H76" s="252" t="s">
        <v>161</v>
      </c>
    </row>
    <row r="77">
      <c r="H77" s="252" t="s">
        <v>161</v>
      </c>
    </row>
    <row r="78">
      <c r="H78" s="252" t="s">
        <v>161</v>
      </c>
    </row>
    <row r="79">
      <c r="H79" s="252" t="s">
        <v>161</v>
      </c>
    </row>
    <row r="80">
      <c r="H80" s="252" t="s">
        <v>161</v>
      </c>
    </row>
    <row r="81">
      <c r="H81" s="252" t="s">
        <v>161</v>
      </c>
    </row>
    <row r="82">
      <c r="H82" s="252" t="s">
        <v>161</v>
      </c>
    </row>
    <row r="83">
      <c r="H83" s="252" t="s">
        <v>161</v>
      </c>
    </row>
    <row r="84">
      <c r="H84" s="252" t="s">
        <v>161</v>
      </c>
    </row>
    <row r="85">
      <c r="H85" s="252" t="s">
        <v>161</v>
      </c>
    </row>
    <row r="86">
      <c r="H86" s="252" t="s">
        <v>161</v>
      </c>
    </row>
    <row r="87">
      <c r="H87" s="252" t="s">
        <v>161</v>
      </c>
    </row>
    <row r="88">
      <c r="H88" s="252" t="s">
        <v>161</v>
      </c>
    </row>
    <row r="89">
      <c r="H89" s="252" t="s">
        <v>161</v>
      </c>
    </row>
    <row r="90">
      <c r="H90" s="252" t="s">
        <v>161</v>
      </c>
    </row>
    <row r="91">
      <c r="H91" s="252" t="s">
        <v>161</v>
      </c>
    </row>
    <row r="92">
      <c r="H92" s="252" t="s">
        <v>161</v>
      </c>
    </row>
    <row r="93">
      <c r="H93" s="252" t="s">
        <v>161</v>
      </c>
    </row>
    <row r="94">
      <c r="H94" s="252" t="s">
        <v>161</v>
      </c>
    </row>
    <row r="95">
      <c r="H95" s="252" t="s">
        <v>161</v>
      </c>
    </row>
    <row r="96">
      <c r="H96" s="252" t="s">
        <v>161</v>
      </c>
    </row>
    <row r="97">
      <c r="H97" s="252" t="s">
        <v>161</v>
      </c>
    </row>
    <row r="98">
      <c r="H98" s="252" t="s">
        <v>161</v>
      </c>
    </row>
    <row r="99">
      <c r="H99" s="252" t="s">
        <v>161</v>
      </c>
    </row>
    <row r="100">
      <c r="H100" s="252" t="s">
        <v>161</v>
      </c>
    </row>
    <row r="101">
      <c r="H101" s="252" t="s">
        <v>161</v>
      </c>
    </row>
    <row r="102">
      <c r="H102" s="252" t="s">
        <v>161</v>
      </c>
    </row>
    <row r="103">
      <c r="H103" s="252" t="s">
        <v>161</v>
      </c>
    </row>
    <row r="104">
      <c r="H104" s="252" t="s">
        <v>161</v>
      </c>
    </row>
    <row r="105">
      <c r="H105" s="252" t="s">
        <v>161</v>
      </c>
    </row>
    <row r="106">
      <c r="H106" s="252" t="s">
        <v>161</v>
      </c>
    </row>
    <row r="107">
      <c r="H107" s="252" t="s">
        <v>161</v>
      </c>
    </row>
    <row r="108">
      <c r="H108" s="252" t="s">
        <v>161</v>
      </c>
    </row>
    <row r="109">
      <c r="H109" s="252" t="s">
        <v>161</v>
      </c>
    </row>
    <row r="110">
      <c r="H110" s="252" t="s">
        <v>161</v>
      </c>
    </row>
    <row r="111">
      <c r="H111" s="252" t="s">
        <v>161</v>
      </c>
    </row>
    <row r="112">
      <c r="H112" s="252" t="s">
        <v>161</v>
      </c>
    </row>
    <row r="113">
      <c r="H113" s="252" t="s">
        <v>161</v>
      </c>
    </row>
    <row r="114">
      <c r="H114" s="252" t="s">
        <v>161</v>
      </c>
    </row>
    <row r="115">
      <c r="H115" s="252" t="s">
        <v>161</v>
      </c>
    </row>
    <row r="116">
      <c r="H116" s="252" t="s">
        <v>161</v>
      </c>
    </row>
    <row r="117">
      <c r="H117" s="252" t="s">
        <v>161</v>
      </c>
    </row>
    <row r="118">
      <c r="H118" s="252" t="s">
        <v>161</v>
      </c>
    </row>
    <row r="119">
      <c r="H119" s="252" t="s">
        <v>161</v>
      </c>
    </row>
    <row r="120">
      <c r="H120" s="252" t="s">
        <v>161</v>
      </c>
    </row>
    <row r="121">
      <c r="H121" s="252" t="s">
        <v>161</v>
      </c>
    </row>
    <row r="122">
      <c r="H122" s="252" t="s">
        <v>161</v>
      </c>
    </row>
    <row r="123">
      <c r="H123" s="252" t="s">
        <v>161</v>
      </c>
    </row>
    <row r="124">
      <c r="H124" s="252" t="s">
        <v>161</v>
      </c>
    </row>
    <row r="125">
      <c r="H125" s="252" t="s">
        <v>161</v>
      </c>
    </row>
    <row r="126">
      <c r="H126" s="252" t="s">
        <v>161</v>
      </c>
    </row>
    <row r="127">
      <c r="H127" s="252" t="s">
        <v>161</v>
      </c>
    </row>
    <row r="128">
      <c r="H128" s="252" t="s">
        <v>161</v>
      </c>
    </row>
    <row r="129">
      <c r="H129" s="252" t="s">
        <v>161</v>
      </c>
    </row>
    <row r="130">
      <c r="H130" s="252" t="s">
        <v>161</v>
      </c>
    </row>
    <row r="131">
      <c r="H131" s="252" t="s">
        <v>161</v>
      </c>
    </row>
    <row r="132">
      <c r="H132" s="252" t="s">
        <v>161</v>
      </c>
    </row>
    <row r="133">
      <c r="H133" s="252" t="s">
        <v>161</v>
      </c>
    </row>
    <row r="134">
      <c r="H134" s="252" t="s">
        <v>161</v>
      </c>
    </row>
    <row r="135">
      <c r="H135" s="252" t="s">
        <v>161</v>
      </c>
    </row>
    <row r="136">
      <c r="H136" s="252" t="s">
        <v>161</v>
      </c>
    </row>
    <row r="137">
      <c r="H137" s="252" t="s">
        <v>161</v>
      </c>
    </row>
    <row r="138">
      <c r="H138" s="252" t="s">
        <v>161</v>
      </c>
    </row>
    <row r="139">
      <c r="H139" s="252" t="s">
        <v>161</v>
      </c>
    </row>
    <row r="140">
      <c r="H140" s="252" t="s">
        <v>161</v>
      </c>
    </row>
    <row r="141">
      <c r="H141" s="252" t="s">
        <v>161</v>
      </c>
    </row>
    <row r="142">
      <c r="H142" s="252" t="s">
        <v>161</v>
      </c>
    </row>
    <row r="143">
      <c r="H143" s="252" t="s">
        <v>161</v>
      </c>
    </row>
    <row r="144">
      <c r="H144" s="252" t="s">
        <v>161</v>
      </c>
    </row>
    <row r="145">
      <c r="H145" s="252" t="s">
        <v>161</v>
      </c>
    </row>
    <row r="146">
      <c r="H146" s="252" t="s">
        <v>161</v>
      </c>
    </row>
    <row r="147">
      <c r="H147" s="252" t="s">
        <v>161</v>
      </c>
    </row>
    <row r="148">
      <c r="H148" s="252" t="s">
        <v>161</v>
      </c>
    </row>
    <row r="149">
      <c r="H149" s="252" t="s">
        <v>161</v>
      </c>
    </row>
    <row r="150">
      <c r="H150" s="252" t="s">
        <v>161</v>
      </c>
    </row>
    <row r="151">
      <c r="H151" s="252" t="s">
        <v>161</v>
      </c>
    </row>
    <row r="152">
      <c r="H152" s="252" t="s">
        <v>161</v>
      </c>
    </row>
    <row r="153">
      <c r="H153" s="252" t="s">
        <v>161</v>
      </c>
    </row>
    <row r="154">
      <c r="H154" s="252" t="s">
        <v>161</v>
      </c>
    </row>
    <row r="155">
      <c r="H155" s="252" t="s">
        <v>161</v>
      </c>
    </row>
    <row r="156">
      <c r="H156" s="252" t="s">
        <v>161</v>
      </c>
    </row>
    <row r="157">
      <c r="H157" s="252" t="s">
        <v>161</v>
      </c>
    </row>
    <row r="158">
      <c r="H158" s="252" t="s">
        <v>161</v>
      </c>
    </row>
    <row r="159">
      <c r="H159" s="252" t="s">
        <v>161</v>
      </c>
    </row>
    <row r="160">
      <c r="H160" s="252" t="s">
        <v>161</v>
      </c>
    </row>
    <row r="161">
      <c r="H161" s="252" t="s">
        <v>161</v>
      </c>
    </row>
    <row r="162">
      <c r="H162" s="252" t="s">
        <v>161</v>
      </c>
    </row>
    <row r="163">
      <c r="H163" s="252" t="s">
        <v>161</v>
      </c>
    </row>
    <row r="164">
      <c r="H164" s="252" t="s">
        <v>161</v>
      </c>
    </row>
    <row r="165">
      <c r="H165" s="252" t="s">
        <v>161</v>
      </c>
    </row>
    <row r="166">
      <c r="H166" s="252" t="s">
        <v>161</v>
      </c>
    </row>
    <row r="167">
      <c r="H167" s="252" t="s">
        <v>161</v>
      </c>
    </row>
    <row r="168">
      <c r="H168" s="252" t="s">
        <v>161</v>
      </c>
    </row>
    <row r="169">
      <c r="H169" s="252" t="s">
        <v>161</v>
      </c>
    </row>
    <row r="170">
      <c r="H170" s="252" t="s">
        <v>161</v>
      </c>
    </row>
    <row r="171">
      <c r="H171" s="252" t="s">
        <v>161</v>
      </c>
    </row>
    <row r="172">
      <c r="H172" s="252" t="s">
        <v>161</v>
      </c>
    </row>
    <row r="173">
      <c r="H173" s="252" t="s">
        <v>161</v>
      </c>
    </row>
    <row r="174">
      <c r="H174" s="252" t="s">
        <v>161</v>
      </c>
    </row>
    <row r="175">
      <c r="H175" s="252" t="s">
        <v>161</v>
      </c>
    </row>
    <row r="176">
      <c r="H176" s="252" t="s">
        <v>161</v>
      </c>
    </row>
    <row r="177">
      <c r="H177" s="252" t="s">
        <v>161</v>
      </c>
    </row>
    <row r="178">
      <c r="H178" s="252" t="s">
        <v>161</v>
      </c>
    </row>
    <row r="179">
      <c r="H179" s="252" t="s">
        <v>161</v>
      </c>
    </row>
    <row r="180">
      <c r="H180" s="252" t="s">
        <v>161</v>
      </c>
    </row>
    <row r="181">
      <c r="H181" s="252" t="s">
        <v>161</v>
      </c>
    </row>
    <row r="182">
      <c r="H182" s="252" t="s">
        <v>161</v>
      </c>
    </row>
    <row r="183">
      <c r="H183" s="252" t="s">
        <v>161</v>
      </c>
    </row>
    <row r="184">
      <c r="H184" s="252" t="s">
        <v>161</v>
      </c>
    </row>
    <row r="185">
      <c r="H185" s="252" t="s">
        <v>161</v>
      </c>
    </row>
    <row r="186">
      <c r="H186" s="252" t="s">
        <v>161</v>
      </c>
    </row>
    <row r="187">
      <c r="H187" s="252" t="s">
        <v>161</v>
      </c>
    </row>
    <row r="188">
      <c r="H188" s="252" t="s">
        <v>161</v>
      </c>
    </row>
    <row r="189">
      <c r="H189" s="252" t="s">
        <v>161</v>
      </c>
    </row>
    <row r="190">
      <c r="H190" s="252" t="s">
        <v>161</v>
      </c>
    </row>
    <row r="191">
      <c r="H191" s="252" t="s">
        <v>161</v>
      </c>
    </row>
    <row r="192">
      <c r="H192" s="252" t="s">
        <v>161</v>
      </c>
    </row>
    <row r="193">
      <c r="H193" s="252" t="s">
        <v>161</v>
      </c>
    </row>
    <row r="194">
      <c r="H194" s="252" t="s">
        <v>161</v>
      </c>
    </row>
    <row r="195">
      <c r="H195" s="252" t="s">
        <v>161</v>
      </c>
    </row>
    <row r="196">
      <c r="H196" s="252" t="s">
        <v>161</v>
      </c>
    </row>
    <row r="197">
      <c r="H197" s="252" t="s">
        <v>161</v>
      </c>
    </row>
    <row r="198">
      <c r="H198" s="252" t="s">
        <v>161</v>
      </c>
    </row>
    <row r="199">
      <c r="H199" s="252" t="s">
        <v>161</v>
      </c>
    </row>
    <row r="200">
      <c r="H200" s="252" t="s">
        <v>161</v>
      </c>
    </row>
    <row r="201">
      <c r="H201" s="252" t="s">
        <v>161</v>
      </c>
    </row>
    <row r="202">
      <c r="H202" s="252" t="s">
        <v>161</v>
      </c>
    </row>
    <row r="203">
      <c r="H203" s="252" t="s">
        <v>161</v>
      </c>
    </row>
    <row r="204">
      <c r="H204" s="252" t="s">
        <v>161</v>
      </c>
    </row>
    <row r="205">
      <c r="H205" s="252" t="s">
        <v>161</v>
      </c>
    </row>
    <row r="206">
      <c r="H206" s="252" t="s">
        <v>161</v>
      </c>
    </row>
    <row r="207">
      <c r="H207" s="252" t="s">
        <v>161</v>
      </c>
    </row>
    <row r="208">
      <c r="H208" s="252" t="s">
        <v>161</v>
      </c>
    </row>
    <row r="209">
      <c r="H209" s="252" t="s">
        <v>161</v>
      </c>
    </row>
    <row r="210">
      <c r="H210" s="252" t="s">
        <v>161</v>
      </c>
    </row>
    <row r="211">
      <c r="H211" s="252" t="s">
        <v>161</v>
      </c>
    </row>
    <row r="212">
      <c r="H212" s="252" t="s">
        <v>161</v>
      </c>
    </row>
    <row r="213">
      <c r="H213" s="252" t="s">
        <v>161</v>
      </c>
    </row>
    <row r="214">
      <c r="H214" s="252" t="s">
        <v>161</v>
      </c>
    </row>
    <row r="215">
      <c r="H215" s="252" t="s">
        <v>161</v>
      </c>
    </row>
    <row r="216">
      <c r="H216" s="252" t="s">
        <v>161</v>
      </c>
    </row>
    <row r="217">
      <c r="H217" s="252" t="s">
        <v>161</v>
      </c>
    </row>
    <row r="218">
      <c r="H218" s="252" t="s">
        <v>161</v>
      </c>
    </row>
    <row r="219">
      <c r="H219" s="252" t="s">
        <v>161</v>
      </c>
    </row>
    <row r="220">
      <c r="H220" s="252" t="s">
        <v>161</v>
      </c>
    </row>
    <row r="221">
      <c r="H221" s="252" t="s">
        <v>161</v>
      </c>
    </row>
    <row r="222">
      <c r="H222" s="252" t="s">
        <v>161</v>
      </c>
    </row>
    <row r="223">
      <c r="H223" s="252" t="s">
        <v>161</v>
      </c>
    </row>
    <row r="224">
      <c r="H224" s="252" t="s">
        <v>161</v>
      </c>
    </row>
    <row r="225">
      <c r="H225" s="252" t="s">
        <v>161</v>
      </c>
    </row>
    <row r="226">
      <c r="H226" s="252" t="s">
        <v>161</v>
      </c>
    </row>
    <row r="227">
      <c r="H227" s="252" t="s">
        <v>161</v>
      </c>
    </row>
    <row r="228">
      <c r="H228" s="252" t="s">
        <v>161</v>
      </c>
    </row>
    <row r="229">
      <c r="H229" s="252" t="s">
        <v>161</v>
      </c>
    </row>
    <row r="230">
      <c r="H230" s="252" t="s">
        <v>161</v>
      </c>
    </row>
    <row r="231">
      <c r="H231" s="252" t="s">
        <v>161</v>
      </c>
    </row>
    <row r="232">
      <c r="H232" s="252" t="s">
        <v>161</v>
      </c>
    </row>
    <row r="233">
      <c r="H233" s="252" t="s">
        <v>161</v>
      </c>
    </row>
    <row r="234">
      <c r="H234" s="252" t="s">
        <v>161</v>
      </c>
    </row>
    <row r="235">
      <c r="H235" s="252" t="s">
        <v>161</v>
      </c>
    </row>
    <row r="236">
      <c r="H236" s="252" t="s">
        <v>161</v>
      </c>
    </row>
    <row r="237">
      <c r="H237" s="252" t="s">
        <v>161</v>
      </c>
    </row>
    <row r="238">
      <c r="H238" s="252" t="s">
        <v>161</v>
      </c>
    </row>
    <row r="239">
      <c r="H239" s="252" t="s">
        <v>161</v>
      </c>
    </row>
    <row r="240">
      <c r="H240" s="252" t="s">
        <v>161</v>
      </c>
    </row>
    <row r="241">
      <c r="H241" s="252" t="s">
        <v>161</v>
      </c>
    </row>
    <row r="242">
      <c r="H242" s="252" t="s">
        <v>161</v>
      </c>
    </row>
    <row r="243">
      <c r="H243" s="252" t="s">
        <v>161</v>
      </c>
    </row>
    <row r="244">
      <c r="H244" s="252" t="s">
        <v>161</v>
      </c>
    </row>
    <row r="245">
      <c r="H245" s="252" t="s">
        <v>161</v>
      </c>
    </row>
    <row r="246">
      <c r="H246" s="252" t="s">
        <v>161</v>
      </c>
    </row>
    <row r="247">
      <c r="H247" s="252" t="s">
        <v>161</v>
      </c>
    </row>
    <row r="248">
      <c r="H248" s="252" t="s">
        <v>161</v>
      </c>
    </row>
    <row r="249">
      <c r="H249" s="252" t="s">
        <v>161</v>
      </c>
    </row>
    <row r="250">
      <c r="H250" s="252" t="s">
        <v>161</v>
      </c>
    </row>
    <row r="251">
      <c r="H251" s="252" t="s">
        <v>161</v>
      </c>
    </row>
    <row r="252">
      <c r="H252" s="252" t="s">
        <v>161</v>
      </c>
    </row>
    <row r="253">
      <c r="H253" s="252" t="s">
        <v>161</v>
      </c>
    </row>
    <row r="254">
      <c r="H254" s="252" t="s">
        <v>161</v>
      </c>
    </row>
    <row r="255">
      <c r="H255" s="252" t="s">
        <v>161</v>
      </c>
    </row>
    <row r="256">
      <c r="H256" s="252" t="s">
        <v>161</v>
      </c>
    </row>
    <row r="257">
      <c r="H257" s="252" t="s">
        <v>161</v>
      </c>
    </row>
    <row r="258">
      <c r="H258" s="252" t="s">
        <v>161</v>
      </c>
    </row>
    <row r="259">
      <c r="H259" s="252" t="s">
        <v>161</v>
      </c>
    </row>
    <row r="260">
      <c r="H260" s="252" t="s">
        <v>161</v>
      </c>
    </row>
    <row r="261">
      <c r="H261" s="252" t="s">
        <v>161</v>
      </c>
    </row>
    <row r="262">
      <c r="H262" s="252" t="s">
        <v>161</v>
      </c>
    </row>
    <row r="263">
      <c r="H263" s="252" t="s">
        <v>161</v>
      </c>
    </row>
    <row r="264">
      <c r="H264" s="252" t="s">
        <v>161</v>
      </c>
    </row>
    <row r="265">
      <c r="H265" s="252" t="s">
        <v>161</v>
      </c>
    </row>
    <row r="266">
      <c r="H266" s="252" t="s">
        <v>161</v>
      </c>
    </row>
    <row r="267">
      <c r="H267" s="252" t="s">
        <v>161</v>
      </c>
    </row>
    <row r="268">
      <c r="H268" s="252" t="s">
        <v>161</v>
      </c>
    </row>
    <row r="269">
      <c r="H269" s="252" t="s">
        <v>161</v>
      </c>
    </row>
    <row r="270">
      <c r="H270" s="252" t="s">
        <v>161</v>
      </c>
    </row>
    <row r="271">
      <c r="H271" s="252" t="s">
        <v>161</v>
      </c>
    </row>
    <row r="272">
      <c r="H272" s="252" t="s">
        <v>161</v>
      </c>
    </row>
    <row r="273">
      <c r="H273" s="252" t="s">
        <v>161</v>
      </c>
    </row>
    <row r="274">
      <c r="H274" s="252" t="s">
        <v>161</v>
      </c>
    </row>
    <row r="275">
      <c r="H275" s="252" t="s">
        <v>161</v>
      </c>
    </row>
    <row r="276">
      <c r="H276" s="252" t="s">
        <v>161</v>
      </c>
    </row>
    <row r="277">
      <c r="H277" s="252" t="s">
        <v>161</v>
      </c>
    </row>
    <row r="278">
      <c r="H278" s="252" t="s">
        <v>161</v>
      </c>
    </row>
    <row r="279">
      <c r="H279" s="252" t="s">
        <v>161</v>
      </c>
    </row>
    <row r="280">
      <c r="H280" s="252" t="s">
        <v>161</v>
      </c>
    </row>
    <row r="281">
      <c r="H281" s="252" t="s">
        <v>161</v>
      </c>
    </row>
    <row r="282">
      <c r="H282" s="252" t="s">
        <v>161</v>
      </c>
    </row>
    <row r="283">
      <c r="H283" s="252" t="s">
        <v>161</v>
      </c>
    </row>
    <row r="284">
      <c r="H284" s="252" t="s">
        <v>161</v>
      </c>
    </row>
    <row r="285">
      <c r="H285" s="252" t="s">
        <v>161</v>
      </c>
    </row>
    <row r="286">
      <c r="H286" s="252" t="s">
        <v>161</v>
      </c>
    </row>
    <row r="287">
      <c r="H287" s="252" t="s">
        <v>161</v>
      </c>
    </row>
    <row r="288">
      <c r="H288" s="252" t="s">
        <v>161</v>
      </c>
    </row>
    <row r="289">
      <c r="H289" s="252" t="s">
        <v>161</v>
      </c>
    </row>
    <row r="290">
      <c r="H290" s="252" t="s">
        <v>161</v>
      </c>
    </row>
    <row r="291">
      <c r="H291" s="252" t="s">
        <v>161</v>
      </c>
    </row>
    <row r="292">
      <c r="H292" s="252" t="s">
        <v>161</v>
      </c>
    </row>
    <row r="293">
      <c r="H293" s="252" t="s">
        <v>161</v>
      </c>
    </row>
    <row r="294">
      <c r="H294" s="252" t="s">
        <v>161</v>
      </c>
    </row>
    <row r="295">
      <c r="H295" s="252" t="s">
        <v>161</v>
      </c>
    </row>
    <row r="296">
      <c r="H296" s="252" t="s">
        <v>161</v>
      </c>
    </row>
    <row r="297">
      <c r="H297" s="252" t="s">
        <v>161</v>
      </c>
    </row>
    <row r="298">
      <c r="H298" s="252" t="s">
        <v>161</v>
      </c>
    </row>
    <row r="299">
      <c r="H299" s="252" t="s">
        <v>161</v>
      </c>
    </row>
    <row r="300">
      <c r="H300" s="252" t="s">
        <v>161</v>
      </c>
    </row>
    <row r="301">
      <c r="H301" s="252" t="s">
        <v>161</v>
      </c>
    </row>
    <row r="302">
      <c r="H302" s="252" t="s">
        <v>161</v>
      </c>
    </row>
    <row r="303">
      <c r="H303" s="252" t="s">
        <v>161</v>
      </c>
    </row>
    <row r="304">
      <c r="H304" s="252" t="s">
        <v>161</v>
      </c>
    </row>
    <row r="305">
      <c r="H305" s="252" t="s">
        <v>161</v>
      </c>
    </row>
    <row r="306">
      <c r="H306" s="252" t="s">
        <v>161</v>
      </c>
    </row>
    <row r="307">
      <c r="H307" s="252" t="s">
        <v>161</v>
      </c>
    </row>
    <row r="308">
      <c r="H308" s="252" t="s">
        <v>161</v>
      </c>
    </row>
    <row r="309">
      <c r="H309" s="252" t="s">
        <v>161</v>
      </c>
    </row>
    <row r="310">
      <c r="H310" s="252" t="s">
        <v>161</v>
      </c>
    </row>
    <row r="311">
      <c r="H311" s="252" t="s">
        <v>161</v>
      </c>
    </row>
    <row r="312">
      <c r="H312" s="252" t="s">
        <v>161</v>
      </c>
    </row>
    <row r="313">
      <c r="H313" s="252" t="s">
        <v>161</v>
      </c>
    </row>
    <row r="314">
      <c r="H314" s="252" t="s">
        <v>161</v>
      </c>
    </row>
    <row r="315">
      <c r="H315" s="252" t="s">
        <v>161</v>
      </c>
    </row>
    <row r="316">
      <c r="H316" s="252" t="s">
        <v>161</v>
      </c>
    </row>
    <row r="317">
      <c r="H317" s="252" t="s">
        <v>161</v>
      </c>
    </row>
    <row r="318">
      <c r="H318" s="252" t="s">
        <v>161</v>
      </c>
    </row>
    <row r="319">
      <c r="H319" s="252" t="s">
        <v>161</v>
      </c>
    </row>
    <row r="320">
      <c r="H320" s="252" t="s">
        <v>161</v>
      </c>
    </row>
    <row r="321">
      <c r="H321" s="252" t="s">
        <v>161</v>
      </c>
    </row>
    <row r="322">
      <c r="H322" s="252" t="s">
        <v>161</v>
      </c>
    </row>
    <row r="323">
      <c r="H323" s="252" t="s">
        <v>161</v>
      </c>
    </row>
    <row r="324">
      <c r="H324" s="252" t="s">
        <v>161</v>
      </c>
    </row>
    <row r="325">
      <c r="H325" s="252" t="s">
        <v>161</v>
      </c>
    </row>
    <row r="326">
      <c r="H326" s="252" t="s">
        <v>161</v>
      </c>
    </row>
    <row r="327">
      <c r="H327" s="252" t="s">
        <v>161</v>
      </c>
    </row>
    <row r="328">
      <c r="H328" s="252" t="s">
        <v>161</v>
      </c>
    </row>
    <row r="329">
      <c r="H329" s="252" t="s">
        <v>161</v>
      </c>
    </row>
    <row r="330">
      <c r="H330" s="252" t="s">
        <v>161</v>
      </c>
    </row>
    <row r="331">
      <c r="H331" s="252" t="s">
        <v>161</v>
      </c>
    </row>
    <row r="332">
      <c r="H332" s="252" t="s">
        <v>161</v>
      </c>
    </row>
    <row r="333">
      <c r="H333" s="252" t="s">
        <v>161</v>
      </c>
    </row>
    <row r="334">
      <c r="H334" s="252" t="s">
        <v>161</v>
      </c>
    </row>
    <row r="335">
      <c r="H335" s="252" t="s">
        <v>161</v>
      </c>
    </row>
    <row r="336">
      <c r="H336" s="252" t="s">
        <v>161</v>
      </c>
    </row>
    <row r="337">
      <c r="H337" s="252" t="s">
        <v>161</v>
      </c>
    </row>
    <row r="338">
      <c r="H338" s="252" t="s">
        <v>161</v>
      </c>
    </row>
    <row r="339">
      <c r="H339" s="252" t="s">
        <v>161</v>
      </c>
    </row>
    <row r="340">
      <c r="H340" s="252" t="s">
        <v>161</v>
      </c>
    </row>
    <row r="341">
      <c r="H341" s="252" t="s">
        <v>161</v>
      </c>
    </row>
    <row r="342">
      <c r="H342" s="252" t="s">
        <v>161</v>
      </c>
    </row>
    <row r="343">
      <c r="H343" s="252" t="s">
        <v>161</v>
      </c>
    </row>
    <row r="344">
      <c r="H344" s="252" t="s">
        <v>161</v>
      </c>
    </row>
    <row r="345">
      <c r="H345" s="252" t="s">
        <v>161</v>
      </c>
    </row>
    <row r="346">
      <c r="H346" s="252" t="s">
        <v>161</v>
      </c>
    </row>
    <row r="347">
      <c r="H347" s="252" t="s">
        <v>161</v>
      </c>
    </row>
    <row r="348">
      <c r="H348" s="252" t="s">
        <v>161</v>
      </c>
    </row>
    <row r="349">
      <c r="H349" s="252" t="s">
        <v>161</v>
      </c>
    </row>
    <row r="350">
      <c r="H350" s="252" t="s">
        <v>161</v>
      </c>
    </row>
    <row r="351">
      <c r="H351" s="252" t="s">
        <v>161</v>
      </c>
    </row>
    <row r="352">
      <c r="H352" s="252" t="s">
        <v>161</v>
      </c>
    </row>
    <row r="353">
      <c r="H353" s="252" t="s">
        <v>161</v>
      </c>
    </row>
    <row r="354">
      <c r="H354" s="252" t="s">
        <v>161</v>
      </c>
    </row>
    <row r="355">
      <c r="H355" s="252" t="s">
        <v>161</v>
      </c>
    </row>
    <row r="356">
      <c r="H356" s="252" t="s">
        <v>161</v>
      </c>
    </row>
    <row r="357">
      <c r="H357" s="252" t="s">
        <v>161</v>
      </c>
    </row>
    <row r="358">
      <c r="H358" s="252" t="s">
        <v>161</v>
      </c>
    </row>
    <row r="359">
      <c r="H359" s="252" t="s">
        <v>161</v>
      </c>
    </row>
    <row r="360">
      <c r="H360" s="252" t="s">
        <v>161</v>
      </c>
    </row>
    <row r="361">
      <c r="H361" s="252" t="s">
        <v>161</v>
      </c>
    </row>
    <row r="362">
      <c r="H362" s="252" t="s">
        <v>161</v>
      </c>
    </row>
    <row r="363">
      <c r="H363" s="252" t="s">
        <v>161</v>
      </c>
    </row>
    <row r="364">
      <c r="H364" s="252" t="s">
        <v>161</v>
      </c>
    </row>
    <row r="365">
      <c r="H365" s="252" t="s">
        <v>161</v>
      </c>
    </row>
    <row r="366">
      <c r="H366" s="252" t="s">
        <v>161</v>
      </c>
    </row>
    <row r="367">
      <c r="H367" s="252" t="s">
        <v>161</v>
      </c>
    </row>
    <row r="368">
      <c r="H368" s="252" t="s">
        <v>161</v>
      </c>
    </row>
    <row r="369">
      <c r="H369" s="252" t="s">
        <v>161</v>
      </c>
    </row>
    <row r="370">
      <c r="H370" s="252" t="s">
        <v>161</v>
      </c>
    </row>
    <row r="371">
      <c r="H371" s="252" t="s">
        <v>161</v>
      </c>
    </row>
    <row r="372">
      <c r="H372" s="252" t="s">
        <v>161</v>
      </c>
    </row>
    <row r="373">
      <c r="H373" s="252" t="s">
        <v>161</v>
      </c>
    </row>
    <row r="374">
      <c r="H374" s="252" t="s">
        <v>161</v>
      </c>
    </row>
    <row r="375">
      <c r="H375" s="252" t="s">
        <v>161</v>
      </c>
    </row>
    <row r="376">
      <c r="H376" s="252" t="s">
        <v>161</v>
      </c>
    </row>
    <row r="377">
      <c r="H377" s="252" t="s">
        <v>161</v>
      </c>
    </row>
    <row r="378">
      <c r="H378" s="252" t="s">
        <v>161</v>
      </c>
    </row>
    <row r="379">
      <c r="H379" s="252" t="s">
        <v>161</v>
      </c>
    </row>
    <row r="380">
      <c r="H380" s="252" t="s">
        <v>161</v>
      </c>
    </row>
    <row r="381">
      <c r="H381" s="252" t="s">
        <v>161</v>
      </c>
    </row>
    <row r="382">
      <c r="H382" s="252" t="s">
        <v>161</v>
      </c>
    </row>
    <row r="383">
      <c r="H383" s="252" t="s">
        <v>161</v>
      </c>
    </row>
    <row r="384">
      <c r="H384" s="252" t="s">
        <v>161</v>
      </c>
    </row>
    <row r="385">
      <c r="H385" s="252" t="s">
        <v>161</v>
      </c>
    </row>
    <row r="386">
      <c r="H386" s="252" t="s">
        <v>161</v>
      </c>
    </row>
    <row r="387">
      <c r="H387" s="252" t="s">
        <v>161</v>
      </c>
    </row>
    <row r="388">
      <c r="H388" s="252" t="s">
        <v>161</v>
      </c>
    </row>
    <row r="389">
      <c r="H389" s="252" t="s">
        <v>161</v>
      </c>
    </row>
    <row r="390">
      <c r="H390" s="252" t="s">
        <v>161</v>
      </c>
    </row>
    <row r="391">
      <c r="H391" s="252" t="s">
        <v>161</v>
      </c>
    </row>
    <row r="392">
      <c r="H392" s="252" t="s">
        <v>161</v>
      </c>
    </row>
    <row r="393">
      <c r="H393" s="252" t="s">
        <v>161</v>
      </c>
    </row>
    <row r="394">
      <c r="H394" s="252" t="s">
        <v>161</v>
      </c>
    </row>
    <row r="395">
      <c r="H395" s="252" t="s">
        <v>161</v>
      </c>
    </row>
    <row r="396">
      <c r="H396" s="252" t="s">
        <v>161</v>
      </c>
    </row>
    <row r="397">
      <c r="H397" s="252" t="s">
        <v>161</v>
      </c>
    </row>
    <row r="398">
      <c r="H398" s="252" t="s">
        <v>161</v>
      </c>
    </row>
    <row r="399">
      <c r="H399" s="252" t="s">
        <v>161</v>
      </c>
    </row>
    <row r="400">
      <c r="H400" s="252" t="s">
        <v>161</v>
      </c>
    </row>
    <row r="401">
      <c r="H401" s="252" t="s">
        <v>161</v>
      </c>
    </row>
    <row r="402">
      <c r="H402" s="252" t="s">
        <v>161</v>
      </c>
    </row>
    <row r="403">
      <c r="H403" s="252" t="s">
        <v>161</v>
      </c>
    </row>
    <row r="404">
      <c r="H404" s="252" t="s">
        <v>161</v>
      </c>
    </row>
    <row r="405">
      <c r="H405" s="252" t="s">
        <v>161</v>
      </c>
    </row>
    <row r="406">
      <c r="H406" s="252" t="s">
        <v>161</v>
      </c>
    </row>
    <row r="407">
      <c r="H407" s="252" t="s">
        <v>161</v>
      </c>
    </row>
    <row r="408">
      <c r="H408" s="252" t="s">
        <v>161</v>
      </c>
    </row>
    <row r="409">
      <c r="H409" s="252" t="s">
        <v>161</v>
      </c>
    </row>
    <row r="410">
      <c r="H410" s="252" t="s">
        <v>161</v>
      </c>
    </row>
    <row r="411">
      <c r="H411" s="252" t="s">
        <v>161</v>
      </c>
    </row>
    <row r="412">
      <c r="H412" s="252" t="s">
        <v>161</v>
      </c>
    </row>
    <row r="413">
      <c r="H413" s="252" t="s">
        <v>161</v>
      </c>
    </row>
    <row r="414">
      <c r="H414" s="252" t="s">
        <v>161</v>
      </c>
    </row>
    <row r="415">
      <c r="H415" s="252" t="s">
        <v>161</v>
      </c>
    </row>
    <row r="416">
      <c r="H416" s="252" t="s">
        <v>161</v>
      </c>
    </row>
    <row r="417">
      <c r="H417" s="252" t="s">
        <v>161</v>
      </c>
    </row>
    <row r="418">
      <c r="H418" s="252" t="s">
        <v>161</v>
      </c>
    </row>
    <row r="419">
      <c r="H419" s="252" t="s">
        <v>161</v>
      </c>
    </row>
    <row r="420">
      <c r="H420" s="252" t="s">
        <v>161</v>
      </c>
    </row>
    <row r="421">
      <c r="H421" s="252" t="s">
        <v>161</v>
      </c>
    </row>
    <row r="422">
      <c r="H422" s="252" t="s">
        <v>161</v>
      </c>
    </row>
    <row r="423">
      <c r="H423" s="252" t="s">
        <v>161</v>
      </c>
    </row>
    <row r="424">
      <c r="H424" s="252" t="s">
        <v>161</v>
      </c>
    </row>
    <row r="425">
      <c r="H425" s="252" t="s">
        <v>161</v>
      </c>
    </row>
    <row r="426">
      <c r="H426" s="252" t="s">
        <v>161</v>
      </c>
    </row>
    <row r="427">
      <c r="H427" s="252" t="s">
        <v>161</v>
      </c>
    </row>
    <row r="428">
      <c r="H428" s="252" t="s">
        <v>161</v>
      </c>
    </row>
    <row r="429">
      <c r="H429" s="252" t="s">
        <v>161</v>
      </c>
    </row>
    <row r="430">
      <c r="H430" s="252" t="s">
        <v>161</v>
      </c>
    </row>
    <row r="431">
      <c r="H431" s="252" t="s">
        <v>161</v>
      </c>
    </row>
    <row r="432">
      <c r="H432" s="252" t="s">
        <v>161</v>
      </c>
    </row>
    <row r="433">
      <c r="H433" s="252" t="s">
        <v>161</v>
      </c>
    </row>
    <row r="434">
      <c r="H434" s="252" t="s">
        <v>161</v>
      </c>
    </row>
    <row r="435">
      <c r="H435" s="252" t="s">
        <v>161</v>
      </c>
    </row>
    <row r="436">
      <c r="H436" s="252" t="s">
        <v>161</v>
      </c>
    </row>
    <row r="437">
      <c r="H437" s="252" t="s">
        <v>161</v>
      </c>
    </row>
    <row r="438">
      <c r="H438" s="252" t="s">
        <v>161</v>
      </c>
    </row>
    <row r="439">
      <c r="H439" s="252" t="s">
        <v>161</v>
      </c>
    </row>
    <row r="440">
      <c r="H440" s="252" t="s">
        <v>161</v>
      </c>
    </row>
    <row r="441">
      <c r="H441" s="252" t="s">
        <v>161</v>
      </c>
    </row>
    <row r="442">
      <c r="H442" s="252" t="s">
        <v>161</v>
      </c>
    </row>
    <row r="443">
      <c r="H443" s="252" t="s">
        <v>161</v>
      </c>
    </row>
    <row r="444">
      <c r="H444" s="252" t="s">
        <v>161</v>
      </c>
    </row>
    <row r="445">
      <c r="H445" s="252" t="s">
        <v>161</v>
      </c>
    </row>
    <row r="446">
      <c r="H446" s="252" t="s">
        <v>161</v>
      </c>
    </row>
    <row r="447">
      <c r="H447" s="252" t="s">
        <v>161</v>
      </c>
    </row>
    <row r="448">
      <c r="H448" s="252" t="s">
        <v>161</v>
      </c>
    </row>
    <row r="449">
      <c r="H449" s="252" t="s">
        <v>161</v>
      </c>
    </row>
    <row r="450">
      <c r="H450" s="252" t="s">
        <v>161</v>
      </c>
    </row>
    <row r="451">
      <c r="H451" s="252" t="s">
        <v>161</v>
      </c>
    </row>
    <row r="452">
      <c r="H452" s="252" t="s">
        <v>161</v>
      </c>
    </row>
    <row r="453">
      <c r="H453" s="252" t="s">
        <v>161</v>
      </c>
    </row>
    <row r="454">
      <c r="H454" s="252" t="s">
        <v>161</v>
      </c>
    </row>
    <row r="455">
      <c r="H455" s="252" t="s">
        <v>161</v>
      </c>
    </row>
    <row r="456">
      <c r="H456" s="252" t="s">
        <v>161</v>
      </c>
    </row>
    <row r="457">
      <c r="H457" s="252" t="s">
        <v>161</v>
      </c>
    </row>
    <row r="458">
      <c r="H458" s="252" t="s">
        <v>161</v>
      </c>
    </row>
    <row r="459">
      <c r="H459" s="252" t="s">
        <v>161</v>
      </c>
    </row>
    <row r="460">
      <c r="H460" s="252" t="s">
        <v>161</v>
      </c>
    </row>
    <row r="461">
      <c r="H461" s="252" t="s">
        <v>161</v>
      </c>
    </row>
    <row r="462">
      <c r="H462" s="252" t="s">
        <v>161</v>
      </c>
    </row>
    <row r="463">
      <c r="H463" s="252" t="s">
        <v>161</v>
      </c>
    </row>
    <row r="464">
      <c r="H464" s="252" t="s">
        <v>161</v>
      </c>
    </row>
    <row r="465">
      <c r="H465" s="252" t="s">
        <v>161</v>
      </c>
    </row>
    <row r="466">
      <c r="H466" s="252" t="s">
        <v>161</v>
      </c>
    </row>
    <row r="467">
      <c r="H467" s="252" t="s">
        <v>161</v>
      </c>
    </row>
    <row r="468">
      <c r="H468" s="252" t="s">
        <v>161</v>
      </c>
    </row>
    <row r="469">
      <c r="H469" s="252" t="s">
        <v>161</v>
      </c>
    </row>
    <row r="470">
      <c r="H470" s="252" t="s">
        <v>161</v>
      </c>
    </row>
    <row r="471">
      <c r="H471" s="252" t="s">
        <v>161</v>
      </c>
    </row>
    <row r="472">
      <c r="H472" s="252" t="s">
        <v>161</v>
      </c>
    </row>
    <row r="473">
      <c r="H473" s="252" t="s">
        <v>161</v>
      </c>
    </row>
    <row r="474">
      <c r="H474" s="252" t="s">
        <v>161</v>
      </c>
    </row>
    <row r="475">
      <c r="H475" s="252" t="s">
        <v>161</v>
      </c>
    </row>
    <row r="476">
      <c r="H476" s="252" t="s">
        <v>161</v>
      </c>
    </row>
    <row r="477">
      <c r="H477" s="252" t="s">
        <v>161</v>
      </c>
    </row>
    <row r="478">
      <c r="H478" s="252" t="s">
        <v>161</v>
      </c>
    </row>
    <row r="479">
      <c r="H479" s="252" t="s">
        <v>161</v>
      </c>
    </row>
    <row r="480">
      <c r="H480" s="252" t="s">
        <v>161</v>
      </c>
    </row>
    <row r="481">
      <c r="H481" s="252" t="s">
        <v>161</v>
      </c>
    </row>
    <row r="482">
      <c r="H482" s="252" t="s">
        <v>161</v>
      </c>
    </row>
    <row r="483">
      <c r="H483" s="252" t="s">
        <v>161</v>
      </c>
    </row>
    <row r="484">
      <c r="H484" s="252" t="s">
        <v>161</v>
      </c>
    </row>
    <row r="485">
      <c r="H485" s="252" t="s">
        <v>161</v>
      </c>
    </row>
    <row r="486">
      <c r="H486" s="252" t="s">
        <v>161</v>
      </c>
    </row>
    <row r="487">
      <c r="H487" s="252" t="s">
        <v>161</v>
      </c>
    </row>
    <row r="488">
      <c r="H488" s="252" t="s">
        <v>161</v>
      </c>
    </row>
    <row r="489">
      <c r="H489" s="252" t="s">
        <v>161</v>
      </c>
    </row>
    <row r="490">
      <c r="H490" s="252" t="s">
        <v>161</v>
      </c>
    </row>
    <row r="491">
      <c r="H491" s="252" t="s">
        <v>161</v>
      </c>
    </row>
    <row r="492">
      <c r="H492" s="252" t="s">
        <v>161</v>
      </c>
    </row>
    <row r="493">
      <c r="H493" s="252" t="s">
        <v>161</v>
      </c>
    </row>
    <row r="494">
      <c r="H494" s="252" t="s">
        <v>161</v>
      </c>
    </row>
    <row r="495">
      <c r="H495" s="252" t="s">
        <v>161</v>
      </c>
    </row>
    <row r="496">
      <c r="H496" s="252" t="s">
        <v>161</v>
      </c>
    </row>
    <row r="497">
      <c r="H497" s="252" t="s">
        <v>161</v>
      </c>
    </row>
    <row r="498">
      <c r="H498" s="252" t="s">
        <v>161</v>
      </c>
    </row>
    <row r="499">
      <c r="H499" s="252" t="s">
        <v>161</v>
      </c>
    </row>
    <row r="500">
      <c r="H500" s="252" t="s">
        <v>161</v>
      </c>
    </row>
    <row r="501">
      <c r="H501" s="252" t="s">
        <v>161</v>
      </c>
    </row>
    <row r="502">
      <c r="H502" s="252" t="s">
        <v>161</v>
      </c>
    </row>
    <row r="503">
      <c r="H503" s="252" t="s">
        <v>161</v>
      </c>
    </row>
    <row r="504">
      <c r="H504" s="252" t="s">
        <v>161</v>
      </c>
    </row>
    <row r="505">
      <c r="H505" s="252" t="s">
        <v>161</v>
      </c>
    </row>
    <row r="506">
      <c r="H506" s="252" t="s">
        <v>161</v>
      </c>
    </row>
    <row r="507">
      <c r="H507" s="252" t="s">
        <v>161</v>
      </c>
    </row>
    <row r="508">
      <c r="H508" s="252" t="s">
        <v>161</v>
      </c>
    </row>
    <row r="509">
      <c r="H509" s="252" t="s">
        <v>161</v>
      </c>
    </row>
    <row r="510">
      <c r="H510" s="252" t="s">
        <v>161</v>
      </c>
    </row>
    <row r="511">
      <c r="H511" s="252" t="s">
        <v>161</v>
      </c>
    </row>
    <row r="512">
      <c r="H512" s="252" t="s">
        <v>161</v>
      </c>
    </row>
    <row r="513">
      <c r="H513" s="252" t="s">
        <v>161</v>
      </c>
    </row>
    <row r="514">
      <c r="H514" s="252" t="s">
        <v>161</v>
      </c>
    </row>
    <row r="515">
      <c r="H515" s="252" t="s">
        <v>161</v>
      </c>
    </row>
    <row r="516">
      <c r="H516" s="252" t="s">
        <v>161</v>
      </c>
    </row>
    <row r="517">
      <c r="H517" s="252" t="s">
        <v>161</v>
      </c>
    </row>
    <row r="518">
      <c r="H518" s="252" t="s">
        <v>161</v>
      </c>
    </row>
    <row r="519">
      <c r="H519" s="252" t="s">
        <v>161</v>
      </c>
    </row>
    <row r="520">
      <c r="H520" s="252" t="s">
        <v>161</v>
      </c>
    </row>
    <row r="521">
      <c r="H521" s="252" t="s">
        <v>161</v>
      </c>
    </row>
    <row r="522">
      <c r="H522" s="252" t="s">
        <v>161</v>
      </c>
    </row>
    <row r="523">
      <c r="H523" s="252" t="s">
        <v>161</v>
      </c>
    </row>
    <row r="524">
      <c r="H524" s="252" t="s">
        <v>161</v>
      </c>
    </row>
    <row r="525">
      <c r="H525" s="252" t="s">
        <v>161</v>
      </c>
    </row>
    <row r="526">
      <c r="H526" s="252" t="s">
        <v>161</v>
      </c>
    </row>
    <row r="527">
      <c r="H527" s="252" t="s">
        <v>161</v>
      </c>
    </row>
    <row r="528">
      <c r="H528" s="252" t="s">
        <v>161</v>
      </c>
    </row>
    <row r="529">
      <c r="H529" s="252" t="s">
        <v>161</v>
      </c>
    </row>
    <row r="530">
      <c r="H530" s="252" t="s">
        <v>161</v>
      </c>
    </row>
    <row r="531">
      <c r="H531" s="252" t="s">
        <v>161</v>
      </c>
    </row>
    <row r="532">
      <c r="H532" s="252" t="s">
        <v>161</v>
      </c>
    </row>
    <row r="533">
      <c r="H533" s="252" t="s">
        <v>161</v>
      </c>
    </row>
    <row r="534">
      <c r="H534" s="252" t="s">
        <v>161</v>
      </c>
    </row>
    <row r="535">
      <c r="H535" s="252" t="s">
        <v>161</v>
      </c>
    </row>
    <row r="536">
      <c r="H536" s="252" t="s">
        <v>161</v>
      </c>
    </row>
    <row r="537">
      <c r="H537" s="252" t="s">
        <v>161</v>
      </c>
    </row>
    <row r="538">
      <c r="H538" s="252" t="s">
        <v>161</v>
      </c>
    </row>
    <row r="539">
      <c r="H539" s="252" t="s">
        <v>161</v>
      </c>
    </row>
    <row r="540">
      <c r="H540" s="252" t="s">
        <v>161</v>
      </c>
    </row>
    <row r="541">
      <c r="H541" s="252" t="s">
        <v>161</v>
      </c>
    </row>
    <row r="542">
      <c r="H542" s="252" t="s">
        <v>161</v>
      </c>
    </row>
    <row r="543">
      <c r="H543" s="252" t="s">
        <v>161</v>
      </c>
    </row>
    <row r="544">
      <c r="H544" s="252" t="s">
        <v>161</v>
      </c>
    </row>
    <row r="545">
      <c r="H545" s="252" t="s">
        <v>161</v>
      </c>
    </row>
    <row r="546">
      <c r="H546" s="252" t="s">
        <v>161</v>
      </c>
    </row>
    <row r="547">
      <c r="H547" s="252" t="s">
        <v>161</v>
      </c>
    </row>
    <row r="548">
      <c r="H548" s="252" t="s">
        <v>161</v>
      </c>
    </row>
    <row r="549">
      <c r="H549" s="252" t="s">
        <v>161</v>
      </c>
    </row>
    <row r="550">
      <c r="H550" s="252" t="s">
        <v>161</v>
      </c>
    </row>
    <row r="551">
      <c r="H551" s="252" t="s">
        <v>161</v>
      </c>
    </row>
    <row r="552">
      <c r="H552" s="252" t="s">
        <v>161</v>
      </c>
    </row>
    <row r="553">
      <c r="H553" s="252" t="s">
        <v>161</v>
      </c>
    </row>
    <row r="554">
      <c r="H554" s="252" t="s">
        <v>161</v>
      </c>
    </row>
    <row r="555">
      <c r="H555" s="252" t="s">
        <v>161</v>
      </c>
    </row>
    <row r="556">
      <c r="H556" s="252" t="s">
        <v>161</v>
      </c>
    </row>
    <row r="557">
      <c r="H557" s="252" t="s">
        <v>161</v>
      </c>
    </row>
    <row r="558">
      <c r="H558" s="252" t="s">
        <v>161</v>
      </c>
    </row>
    <row r="559">
      <c r="H559" s="252" t="s">
        <v>161</v>
      </c>
    </row>
    <row r="560">
      <c r="H560" s="252" t="s">
        <v>161</v>
      </c>
    </row>
    <row r="561">
      <c r="H561" s="252" t="s">
        <v>161</v>
      </c>
    </row>
    <row r="562">
      <c r="H562" s="252" t="s">
        <v>161</v>
      </c>
    </row>
    <row r="563">
      <c r="H563" s="252" t="s">
        <v>161</v>
      </c>
    </row>
    <row r="564">
      <c r="H564" s="252" t="s">
        <v>161</v>
      </c>
    </row>
    <row r="565">
      <c r="H565" s="252" t="s">
        <v>161</v>
      </c>
    </row>
    <row r="566">
      <c r="H566" s="252" t="s">
        <v>161</v>
      </c>
    </row>
    <row r="567">
      <c r="H567" s="252" t="s">
        <v>161</v>
      </c>
    </row>
    <row r="568">
      <c r="H568" s="252" t="s">
        <v>161</v>
      </c>
    </row>
    <row r="569">
      <c r="H569" s="252" t="s">
        <v>161</v>
      </c>
    </row>
    <row r="570">
      <c r="H570" s="252" t="s">
        <v>161</v>
      </c>
    </row>
    <row r="571">
      <c r="H571" s="252" t="s">
        <v>161</v>
      </c>
    </row>
    <row r="572">
      <c r="H572" s="252" t="s">
        <v>161</v>
      </c>
    </row>
    <row r="573">
      <c r="H573" s="252" t="s">
        <v>161</v>
      </c>
    </row>
    <row r="574">
      <c r="H574" s="252" t="s">
        <v>161</v>
      </c>
    </row>
    <row r="575">
      <c r="H575" s="252" t="s">
        <v>161</v>
      </c>
    </row>
    <row r="576">
      <c r="H576" s="252" t="s">
        <v>161</v>
      </c>
    </row>
    <row r="577">
      <c r="H577" s="252" t="s">
        <v>161</v>
      </c>
    </row>
    <row r="578">
      <c r="H578" s="252" t="s">
        <v>161</v>
      </c>
    </row>
    <row r="579">
      <c r="H579" s="252" t="s">
        <v>161</v>
      </c>
    </row>
    <row r="580">
      <c r="H580" s="252" t="s">
        <v>161</v>
      </c>
    </row>
    <row r="581">
      <c r="H581" s="252" t="s">
        <v>161</v>
      </c>
    </row>
    <row r="582">
      <c r="H582" s="252" t="s">
        <v>161</v>
      </c>
    </row>
    <row r="583">
      <c r="H583" s="252" t="s">
        <v>161</v>
      </c>
    </row>
    <row r="584">
      <c r="H584" s="252" t="s">
        <v>161</v>
      </c>
    </row>
    <row r="585">
      <c r="H585" s="252" t="s">
        <v>161</v>
      </c>
    </row>
    <row r="586">
      <c r="H586" s="252" t="s">
        <v>161</v>
      </c>
    </row>
    <row r="587">
      <c r="H587" s="252" t="s">
        <v>161</v>
      </c>
    </row>
    <row r="588">
      <c r="H588" s="252" t="s">
        <v>161</v>
      </c>
    </row>
    <row r="589">
      <c r="H589" s="252" t="s">
        <v>161</v>
      </c>
    </row>
    <row r="590">
      <c r="H590" s="252" t="s">
        <v>161</v>
      </c>
    </row>
    <row r="591">
      <c r="H591" s="252" t="s">
        <v>161</v>
      </c>
    </row>
    <row r="592">
      <c r="H592" s="252" t="s">
        <v>161</v>
      </c>
    </row>
    <row r="593">
      <c r="H593" s="252" t="s">
        <v>161</v>
      </c>
    </row>
    <row r="594">
      <c r="H594" s="252" t="s">
        <v>161</v>
      </c>
    </row>
    <row r="595">
      <c r="H595" s="252" t="s">
        <v>161</v>
      </c>
    </row>
    <row r="596">
      <c r="H596" s="252" t="s">
        <v>161</v>
      </c>
    </row>
    <row r="597">
      <c r="H597" s="252" t="s">
        <v>161</v>
      </c>
    </row>
    <row r="598">
      <c r="H598" s="252" t="s">
        <v>161</v>
      </c>
    </row>
    <row r="599">
      <c r="H599" s="252" t="s">
        <v>161</v>
      </c>
    </row>
    <row r="600">
      <c r="H600" s="252" t="s">
        <v>161</v>
      </c>
    </row>
    <row r="601">
      <c r="H601" s="252" t="s">
        <v>161</v>
      </c>
    </row>
    <row r="602">
      <c r="H602" s="252" t="s">
        <v>161</v>
      </c>
    </row>
    <row r="603">
      <c r="H603" s="252" t="s">
        <v>161</v>
      </c>
    </row>
    <row r="604">
      <c r="H604" s="252" t="s">
        <v>161</v>
      </c>
    </row>
    <row r="605">
      <c r="H605" s="252" t="s">
        <v>161</v>
      </c>
    </row>
    <row r="606">
      <c r="H606" s="252" t="s">
        <v>161</v>
      </c>
    </row>
    <row r="607">
      <c r="H607" s="252" t="s">
        <v>161</v>
      </c>
    </row>
    <row r="608">
      <c r="H608" s="252" t="s">
        <v>161</v>
      </c>
    </row>
    <row r="609">
      <c r="H609" s="252" t="s">
        <v>161</v>
      </c>
    </row>
    <row r="610">
      <c r="H610" s="252" t="s">
        <v>161</v>
      </c>
    </row>
    <row r="611">
      <c r="H611" s="252" t="s">
        <v>161</v>
      </c>
    </row>
    <row r="612">
      <c r="H612" s="252" t="s">
        <v>161</v>
      </c>
    </row>
    <row r="613">
      <c r="H613" s="252" t="s">
        <v>161</v>
      </c>
    </row>
    <row r="614">
      <c r="H614" s="252" t="s">
        <v>161</v>
      </c>
    </row>
    <row r="615">
      <c r="H615" s="252" t="s">
        <v>161</v>
      </c>
    </row>
    <row r="616">
      <c r="H616" s="252" t="s">
        <v>161</v>
      </c>
    </row>
    <row r="617">
      <c r="H617" s="252" t="s">
        <v>161</v>
      </c>
    </row>
    <row r="618">
      <c r="H618" s="252" t="s">
        <v>161</v>
      </c>
    </row>
    <row r="619">
      <c r="H619" s="252" t="s">
        <v>161</v>
      </c>
    </row>
    <row r="620">
      <c r="H620" s="252" t="s">
        <v>161</v>
      </c>
    </row>
    <row r="621">
      <c r="H621" s="252" t="s">
        <v>161</v>
      </c>
    </row>
    <row r="622">
      <c r="H622" s="252" t="s">
        <v>161</v>
      </c>
    </row>
    <row r="623">
      <c r="H623" s="252" t="s">
        <v>161</v>
      </c>
    </row>
    <row r="624">
      <c r="H624" s="252" t="s">
        <v>161</v>
      </c>
    </row>
    <row r="625">
      <c r="H625" s="252" t="s">
        <v>161</v>
      </c>
    </row>
    <row r="626">
      <c r="H626" s="252" t="s">
        <v>161</v>
      </c>
    </row>
    <row r="627">
      <c r="H627" s="252" t="s">
        <v>161</v>
      </c>
    </row>
    <row r="628">
      <c r="H628" s="252" t="s">
        <v>161</v>
      </c>
    </row>
    <row r="629">
      <c r="H629" s="252" t="s">
        <v>161</v>
      </c>
    </row>
    <row r="630">
      <c r="H630" s="252" t="s">
        <v>161</v>
      </c>
    </row>
    <row r="631">
      <c r="H631" s="252" t="s">
        <v>161</v>
      </c>
    </row>
    <row r="632">
      <c r="H632" s="252" t="s">
        <v>161</v>
      </c>
    </row>
    <row r="633">
      <c r="H633" s="252" t="s">
        <v>161</v>
      </c>
    </row>
    <row r="634">
      <c r="H634" s="252" t="s">
        <v>161</v>
      </c>
    </row>
    <row r="635">
      <c r="H635" s="252" t="s">
        <v>161</v>
      </c>
    </row>
    <row r="636">
      <c r="H636" s="252" t="s">
        <v>161</v>
      </c>
    </row>
    <row r="637">
      <c r="H637" s="252" t="s">
        <v>161</v>
      </c>
    </row>
    <row r="638">
      <c r="H638" s="252" t="s">
        <v>161</v>
      </c>
    </row>
    <row r="639">
      <c r="H639" s="252" t="s">
        <v>161</v>
      </c>
    </row>
    <row r="640">
      <c r="H640" s="252" t="s">
        <v>161</v>
      </c>
    </row>
    <row r="641">
      <c r="H641" s="252" t="s">
        <v>161</v>
      </c>
    </row>
    <row r="642">
      <c r="H642" s="252" t="s">
        <v>161</v>
      </c>
    </row>
    <row r="643">
      <c r="H643" s="252" t="s">
        <v>161</v>
      </c>
    </row>
    <row r="644">
      <c r="H644" s="252" t="s">
        <v>161</v>
      </c>
    </row>
    <row r="645">
      <c r="H645" s="252" t="s">
        <v>161</v>
      </c>
    </row>
    <row r="646">
      <c r="H646" s="252" t="s">
        <v>161</v>
      </c>
    </row>
    <row r="647">
      <c r="H647" s="252" t="s">
        <v>161</v>
      </c>
    </row>
    <row r="648">
      <c r="H648" s="252" t="s">
        <v>161</v>
      </c>
    </row>
    <row r="649">
      <c r="H649" s="252" t="s">
        <v>161</v>
      </c>
    </row>
    <row r="650">
      <c r="H650" s="252" t="s">
        <v>161</v>
      </c>
    </row>
    <row r="651">
      <c r="H651" s="252" t="s">
        <v>161</v>
      </c>
    </row>
    <row r="652">
      <c r="H652" s="252" t="s">
        <v>161</v>
      </c>
    </row>
    <row r="653">
      <c r="H653" s="252" t="s">
        <v>161</v>
      </c>
    </row>
    <row r="654">
      <c r="H654" s="252" t="s">
        <v>161</v>
      </c>
    </row>
    <row r="655">
      <c r="H655" s="252" t="s">
        <v>161</v>
      </c>
    </row>
    <row r="656">
      <c r="H656" s="252" t="s">
        <v>161</v>
      </c>
    </row>
    <row r="657">
      <c r="H657" s="252" t="s">
        <v>161</v>
      </c>
    </row>
    <row r="658">
      <c r="H658" s="252" t="s">
        <v>161</v>
      </c>
    </row>
    <row r="659">
      <c r="H659" s="252" t="s">
        <v>161</v>
      </c>
    </row>
    <row r="660">
      <c r="H660" s="252" t="s">
        <v>161</v>
      </c>
    </row>
    <row r="661">
      <c r="H661" s="252" t="s">
        <v>161</v>
      </c>
    </row>
    <row r="662">
      <c r="H662" s="252" t="s">
        <v>161</v>
      </c>
    </row>
    <row r="663">
      <c r="H663" s="252" t="s">
        <v>161</v>
      </c>
    </row>
    <row r="664">
      <c r="H664" s="252" t="s">
        <v>161</v>
      </c>
    </row>
    <row r="665">
      <c r="H665" s="252" t="s">
        <v>161</v>
      </c>
    </row>
    <row r="666">
      <c r="H666" s="252" t="s">
        <v>161</v>
      </c>
    </row>
    <row r="667">
      <c r="H667" s="252" t="s">
        <v>161</v>
      </c>
    </row>
    <row r="668">
      <c r="H668" s="252" t="s">
        <v>161</v>
      </c>
    </row>
    <row r="669">
      <c r="H669" s="252" t="s">
        <v>161</v>
      </c>
    </row>
    <row r="670">
      <c r="H670" s="252" t="s">
        <v>161</v>
      </c>
    </row>
    <row r="671">
      <c r="H671" s="252" t="s">
        <v>161</v>
      </c>
    </row>
    <row r="672">
      <c r="H672" s="252" t="s">
        <v>161</v>
      </c>
    </row>
    <row r="673">
      <c r="H673" s="252" t="s">
        <v>161</v>
      </c>
    </row>
    <row r="674">
      <c r="H674" s="252" t="s">
        <v>161</v>
      </c>
    </row>
    <row r="675">
      <c r="H675" s="252" t="s">
        <v>161</v>
      </c>
    </row>
    <row r="676">
      <c r="H676" s="252" t="s">
        <v>161</v>
      </c>
    </row>
    <row r="677">
      <c r="H677" s="252" t="s">
        <v>161</v>
      </c>
    </row>
    <row r="678">
      <c r="H678" s="252" t="s">
        <v>161</v>
      </c>
    </row>
    <row r="679">
      <c r="H679" s="252" t="s">
        <v>161</v>
      </c>
    </row>
    <row r="680">
      <c r="H680" s="252" t="s">
        <v>161</v>
      </c>
    </row>
    <row r="681">
      <c r="H681" s="252" t="s">
        <v>161</v>
      </c>
    </row>
    <row r="682">
      <c r="H682" s="252" t="s">
        <v>161</v>
      </c>
    </row>
    <row r="683">
      <c r="H683" s="252" t="s">
        <v>161</v>
      </c>
    </row>
    <row r="684">
      <c r="H684" s="252" t="s">
        <v>161</v>
      </c>
    </row>
    <row r="685">
      <c r="H685" s="252" t="s">
        <v>161</v>
      </c>
    </row>
    <row r="686">
      <c r="H686" s="252" t="s">
        <v>161</v>
      </c>
    </row>
    <row r="687">
      <c r="H687" s="252" t="s">
        <v>161</v>
      </c>
    </row>
    <row r="688">
      <c r="H688" s="252" t="s">
        <v>161</v>
      </c>
    </row>
    <row r="689">
      <c r="H689" s="252" t="s">
        <v>161</v>
      </c>
    </row>
    <row r="690">
      <c r="H690" s="252" t="s">
        <v>161</v>
      </c>
    </row>
    <row r="691">
      <c r="H691" s="252" t="s">
        <v>161</v>
      </c>
    </row>
    <row r="692">
      <c r="H692" s="252" t="s">
        <v>161</v>
      </c>
    </row>
    <row r="693">
      <c r="H693" s="252" t="s">
        <v>161</v>
      </c>
    </row>
    <row r="694">
      <c r="H694" s="252" t="s">
        <v>161</v>
      </c>
    </row>
    <row r="695">
      <c r="H695" s="252" t="s">
        <v>161</v>
      </c>
    </row>
    <row r="696">
      <c r="H696" s="252" t="s">
        <v>161</v>
      </c>
    </row>
    <row r="697">
      <c r="H697" s="252" t="s">
        <v>161</v>
      </c>
    </row>
    <row r="698">
      <c r="H698" s="252" t="s">
        <v>161</v>
      </c>
    </row>
    <row r="699">
      <c r="H699" s="252" t="s">
        <v>161</v>
      </c>
    </row>
    <row r="700">
      <c r="H700" s="252" t="s">
        <v>161</v>
      </c>
    </row>
    <row r="701">
      <c r="H701" s="252" t="s">
        <v>161</v>
      </c>
    </row>
    <row r="702">
      <c r="H702" s="252" t="s">
        <v>161</v>
      </c>
    </row>
    <row r="703">
      <c r="H703" s="252" t="s">
        <v>161</v>
      </c>
    </row>
    <row r="704">
      <c r="H704" s="252" t="s">
        <v>161</v>
      </c>
    </row>
    <row r="705">
      <c r="H705" s="252" t="s">
        <v>161</v>
      </c>
    </row>
    <row r="706">
      <c r="H706" s="252" t="s">
        <v>161</v>
      </c>
    </row>
    <row r="707">
      <c r="H707" s="252" t="s">
        <v>161</v>
      </c>
    </row>
    <row r="708">
      <c r="H708" s="252" t="s">
        <v>161</v>
      </c>
    </row>
    <row r="709">
      <c r="H709" s="252" t="s">
        <v>161</v>
      </c>
    </row>
    <row r="710">
      <c r="H710" s="252" t="s">
        <v>161</v>
      </c>
    </row>
    <row r="711">
      <c r="H711" s="252" t="s">
        <v>161</v>
      </c>
    </row>
    <row r="712">
      <c r="H712" s="252" t="s">
        <v>161</v>
      </c>
    </row>
    <row r="713">
      <c r="H713" s="252" t="s">
        <v>161</v>
      </c>
    </row>
    <row r="714">
      <c r="H714" s="252" t="s">
        <v>161</v>
      </c>
    </row>
    <row r="715">
      <c r="H715" s="252" t="s">
        <v>161</v>
      </c>
    </row>
    <row r="716">
      <c r="H716" s="252" t="s">
        <v>161</v>
      </c>
    </row>
    <row r="717">
      <c r="H717" s="252" t="s">
        <v>161</v>
      </c>
    </row>
    <row r="718">
      <c r="H718" s="252" t="s">
        <v>161</v>
      </c>
    </row>
    <row r="719">
      <c r="H719" s="252" t="s">
        <v>161</v>
      </c>
    </row>
    <row r="720">
      <c r="H720" s="252" t="s">
        <v>161</v>
      </c>
    </row>
    <row r="721">
      <c r="H721" s="252" t="s">
        <v>161</v>
      </c>
    </row>
    <row r="722">
      <c r="H722" s="252" t="s">
        <v>161</v>
      </c>
    </row>
    <row r="723">
      <c r="H723" s="252" t="s">
        <v>161</v>
      </c>
    </row>
    <row r="724">
      <c r="H724" s="252" t="s">
        <v>161</v>
      </c>
    </row>
    <row r="725">
      <c r="H725" s="252" t="s">
        <v>161</v>
      </c>
    </row>
    <row r="726">
      <c r="H726" s="252" t="s">
        <v>161</v>
      </c>
    </row>
    <row r="727">
      <c r="H727" s="252" t="s">
        <v>161</v>
      </c>
    </row>
    <row r="728">
      <c r="H728" s="252" t="s">
        <v>161</v>
      </c>
    </row>
    <row r="729">
      <c r="H729" s="252" t="s">
        <v>161</v>
      </c>
    </row>
    <row r="730">
      <c r="H730" s="252" t="s">
        <v>161</v>
      </c>
    </row>
    <row r="731">
      <c r="H731" s="252" t="s">
        <v>161</v>
      </c>
    </row>
    <row r="732">
      <c r="H732" s="252" t="s">
        <v>161</v>
      </c>
    </row>
    <row r="733">
      <c r="H733" s="252" t="s">
        <v>161</v>
      </c>
    </row>
    <row r="734">
      <c r="H734" s="252" t="s">
        <v>161</v>
      </c>
    </row>
    <row r="735">
      <c r="H735" s="252" t="s">
        <v>161</v>
      </c>
    </row>
    <row r="736">
      <c r="H736" s="252" t="s">
        <v>161</v>
      </c>
    </row>
    <row r="737">
      <c r="H737" s="252" t="s">
        <v>161</v>
      </c>
    </row>
    <row r="738">
      <c r="H738" s="252" t="s">
        <v>161</v>
      </c>
    </row>
    <row r="739">
      <c r="H739" s="252" t="s">
        <v>161</v>
      </c>
    </row>
    <row r="740">
      <c r="H740" s="252" t="s">
        <v>161</v>
      </c>
    </row>
    <row r="741">
      <c r="H741" s="252" t="s">
        <v>161</v>
      </c>
    </row>
    <row r="742">
      <c r="H742" s="252" t="s">
        <v>161</v>
      </c>
    </row>
    <row r="743">
      <c r="H743" s="252" t="s">
        <v>161</v>
      </c>
    </row>
    <row r="744">
      <c r="H744" s="252" t="s">
        <v>161</v>
      </c>
    </row>
    <row r="745">
      <c r="H745" s="252" t="s">
        <v>161</v>
      </c>
    </row>
    <row r="746">
      <c r="H746" s="252" t="s">
        <v>161</v>
      </c>
    </row>
    <row r="747">
      <c r="H747" s="252" t="s">
        <v>161</v>
      </c>
    </row>
    <row r="748">
      <c r="H748" s="252" t="s">
        <v>161</v>
      </c>
    </row>
    <row r="749">
      <c r="H749" s="252" t="s">
        <v>161</v>
      </c>
    </row>
    <row r="750">
      <c r="H750" s="252" t="s">
        <v>161</v>
      </c>
    </row>
    <row r="751">
      <c r="H751" s="252" t="s">
        <v>161</v>
      </c>
    </row>
    <row r="752">
      <c r="H752" s="252" t="s">
        <v>161</v>
      </c>
    </row>
    <row r="753">
      <c r="H753" s="252" t="s">
        <v>161</v>
      </c>
    </row>
    <row r="754">
      <c r="H754" s="252" t="s">
        <v>161</v>
      </c>
    </row>
    <row r="755">
      <c r="H755" s="252" t="s">
        <v>161</v>
      </c>
    </row>
    <row r="756">
      <c r="H756" s="252" t="s">
        <v>161</v>
      </c>
    </row>
    <row r="757">
      <c r="H757" s="252" t="s">
        <v>161</v>
      </c>
    </row>
    <row r="758">
      <c r="H758" s="252" t="s">
        <v>161</v>
      </c>
    </row>
    <row r="759">
      <c r="H759" s="252" t="s">
        <v>161</v>
      </c>
    </row>
    <row r="760">
      <c r="H760" s="252" t="s">
        <v>161</v>
      </c>
    </row>
    <row r="761">
      <c r="H761" s="252" t="s">
        <v>161</v>
      </c>
    </row>
    <row r="762">
      <c r="H762" s="252" t="s">
        <v>161</v>
      </c>
    </row>
    <row r="763">
      <c r="H763" s="252" t="s">
        <v>161</v>
      </c>
    </row>
    <row r="764">
      <c r="H764" s="252" t="s">
        <v>161</v>
      </c>
    </row>
    <row r="765">
      <c r="H765" s="252" t="s">
        <v>161</v>
      </c>
    </row>
    <row r="766">
      <c r="H766" s="252" t="s">
        <v>161</v>
      </c>
    </row>
    <row r="767">
      <c r="H767" s="252" t="s">
        <v>161</v>
      </c>
    </row>
    <row r="768">
      <c r="H768" s="252" t="s">
        <v>161</v>
      </c>
    </row>
    <row r="769">
      <c r="H769" s="252" t="s">
        <v>161</v>
      </c>
    </row>
    <row r="770">
      <c r="H770" s="252" t="s">
        <v>161</v>
      </c>
    </row>
    <row r="771">
      <c r="H771" s="252" t="s">
        <v>161</v>
      </c>
    </row>
    <row r="772">
      <c r="H772" s="252" t="s">
        <v>161</v>
      </c>
    </row>
    <row r="773">
      <c r="H773" s="252" t="s">
        <v>161</v>
      </c>
    </row>
    <row r="774">
      <c r="H774" s="252" t="s">
        <v>161</v>
      </c>
    </row>
    <row r="775">
      <c r="H775" s="252" t="s">
        <v>161</v>
      </c>
    </row>
    <row r="776">
      <c r="H776" s="252" t="s">
        <v>161</v>
      </c>
    </row>
    <row r="777">
      <c r="H777" s="252" t="s">
        <v>161</v>
      </c>
    </row>
    <row r="778">
      <c r="H778" s="252" t="s">
        <v>161</v>
      </c>
    </row>
    <row r="779">
      <c r="H779" s="252" t="s">
        <v>161</v>
      </c>
    </row>
    <row r="780">
      <c r="H780" s="252" t="s">
        <v>161</v>
      </c>
    </row>
    <row r="781">
      <c r="H781" s="252" t="s">
        <v>161</v>
      </c>
    </row>
    <row r="782">
      <c r="H782" s="252" t="s">
        <v>161</v>
      </c>
    </row>
    <row r="783">
      <c r="H783" s="252" t="s">
        <v>161</v>
      </c>
    </row>
    <row r="784">
      <c r="H784" s="252" t="s">
        <v>161</v>
      </c>
    </row>
    <row r="785">
      <c r="H785" s="252" t="s">
        <v>161</v>
      </c>
    </row>
    <row r="786">
      <c r="H786" s="252" t="s">
        <v>161</v>
      </c>
    </row>
    <row r="787">
      <c r="H787" s="252" t="s">
        <v>161</v>
      </c>
    </row>
    <row r="788">
      <c r="H788" s="252" t="s">
        <v>161</v>
      </c>
    </row>
    <row r="789">
      <c r="H789" s="252" t="s">
        <v>161</v>
      </c>
    </row>
    <row r="790">
      <c r="H790" s="252" t="s">
        <v>161</v>
      </c>
    </row>
    <row r="791">
      <c r="H791" s="252" t="s">
        <v>161</v>
      </c>
    </row>
    <row r="792">
      <c r="H792" s="252" t="s">
        <v>161</v>
      </c>
    </row>
    <row r="793">
      <c r="H793" s="252" t="s">
        <v>161</v>
      </c>
    </row>
    <row r="794">
      <c r="H794" s="252" t="s">
        <v>161</v>
      </c>
    </row>
    <row r="795">
      <c r="H795" s="252" t="s">
        <v>161</v>
      </c>
    </row>
    <row r="796">
      <c r="H796" s="252" t="s">
        <v>161</v>
      </c>
    </row>
    <row r="797">
      <c r="H797" s="252" t="s">
        <v>161</v>
      </c>
    </row>
    <row r="798">
      <c r="H798" s="252" t="s">
        <v>161</v>
      </c>
    </row>
    <row r="799">
      <c r="H799" s="252" t="s">
        <v>161</v>
      </c>
    </row>
    <row r="800">
      <c r="H800" s="252" t="s">
        <v>161</v>
      </c>
    </row>
    <row r="801">
      <c r="H801" s="252" t="s">
        <v>161</v>
      </c>
    </row>
    <row r="802">
      <c r="H802" s="252" t="s">
        <v>161</v>
      </c>
    </row>
    <row r="803">
      <c r="H803" s="252" t="s">
        <v>161</v>
      </c>
    </row>
    <row r="804">
      <c r="H804" s="252" t="s">
        <v>161</v>
      </c>
    </row>
    <row r="805">
      <c r="H805" s="252" t="s">
        <v>161</v>
      </c>
    </row>
    <row r="806">
      <c r="H806" s="252" t="s">
        <v>161</v>
      </c>
    </row>
    <row r="807">
      <c r="H807" s="252" t="s">
        <v>161</v>
      </c>
    </row>
    <row r="808">
      <c r="H808" s="252" t="s">
        <v>161</v>
      </c>
    </row>
    <row r="809">
      <c r="H809" s="252" t="s">
        <v>161</v>
      </c>
    </row>
    <row r="810">
      <c r="H810" s="252" t="s">
        <v>161</v>
      </c>
    </row>
    <row r="811">
      <c r="H811" s="252" t="s">
        <v>161</v>
      </c>
    </row>
    <row r="812">
      <c r="H812" s="252" t="s">
        <v>161</v>
      </c>
    </row>
    <row r="813">
      <c r="H813" s="252" t="s">
        <v>161</v>
      </c>
    </row>
    <row r="814">
      <c r="H814" s="252" t="s">
        <v>161</v>
      </c>
    </row>
    <row r="815">
      <c r="H815" s="252" t="s">
        <v>161</v>
      </c>
    </row>
    <row r="816">
      <c r="H816" s="252" t="s">
        <v>161</v>
      </c>
    </row>
    <row r="817">
      <c r="H817" s="252" t="s">
        <v>161</v>
      </c>
    </row>
    <row r="818">
      <c r="H818" s="252" t="s">
        <v>161</v>
      </c>
    </row>
    <row r="819">
      <c r="H819" s="252" t="s">
        <v>161</v>
      </c>
    </row>
    <row r="820">
      <c r="H820" s="252" t="s">
        <v>161</v>
      </c>
    </row>
    <row r="821">
      <c r="H821" s="252" t="s">
        <v>161</v>
      </c>
    </row>
    <row r="822">
      <c r="H822" s="252" t="s">
        <v>161</v>
      </c>
    </row>
    <row r="823">
      <c r="H823" s="252" t="s">
        <v>161</v>
      </c>
    </row>
    <row r="824">
      <c r="H824" s="252" t="s">
        <v>161</v>
      </c>
    </row>
    <row r="825">
      <c r="H825" s="252" t="s">
        <v>161</v>
      </c>
    </row>
    <row r="826">
      <c r="H826" s="252" t="s">
        <v>161</v>
      </c>
    </row>
    <row r="827">
      <c r="H827" s="252" t="s">
        <v>161</v>
      </c>
    </row>
    <row r="828">
      <c r="H828" s="252" t="s">
        <v>161</v>
      </c>
    </row>
    <row r="829">
      <c r="H829" s="252" t="s">
        <v>161</v>
      </c>
    </row>
    <row r="830">
      <c r="H830" s="252" t="s">
        <v>161</v>
      </c>
    </row>
    <row r="831">
      <c r="H831" s="252" t="s">
        <v>161</v>
      </c>
    </row>
    <row r="832">
      <c r="H832" s="252" t="s">
        <v>161</v>
      </c>
    </row>
    <row r="833">
      <c r="H833" s="252" t="s">
        <v>161</v>
      </c>
    </row>
    <row r="834">
      <c r="H834" s="252" t="s">
        <v>161</v>
      </c>
    </row>
    <row r="835">
      <c r="H835" s="252" t="s">
        <v>161</v>
      </c>
    </row>
    <row r="836">
      <c r="H836" s="252" t="s">
        <v>161</v>
      </c>
    </row>
    <row r="837">
      <c r="H837" s="252" t="s">
        <v>161</v>
      </c>
    </row>
    <row r="838">
      <c r="H838" s="252" t="s">
        <v>161</v>
      </c>
    </row>
    <row r="839">
      <c r="H839" s="252" t="s">
        <v>161</v>
      </c>
    </row>
    <row r="840">
      <c r="H840" s="252" t="s">
        <v>161</v>
      </c>
    </row>
    <row r="841">
      <c r="H841" s="252" t="s">
        <v>161</v>
      </c>
    </row>
    <row r="842">
      <c r="H842" s="252" t="s">
        <v>161</v>
      </c>
    </row>
    <row r="843">
      <c r="H843" s="252" t="s">
        <v>161</v>
      </c>
    </row>
    <row r="844">
      <c r="H844" s="252" t="s">
        <v>161</v>
      </c>
    </row>
    <row r="845">
      <c r="H845" s="252" t="s">
        <v>161</v>
      </c>
    </row>
    <row r="846">
      <c r="H846" s="252" t="s">
        <v>161</v>
      </c>
    </row>
    <row r="847">
      <c r="H847" s="252" t="s">
        <v>161</v>
      </c>
    </row>
    <row r="848">
      <c r="H848" s="252" t="s">
        <v>161</v>
      </c>
    </row>
    <row r="849">
      <c r="H849" s="252" t="s">
        <v>161</v>
      </c>
    </row>
    <row r="850">
      <c r="H850" s="252" t="s">
        <v>161</v>
      </c>
    </row>
    <row r="851">
      <c r="H851" s="252" t="s">
        <v>161</v>
      </c>
    </row>
    <row r="852">
      <c r="H852" s="252" t="s">
        <v>161</v>
      </c>
    </row>
    <row r="853">
      <c r="H853" s="252" t="s">
        <v>161</v>
      </c>
    </row>
    <row r="854">
      <c r="H854" s="252" t="s">
        <v>161</v>
      </c>
    </row>
    <row r="855">
      <c r="H855" s="252" t="s">
        <v>161</v>
      </c>
    </row>
    <row r="856">
      <c r="H856" s="252" t="s">
        <v>161</v>
      </c>
    </row>
    <row r="857">
      <c r="H857" s="252" t="s">
        <v>161</v>
      </c>
    </row>
    <row r="858">
      <c r="H858" s="252" t="s">
        <v>161</v>
      </c>
    </row>
    <row r="859">
      <c r="H859" s="252" t="s">
        <v>161</v>
      </c>
    </row>
    <row r="860">
      <c r="H860" s="252" t="s">
        <v>161</v>
      </c>
    </row>
    <row r="861">
      <c r="H861" s="252" t="s">
        <v>161</v>
      </c>
    </row>
    <row r="862">
      <c r="H862" s="252" t="s">
        <v>161</v>
      </c>
    </row>
    <row r="863">
      <c r="H863" s="252" t="s">
        <v>161</v>
      </c>
    </row>
    <row r="864">
      <c r="H864" s="252" t="s">
        <v>161</v>
      </c>
    </row>
    <row r="865">
      <c r="H865" s="252" t="s">
        <v>161</v>
      </c>
    </row>
    <row r="866">
      <c r="H866" s="252" t="s">
        <v>161</v>
      </c>
    </row>
    <row r="867">
      <c r="H867" s="252" t="s">
        <v>161</v>
      </c>
    </row>
    <row r="868">
      <c r="H868" s="252" t="s">
        <v>161</v>
      </c>
    </row>
    <row r="869">
      <c r="H869" s="252" t="s">
        <v>161</v>
      </c>
    </row>
    <row r="870">
      <c r="H870" s="252" t="s">
        <v>161</v>
      </c>
    </row>
    <row r="871">
      <c r="H871" s="252" t="s">
        <v>161</v>
      </c>
    </row>
    <row r="872">
      <c r="H872" s="252" t="s">
        <v>161</v>
      </c>
    </row>
    <row r="873">
      <c r="H873" s="252" t="s">
        <v>161</v>
      </c>
    </row>
    <row r="874">
      <c r="H874" s="252" t="s">
        <v>161</v>
      </c>
    </row>
    <row r="875">
      <c r="H875" s="252" t="s">
        <v>161</v>
      </c>
    </row>
    <row r="876">
      <c r="H876" s="252" t="s">
        <v>161</v>
      </c>
    </row>
    <row r="877">
      <c r="H877" s="252" t="s">
        <v>161</v>
      </c>
    </row>
    <row r="878">
      <c r="H878" s="252" t="s">
        <v>161</v>
      </c>
    </row>
    <row r="879">
      <c r="H879" s="252" t="s">
        <v>161</v>
      </c>
    </row>
    <row r="880">
      <c r="H880" s="252" t="s">
        <v>161</v>
      </c>
    </row>
    <row r="881">
      <c r="H881" s="252" t="s">
        <v>161</v>
      </c>
    </row>
    <row r="882">
      <c r="H882" s="252" t="s">
        <v>161</v>
      </c>
    </row>
    <row r="883">
      <c r="H883" s="252" t="s">
        <v>161</v>
      </c>
    </row>
    <row r="884">
      <c r="H884" s="252" t="s">
        <v>161</v>
      </c>
    </row>
    <row r="885">
      <c r="H885" s="252" t="s">
        <v>161</v>
      </c>
    </row>
    <row r="886">
      <c r="H886" s="252" t="s">
        <v>161</v>
      </c>
    </row>
    <row r="887">
      <c r="H887" s="252" t="s">
        <v>161</v>
      </c>
    </row>
    <row r="888">
      <c r="H888" s="252" t="s">
        <v>161</v>
      </c>
    </row>
    <row r="889">
      <c r="H889" s="252" t="s">
        <v>161</v>
      </c>
    </row>
    <row r="890">
      <c r="H890" s="252" t="s">
        <v>161</v>
      </c>
    </row>
    <row r="891">
      <c r="H891" s="252" t="s">
        <v>161</v>
      </c>
    </row>
    <row r="892">
      <c r="H892" s="252" t="s">
        <v>161</v>
      </c>
    </row>
    <row r="893">
      <c r="H893" s="252" t="s">
        <v>161</v>
      </c>
    </row>
    <row r="894">
      <c r="H894" s="252" t="s">
        <v>161</v>
      </c>
    </row>
    <row r="895">
      <c r="H895" s="252" t="s">
        <v>161</v>
      </c>
    </row>
    <row r="896">
      <c r="H896" s="252" t="s">
        <v>161</v>
      </c>
    </row>
    <row r="897">
      <c r="H897" s="252" t="s">
        <v>161</v>
      </c>
    </row>
    <row r="898">
      <c r="H898" s="252" t="s">
        <v>161</v>
      </c>
    </row>
    <row r="899">
      <c r="H899" s="252" t="s">
        <v>161</v>
      </c>
    </row>
    <row r="900">
      <c r="H900" s="252" t="s">
        <v>161</v>
      </c>
    </row>
    <row r="901">
      <c r="H901" s="252" t="s">
        <v>161</v>
      </c>
    </row>
    <row r="902">
      <c r="H902" s="252" t="s">
        <v>161</v>
      </c>
    </row>
    <row r="903">
      <c r="H903" s="252" t="s">
        <v>161</v>
      </c>
    </row>
    <row r="904">
      <c r="H904" s="252" t="s">
        <v>161</v>
      </c>
    </row>
    <row r="905">
      <c r="H905" s="252" t="s">
        <v>161</v>
      </c>
    </row>
    <row r="906">
      <c r="H906" s="252" t="s">
        <v>161</v>
      </c>
    </row>
    <row r="907">
      <c r="H907" s="252" t="s">
        <v>161</v>
      </c>
    </row>
    <row r="908">
      <c r="H908" s="252" t="s">
        <v>161</v>
      </c>
    </row>
    <row r="909">
      <c r="H909" s="252" t="s">
        <v>161</v>
      </c>
    </row>
    <row r="910">
      <c r="H910" s="252" t="s">
        <v>161</v>
      </c>
    </row>
    <row r="911">
      <c r="H911" s="252" t="s">
        <v>161</v>
      </c>
    </row>
    <row r="912">
      <c r="H912" s="252" t="s">
        <v>161</v>
      </c>
    </row>
    <row r="913">
      <c r="H913" s="252" t="s">
        <v>161</v>
      </c>
    </row>
    <row r="914">
      <c r="H914" s="252" t="s">
        <v>161</v>
      </c>
    </row>
    <row r="915">
      <c r="H915" s="252" t="s">
        <v>161</v>
      </c>
    </row>
    <row r="916">
      <c r="H916" s="252" t="s">
        <v>161</v>
      </c>
    </row>
    <row r="917">
      <c r="H917" s="252" t="s">
        <v>161</v>
      </c>
    </row>
    <row r="918">
      <c r="H918" s="252" t="s">
        <v>161</v>
      </c>
    </row>
    <row r="919">
      <c r="H919" s="252" t="s">
        <v>161</v>
      </c>
    </row>
    <row r="920">
      <c r="H920" s="252" t="s">
        <v>161</v>
      </c>
    </row>
    <row r="921">
      <c r="H921" s="252" t="s">
        <v>161</v>
      </c>
    </row>
    <row r="922">
      <c r="H922" s="252" t="s">
        <v>161</v>
      </c>
    </row>
    <row r="923">
      <c r="H923" s="252" t="s">
        <v>161</v>
      </c>
    </row>
    <row r="924">
      <c r="H924" s="252" t="s">
        <v>161</v>
      </c>
    </row>
    <row r="925">
      <c r="H925" s="252" t="s">
        <v>161</v>
      </c>
    </row>
    <row r="926">
      <c r="H926" s="252" t="s">
        <v>161</v>
      </c>
    </row>
    <row r="927">
      <c r="H927" s="252" t="s">
        <v>161</v>
      </c>
    </row>
    <row r="928">
      <c r="H928" s="252" t="s">
        <v>161</v>
      </c>
    </row>
    <row r="929">
      <c r="H929" s="252" t="s">
        <v>161</v>
      </c>
    </row>
    <row r="930">
      <c r="H930" s="252" t="s">
        <v>161</v>
      </c>
    </row>
    <row r="931">
      <c r="H931" s="252" t="s">
        <v>161</v>
      </c>
    </row>
    <row r="932">
      <c r="H932" s="252" t="s">
        <v>161</v>
      </c>
    </row>
    <row r="933">
      <c r="H933" s="252" t="s">
        <v>161</v>
      </c>
    </row>
    <row r="934">
      <c r="H934" s="252" t="s">
        <v>161</v>
      </c>
    </row>
    <row r="935">
      <c r="H935" s="252" t="s">
        <v>161</v>
      </c>
    </row>
    <row r="936">
      <c r="H936" s="252" t="s">
        <v>161</v>
      </c>
    </row>
    <row r="937">
      <c r="H937" s="252" t="s">
        <v>161</v>
      </c>
    </row>
    <row r="938">
      <c r="H938" s="252" t="s">
        <v>161</v>
      </c>
    </row>
    <row r="939">
      <c r="H939" s="252" t="s">
        <v>161</v>
      </c>
    </row>
    <row r="940">
      <c r="H940" s="252" t="s">
        <v>161</v>
      </c>
    </row>
    <row r="941">
      <c r="H941" s="252" t="s">
        <v>161</v>
      </c>
    </row>
    <row r="942">
      <c r="H942" s="252" t="s">
        <v>161</v>
      </c>
    </row>
    <row r="943">
      <c r="H943" s="252" t="s">
        <v>161</v>
      </c>
    </row>
    <row r="944">
      <c r="H944" s="252" t="s">
        <v>161</v>
      </c>
    </row>
    <row r="945">
      <c r="H945" s="252" t="s">
        <v>161</v>
      </c>
    </row>
    <row r="946">
      <c r="H946" s="252" t="s">
        <v>161</v>
      </c>
    </row>
    <row r="947">
      <c r="H947" s="252" t="s">
        <v>161</v>
      </c>
    </row>
    <row r="948">
      <c r="H948" s="252" t="s">
        <v>161</v>
      </c>
    </row>
    <row r="949">
      <c r="H949" s="252" t="s">
        <v>161</v>
      </c>
    </row>
    <row r="950">
      <c r="H950" s="252" t="s">
        <v>161</v>
      </c>
    </row>
    <row r="951">
      <c r="H951" s="252" t="s">
        <v>161</v>
      </c>
    </row>
    <row r="952">
      <c r="H952" s="252" t="s">
        <v>161</v>
      </c>
    </row>
    <row r="953">
      <c r="H953" s="252" t="s">
        <v>161</v>
      </c>
    </row>
    <row r="954">
      <c r="H954" s="252" t="s">
        <v>161</v>
      </c>
    </row>
    <row r="955">
      <c r="H955" s="252" t="s">
        <v>161</v>
      </c>
    </row>
    <row r="956">
      <c r="H956" s="252" t="s">
        <v>161</v>
      </c>
    </row>
    <row r="957">
      <c r="H957" s="252" t="s">
        <v>161</v>
      </c>
    </row>
    <row r="958">
      <c r="H958" s="252" t="s">
        <v>161</v>
      </c>
    </row>
    <row r="959">
      <c r="H959" s="252" t="s">
        <v>161</v>
      </c>
    </row>
    <row r="960">
      <c r="H960" s="252" t="s">
        <v>161</v>
      </c>
    </row>
    <row r="961">
      <c r="H961" s="252" t="s">
        <v>161</v>
      </c>
    </row>
    <row r="962">
      <c r="H962" s="252" t="s">
        <v>161</v>
      </c>
    </row>
    <row r="963">
      <c r="H963" s="252" t="s">
        <v>161</v>
      </c>
    </row>
    <row r="964">
      <c r="H964" s="252" t="s">
        <v>161</v>
      </c>
    </row>
    <row r="965">
      <c r="H965" s="252" t="s">
        <v>161</v>
      </c>
    </row>
    <row r="966">
      <c r="H966" s="252" t="s">
        <v>161</v>
      </c>
    </row>
    <row r="967">
      <c r="H967" s="252" t="s">
        <v>161</v>
      </c>
    </row>
    <row r="968">
      <c r="H968" s="252" t="s">
        <v>161</v>
      </c>
    </row>
    <row r="969">
      <c r="H969" s="252" t="s">
        <v>161</v>
      </c>
    </row>
    <row r="970">
      <c r="H970" s="252" t="s">
        <v>161</v>
      </c>
    </row>
    <row r="971">
      <c r="H971" s="252" t="s">
        <v>161</v>
      </c>
    </row>
    <row r="972">
      <c r="H972" s="252" t="s">
        <v>161</v>
      </c>
    </row>
    <row r="973">
      <c r="H973" s="252" t="s">
        <v>161</v>
      </c>
    </row>
    <row r="974">
      <c r="H974" s="252" t="s">
        <v>161</v>
      </c>
    </row>
    <row r="975">
      <c r="H975" s="252" t="s">
        <v>161</v>
      </c>
    </row>
    <row r="976">
      <c r="H976" s="252" t="s">
        <v>161</v>
      </c>
    </row>
    <row r="977">
      <c r="H977" s="252" t="s">
        <v>161</v>
      </c>
    </row>
    <row r="978">
      <c r="H978" s="252" t="s">
        <v>161</v>
      </c>
    </row>
    <row r="979">
      <c r="H979" s="252" t="s">
        <v>161</v>
      </c>
    </row>
    <row r="980">
      <c r="H980" s="252" t="s">
        <v>161</v>
      </c>
    </row>
    <row r="981">
      <c r="H981" s="252" t="s">
        <v>161</v>
      </c>
    </row>
    <row r="982">
      <c r="H982" s="252" t="s">
        <v>161</v>
      </c>
    </row>
    <row r="983">
      <c r="H983" s="252" t="s">
        <v>161</v>
      </c>
    </row>
    <row r="984">
      <c r="H984" s="252" t="s">
        <v>161</v>
      </c>
    </row>
    <row r="985">
      <c r="H985" s="252" t="s">
        <v>161</v>
      </c>
    </row>
    <row r="986">
      <c r="H986" s="252" t="s">
        <v>161</v>
      </c>
    </row>
    <row r="987">
      <c r="H987" s="252" t="s">
        <v>161</v>
      </c>
    </row>
    <row r="988">
      <c r="H988" s="252" t="s">
        <v>161</v>
      </c>
    </row>
    <row r="989">
      <c r="H989" s="252" t="s">
        <v>161</v>
      </c>
    </row>
    <row r="990">
      <c r="H990" s="252" t="s">
        <v>161</v>
      </c>
    </row>
    <row r="991">
      <c r="H991" s="252" t="s">
        <v>161</v>
      </c>
    </row>
    <row r="992">
      <c r="H992" s="252" t="s">
        <v>161</v>
      </c>
    </row>
    <row r="993">
      <c r="H993" s="252" t="s">
        <v>161</v>
      </c>
    </row>
    <row r="994">
      <c r="H994" s="252" t="s">
        <v>161</v>
      </c>
    </row>
    <row r="995">
      <c r="H995" s="252" t="s">
        <v>161</v>
      </c>
    </row>
    <row r="996">
      <c r="H996" s="252" t="s">
        <v>161</v>
      </c>
    </row>
    <row r="997">
      <c r="H997" s="252" t="s">
        <v>161</v>
      </c>
    </row>
    <row r="998">
      <c r="H998" s="252" t="s">
        <v>161</v>
      </c>
    </row>
    <row r="999">
      <c r="H999" s="252" t="s">
        <v>161</v>
      </c>
    </row>
    <row r="1000">
      <c r="H1000" s="252" t="s">
        <v>161</v>
      </c>
    </row>
  </sheetData>
  <autoFilter ref="$A$2:$AC$16"/>
  <mergeCells count="4">
    <mergeCell ref="I1:L1"/>
    <mergeCell ref="M1:P1"/>
    <mergeCell ref="Q1:T1"/>
    <mergeCell ref="U1:X1"/>
  </mergeCells>
  <conditionalFormatting sqref="L5:L16">
    <cfRule type="cellIs" dxfId="0" priority="1" operator="lessThan">
      <formula>0</formula>
    </cfRule>
  </conditionalFormatting>
  <conditionalFormatting sqref="X3:X17">
    <cfRule type="cellIs" dxfId="1" priority="2" operator="lessThan">
      <formula>0</formula>
    </cfRule>
  </conditionalFormatting>
  <conditionalFormatting sqref="P5:P16">
    <cfRule type="cellIs" dxfId="2" priority="3" operator="lessThan">
      <formula>0</formula>
    </cfRule>
  </conditionalFormatting>
  <conditionalFormatting sqref="T4:T16">
    <cfRule type="cellIs" dxfId="2" priority="4" operator="lessThan">
      <formula>0</formula>
    </cfRule>
  </conditionalFormatting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9.88"/>
    <col customWidth="1" min="3" max="3" width="14.5"/>
    <col customWidth="1" min="6" max="6" width="12.38"/>
    <col customWidth="1" min="7" max="7" width="8.38"/>
    <col customWidth="1" min="8" max="8" width="11.13"/>
  </cols>
  <sheetData>
    <row r="1">
      <c r="A1" s="506">
        <v>6.0</v>
      </c>
      <c r="B1" s="507"/>
      <c r="C1" s="507"/>
      <c r="D1" s="507"/>
      <c r="E1" s="507"/>
      <c r="F1" s="507"/>
      <c r="G1" s="507"/>
      <c r="H1" s="507"/>
      <c r="I1" s="507"/>
      <c r="J1" s="507"/>
      <c r="K1" s="508"/>
      <c r="L1" s="509" t="s">
        <v>0</v>
      </c>
      <c r="M1" s="510"/>
      <c r="N1" s="510"/>
      <c r="O1" s="511"/>
      <c r="P1" s="512" t="s">
        <v>398</v>
      </c>
      <c r="Q1" s="510"/>
      <c r="R1" s="510"/>
      <c r="S1" s="510"/>
      <c r="T1" s="513" t="s">
        <v>349</v>
      </c>
      <c r="U1" s="510"/>
      <c r="V1" s="510"/>
      <c r="W1" s="510"/>
      <c r="X1" s="513" t="s">
        <v>1</v>
      </c>
      <c r="Y1" s="510"/>
      <c r="Z1" s="510"/>
      <c r="AA1" s="510"/>
      <c r="AB1" s="513"/>
      <c r="AC1" s="513"/>
      <c r="AD1" s="513"/>
      <c r="AE1" s="513"/>
      <c r="AF1" s="507"/>
      <c r="AG1" s="258"/>
      <c r="AH1" s="258"/>
      <c r="AI1" s="258"/>
      <c r="AJ1" s="258"/>
      <c r="AK1" s="258"/>
      <c r="AL1" s="258"/>
      <c r="AM1" s="258"/>
      <c r="AN1" s="258"/>
      <c r="AO1" s="258"/>
      <c r="AP1" s="258"/>
      <c r="AQ1" s="258"/>
      <c r="AR1" s="258"/>
      <c r="AS1" s="258"/>
      <c r="AT1" s="258"/>
      <c r="AU1" s="258"/>
      <c r="AV1" s="258"/>
      <c r="AW1" s="258"/>
    </row>
    <row r="2" ht="56.25" customHeight="1">
      <c r="A2" s="514" t="s">
        <v>4</v>
      </c>
      <c r="B2" s="514" t="s">
        <v>351</v>
      </c>
      <c r="C2" s="515" t="s">
        <v>6</v>
      </c>
      <c r="D2" s="515" t="s">
        <v>171</v>
      </c>
      <c r="E2" s="429" t="s">
        <v>170</v>
      </c>
      <c r="F2" s="516" t="s">
        <v>7</v>
      </c>
      <c r="G2" s="13" t="s">
        <v>8</v>
      </c>
      <c r="H2" s="431" t="s">
        <v>9</v>
      </c>
      <c r="I2" s="430" t="s">
        <v>172</v>
      </c>
      <c r="J2" s="430" t="s">
        <v>11</v>
      </c>
      <c r="K2" s="430" t="s">
        <v>173</v>
      </c>
      <c r="L2" s="517" t="s">
        <v>174</v>
      </c>
      <c r="M2" s="518" t="s">
        <v>14</v>
      </c>
      <c r="N2" s="518" t="s">
        <v>15</v>
      </c>
      <c r="O2" s="519" t="s">
        <v>16</v>
      </c>
      <c r="P2" s="429" t="s">
        <v>174</v>
      </c>
      <c r="Q2" s="437" t="s">
        <v>14</v>
      </c>
      <c r="R2" s="437" t="s">
        <v>15</v>
      </c>
      <c r="S2" s="438"/>
      <c r="T2" s="515" t="s">
        <v>174</v>
      </c>
      <c r="U2" s="520" t="s">
        <v>14</v>
      </c>
      <c r="V2" s="520" t="s">
        <v>399</v>
      </c>
      <c r="W2" s="521"/>
      <c r="X2" s="514" t="s">
        <v>174</v>
      </c>
      <c r="Y2" s="522" t="s">
        <v>14</v>
      </c>
      <c r="Z2" s="522" t="s">
        <v>399</v>
      </c>
      <c r="AA2" s="521"/>
      <c r="AB2" s="523"/>
      <c r="AC2" s="524" t="s">
        <v>18</v>
      </c>
      <c r="AD2" s="523"/>
      <c r="AE2" s="523"/>
      <c r="AF2" s="523"/>
      <c r="AG2" s="523"/>
      <c r="AH2" s="523"/>
      <c r="AI2" s="523"/>
      <c r="AJ2" s="523"/>
      <c r="AK2" s="523"/>
      <c r="AL2" s="523"/>
      <c r="AM2" s="523"/>
      <c r="AN2" s="523"/>
      <c r="AO2" s="523"/>
      <c r="AP2" s="523"/>
      <c r="AQ2" s="523"/>
      <c r="AR2" s="523"/>
      <c r="AS2" s="523"/>
      <c r="AT2" s="523"/>
      <c r="AU2" s="523"/>
      <c r="AV2" s="523"/>
      <c r="AW2" s="523"/>
    </row>
    <row r="3">
      <c r="A3" s="525" t="s">
        <v>400</v>
      </c>
      <c r="B3" s="526" t="s">
        <v>401</v>
      </c>
      <c r="C3" s="526" t="s">
        <v>372</v>
      </c>
      <c r="D3" s="526" t="s">
        <v>402</v>
      </c>
      <c r="E3" s="527" t="s">
        <v>403</v>
      </c>
      <c r="F3" s="528" t="s">
        <v>22</v>
      </c>
      <c r="G3" s="528" t="s">
        <v>96</v>
      </c>
      <c r="H3" s="529">
        <f t="array" ref="H3:H1000">IF(A3:A1000="", "", 
  IF(G3:G1000="KM", 
    IFERROR(VLOOKUP(A3:A1000, DATA_LIMPIA!A:C, 3, FALSE), "Sin Datos"), 
    IFERROR(VLOOKUP(A3:A1000, DATA_LIMPIA!A:C, 2, FALSE), "Sin Datos")
  )
)</f>
        <v>21109</v>
      </c>
      <c r="I3" s="530">
        <v>45930.0</v>
      </c>
      <c r="J3" s="530">
        <v>45930.0</v>
      </c>
      <c r="K3" s="530">
        <v>45859.0</v>
      </c>
      <c r="L3" s="531">
        <v>44964.0</v>
      </c>
      <c r="M3" s="529">
        <v>20777.0</v>
      </c>
      <c r="N3" s="529">
        <f t="shared" ref="N3:N11" si="1">M3+350</f>
        <v>21127</v>
      </c>
      <c r="O3" s="532">
        <f t="shared" ref="O3:O11" si="2">N3-H3</f>
        <v>18</v>
      </c>
      <c r="P3" s="533"/>
      <c r="Q3" s="529">
        <v>20465.0</v>
      </c>
      <c r="R3" s="529">
        <f t="shared" ref="R3:R11" si="3">Q3+2000</f>
        <v>22465</v>
      </c>
      <c r="S3" s="532">
        <f t="shared" ref="S3:S11" si="4">R3-H3</f>
        <v>1356</v>
      </c>
      <c r="T3" s="534"/>
      <c r="U3" s="529">
        <v>20465.0</v>
      </c>
      <c r="V3" s="529">
        <f t="shared" ref="V3:V11" si="5">U3+2000</f>
        <v>22465</v>
      </c>
      <c r="W3" s="529">
        <f t="shared" ref="W3:W11" si="6">V3-H3</f>
        <v>1356</v>
      </c>
      <c r="X3" s="535"/>
      <c r="Y3" s="529">
        <v>20465.0</v>
      </c>
      <c r="Z3" s="529">
        <f t="shared" ref="Z3:Z11" si="7">Y3+2000</f>
        <v>22465</v>
      </c>
      <c r="AA3" s="529">
        <f t="shared" ref="AA3:AA11" si="8">Z3-H3</f>
        <v>1356</v>
      </c>
      <c r="AB3" s="258"/>
      <c r="AC3" s="258"/>
      <c r="AD3" s="258"/>
      <c r="AE3" s="258"/>
      <c r="AF3" s="258"/>
      <c r="AG3" s="258"/>
      <c r="AH3" s="258"/>
      <c r="AI3" s="258"/>
      <c r="AJ3" s="258"/>
      <c r="AK3" s="258"/>
      <c r="AL3" s="258"/>
      <c r="AM3" s="258"/>
      <c r="AN3" s="258"/>
      <c r="AO3" s="258"/>
      <c r="AP3" s="258"/>
      <c r="AQ3" s="258"/>
      <c r="AR3" s="258"/>
      <c r="AS3" s="258"/>
      <c r="AT3" s="258"/>
      <c r="AU3" s="258"/>
      <c r="AV3" s="258"/>
      <c r="AW3" s="258"/>
    </row>
    <row r="4">
      <c r="A4" s="536" t="s">
        <v>404</v>
      </c>
      <c r="B4" s="449" t="s">
        <v>401</v>
      </c>
      <c r="C4" s="449" t="s">
        <v>372</v>
      </c>
      <c r="D4" s="450" t="s">
        <v>405</v>
      </c>
      <c r="E4" s="537" t="s">
        <v>403</v>
      </c>
      <c r="F4" s="278" t="s">
        <v>37</v>
      </c>
      <c r="G4" s="278" t="s">
        <v>96</v>
      </c>
      <c r="H4" s="538">
        <v>711.0</v>
      </c>
      <c r="I4" s="539">
        <v>45930.0</v>
      </c>
      <c r="J4" s="539">
        <v>45930.0</v>
      </c>
      <c r="K4" s="539">
        <v>45859.0</v>
      </c>
      <c r="L4" s="452">
        <v>45922.0</v>
      </c>
      <c r="M4" s="453">
        <v>395.0</v>
      </c>
      <c r="N4" s="454">
        <f t="shared" si="1"/>
        <v>745</v>
      </c>
      <c r="O4" s="540">
        <f t="shared" si="2"/>
        <v>34</v>
      </c>
      <c r="P4" s="456">
        <v>41738.0</v>
      </c>
      <c r="Q4" s="458">
        <v>8360.0</v>
      </c>
      <c r="R4" s="458">
        <f t="shared" si="3"/>
        <v>10360</v>
      </c>
      <c r="S4" s="477">
        <f t="shared" si="4"/>
        <v>9649</v>
      </c>
      <c r="T4" s="324"/>
      <c r="U4" s="462">
        <v>5680.0</v>
      </c>
      <c r="V4" s="462">
        <f t="shared" si="5"/>
        <v>7680</v>
      </c>
      <c r="W4" s="541">
        <f t="shared" si="6"/>
        <v>6969</v>
      </c>
      <c r="X4" s="347"/>
      <c r="Y4" s="465">
        <v>5680.0</v>
      </c>
      <c r="Z4" s="465">
        <f t="shared" si="7"/>
        <v>7680</v>
      </c>
      <c r="AA4" s="541">
        <f t="shared" si="8"/>
        <v>6969</v>
      </c>
      <c r="AB4" s="258"/>
      <c r="AC4" s="258"/>
      <c r="AD4" s="258"/>
      <c r="AE4" s="258"/>
      <c r="AF4" s="258"/>
      <c r="AG4" s="258"/>
      <c r="AH4" s="258"/>
      <c r="AI4" s="258"/>
      <c r="AJ4" s="258"/>
      <c r="AK4" s="258"/>
      <c r="AL4" s="258"/>
      <c r="AM4" s="258"/>
      <c r="AN4" s="258"/>
      <c r="AO4" s="258"/>
      <c r="AP4" s="258"/>
      <c r="AQ4" s="258"/>
      <c r="AR4" s="258"/>
      <c r="AS4" s="258"/>
      <c r="AT4" s="258"/>
      <c r="AU4" s="258"/>
      <c r="AV4" s="258"/>
      <c r="AW4" s="258"/>
    </row>
    <row r="5">
      <c r="A5" s="474" t="s">
        <v>406</v>
      </c>
      <c r="B5" s="450" t="s">
        <v>401</v>
      </c>
      <c r="C5" s="449" t="s">
        <v>407</v>
      </c>
      <c r="D5" s="450" t="s">
        <v>408</v>
      </c>
      <c r="E5" s="537" t="s">
        <v>409</v>
      </c>
      <c r="F5" s="278" t="s">
        <v>37</v>
      </c>
      <c r="G5" s="278" t="s">
        <v>96</v>
      </c>
      <c r="H5" s="538">
        <v>3503.0</v>
      </c>
      <c r="I5" s="542">
        <v>46295.0</v>
      </c>
      <c r="J5" s="542">
        <v>46295.0</v>
      </c>
      <c r="K5" s="539">
        <v>46372.0</v>
      </c>
      <c r="L5" s="543">
        <v>46048.0</v>
      </c>
      <c r="M5" s="486">
        <v>809.0</v>
      </c>
      <c r="N5" s="454">
        <f t="shared" si="1"/>
        <v>1159</v>
      </c>
      <c r="O5" s="544">
        <f t="shared" si="2"/>
        <v>-2344</v>
      </c>
      <c r="P5" s="456">
        <v>45468.0</v>
      </c>
      <c r="Q5" s="457">
        <v>-613.0</v>
      </c>
      <c r="R5" s="458">
        <f t="shared" si="3"/>
        <v>1387</v>
      </c>
      <c r="S5" s="477">
        <f t="shared" si="4"/>
        <v>-2116</v>
      </c>
      <c r="T5" s="464">
        <v>45468.0</v>
      </c>
      <c r="U5" s="461">
        <v>-613.0</v>
      </c>
      <c r="V5" s="462">
        <f t="shared" si="5"/>
        <v>1387</v>
      </c>
      <c r="W5" s="541">
        <f t="shared" si="6"/>
        <v>-2116</v>
      </c>
      <c r="X5" s="545">
        <v>45468.0</v>
      </c>
      <c r="Y5" s="472">
        <v>-613.0</v>
      </c>
      <c r="Z5" s="465">
        <f t="shared" si="7"/>
        <v>1387</v>
      </c>
      <c r="AA5" s="541">
        <f t="shared" si="8"/>
        <v>-2116</v>
      </c>
      <c r="AB5" s="258"/>
      <c r="AC5" s="258"/>
      <c r="AD5" s="258"/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8"/>
      <c r="AS5" s="258"/>
      <c r="AT5" s="258"/>
      <c r="AU5" s="258"/>
      <c r="AV5" s="258"/>
      <c r="AW5" s="258"/>
    </row>
    <row r="6">
      <c r="A6" s="485" t="s">
        <v>410</v>
      </c>
      <c r="B6" s="449" t="s">
        <v>401</v>
      </c>
      <c r="C6" s="449" t="s">
        <v>411</v>
      </c>
      <c r="D6" s="450" t="s">
        <v>412</v>
      </c>
      <c r="E6" s="537" t="s">
        <v>413</v>
      </c>
      <c r="F6" s="278" t="s">
        <v>37</v>
      </c>
      <c r="G6" s="278" t="s">
        <v>96</v>
      </c>
      <c r="H6" s="538">
        <v>16512.0</v>
      </c>
      <c r="I6" s="542">
        <v>46295.0</v>
      </c>
      <c r="J6" s="542">
        <v>46295.0</v>
      </c>
      <c r="K6" s="539">
        <v>47056.0</v>
      </c>
      <c r="L6" s="452">
        <v>46082.0</v>
      </c>
      <c r="M6" s="453">
        <v>16464.0</v>
      </c>
      <c r="N6" s="454">
        <f t="shared" si="1"/>
        <v>16814</v>
      </c>
      <c r="O6" s="540">
        <f t="shared" si="2"/>
        <v>302</v>
      </c>
      <c r="P6" s="460">
        <v>45825.0</v>
      </c>
      <c r="Q6" s="457">
        <v>15255.0</v>
      </c>
      <c r="R6" s="458">
        <f t="shared" si="3"/>
        <v>17255</v>
      </c>
      <c r="S6" s="477">
        <f t="shared" si="4"/>
        <v>743</v>
      </c>
      <c r="T6" s="464">
        <v>45593.0</v>
      </c>
      <c r="U6" s="462">
        <v>15006.0</v>
      </c>
      <c r="V6" s="462">
        <f t="shared" si="5"/>
        <v>17006</v>
      </c>
      <c r="W6" s="541">
        <f t="shared" si="6"/>
        <v>494</v>
      </c>
      <c r="X6" s="546">
        <v>45895.0</v>
      </c>
      <c r="Y6" s="472">
        <v>15255.0</v>
      </c>
      <c r="Z6" s="465">
        <f t="shared" si="7"/>
        <v>17255</v>
      </c>
      <c r="AA6" s="541">
        <f t="shared" si="8"/>
        <v>743</v>
      </c>
      <c r="AB6" s="258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</row>
    <row r="7">
      <c r="A7" s="450" t="s">
        <v>414</v>
      </c>
      <c r="B7" s="450" t="s">
        <v>401</v>
      </c>
      <c r="C7" s="449" t="s">
        <v>360</v>
      </c>
      <c r="D7" s="450" t="s">
        <v>415</v>
      </c>
      <c r="E7" s="537" t="s">
        <v>416</v>
      </c>
      <c r="F7" s="278" t="s">
        <v>37</v>
      </c>
      <c r="G7" s="278" t="s">
        <v>96</v>
      </c>
      <c r="H7" s="538">
        <v>5564.0</v>
      </c>
      <c r="I7" s="542">
        <v>46295.0</v>
      </c>
      <c r="J7" s="542">
        <v>46295.0</v>
      </c>
      <c r="K7" s="539">
        <v>47101.0</v>
      </c>
      <c r="L7" s="452">
        <v>45980.0</v>
      </c>
      <c r="M7" s="453">
        <v>5296.0</v>
      </c>
      <c r="N7" s="454">
        <f t="shared" si="1"/>
        <v>5646</v>
      </c>
      <c r="O7" s="540">
        <f t="shared" si="2"/>
        <v>82</v>
      </c>
      <c r="P7" s="452">
        <v>45895.0</v>
      </c>
      <c r="Q7" s="457">
        <v>5155.0</v>
      </c>
      <c r="R7" s="458">
        <f t="shared" si="3"/>
        <v>7155</v>
      </c>
      <c r="S7" s="477">
        <f t="shared" si="4"/>
        <v>1591</v>
      </c>
      <c r="T7" s="484">
        <v>45155.0</v>
      </c>
      <c r="U7" s="462">
        <v>2635.0</v>
      </c>
      <c r="V7" s="462">
        <f t="shared" si="5"/>
        <v>4635</v>
      </c>
      <c r="W7" s="497">
        <f t="shared" si="6"/>
        <v>-929</v>
      </c>
      <c r="X7" s="547">
        <v>45895.0</v>
      </c>
      <c r="Y7" s="472">
        <v>5155.0</v>
      </c>
      <c r="Z7" s="465">
        <f t="shared" si="7"/>
        <v>7155</v>
      </c>
      <c r="AA7" s="541">
        <f t="shared" si="8"/>
        <v>1591</v>
      </c>
      <c r="AB7" s="258"/>
      <c r="AC7" s="258"/>
      <c r="AD7" s="258"/>
      <c r="AE7" s="258"/>
      <c r="AF7" s="258"/>
      <c r="AG7" s="258"/>
      <c r="AH7" s="258"/>
      <c r="AI7" s="258"/>
      <c r="AJ7" s="258"/>
      <c r="AK7" s="258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</row>
    <row r="8">
      <c r="A8" s="474" t="s">
        <v>417</v>
      </c>
      <c r="B8" s="450" t="s">
        <v>401</v>
      </c>
      <c r="C8" s="450" t="s">
        <v>360</v>
      </c>
      <c r="D8" s="450" t="s">
        <v>415</v>
      </c>
      <c r="E8" s="548" t="s">
        <v>418</v>
      </c>
      <c r="F8" s="278" t="s">
        <v>37</v>
      </c>
      <c r="G8" s="278" t="s">
        <v>96</v>
      </c>
      <c r="H8" s="538">
        <v>707.0</v>
      </c>
      <c r="I8" s="549">
        <v>46295.0</v>
      </c>
      <c r="J8" s="549">
        <v>46295.0</v>
      </c>
      <c r="K8" s="549">
        <v>47408.0</v>
      </c>
      <c r="L8" s="452">
        <v>45772.0</v>
      </c>
      <c r="M8" s="453">
        <v>494.0</v>
      </c>
      <c r="N8" s="454">
        <f t="shared" si="1"/>
        <v>844</v>
      </c>
      <c r="O8" s="540">
        <f t="shared" si="2"/>
        <v>137</v>
      </c>
      <c r="P8" s="460">
        <v>45895.0</v>
      </c>
      <c r="Q8" s="457">
        <v>399.0</v>
      </c>
      <c r="R8" s="458">
        <f t="shared" si="3"/>
        <v>2399</v>
      </c>
      <c r="S8" s="477">
        <f t="shared" si="4"/>
        <v>1692</v>
      </c>
      <c r="T8" s="464">
        <v>45401.0</v>
      </c>
      <c r="U8" s="462">
        <v>9302.0</v>
      </c>
      <c r="V8" s="462">
        <f t="shared" si="5"/>
        <v>11302</v>
      </c>
      <c r="W8" s="541">
        <f t="shared" si="6"/>
        <v>10595</v>
      </c>
      <c r="X8" s="545">
        <v>45132.0</v>
      </c>
      <c r="Y8" s="465">
        <v>8598.0</v>
      </c>
      <c r="Z8" s="465">
        <f t="shared" si="7"/>
        <v>10598</v>
      </c>
      <c r="AA8" s="541">
        <f t="shared" si="8"/>
        <v>9891</v>
      </c>
      <c r="AB8" s="258"/>
      <c r="AC8" s="258"/>
      <c r="AD8" s="258"/>
      <c r="AE8" s="258"/>
      <c r="AF8" s="258"/>
      <c r="AG8" s="258"/>
      <c r="AH8" s="258"/>
      <c r="AI8" s="258"/>
      <c r="AJ8" s="258"/>
      <c r="AK8" s="258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</row>
    <row r="9">
      <c r="A9" s="474" t="s">
        <v>419</v>
      </c>
      <c r="B9" s="450" t="s">
        <v>401</v>
      </c>
      <c r="C9" s="449" t="s">
        <v>407</v>
      </c>
      <c r="D9" s="450" t="s">
        <v>420</v>
      </c>
      <c r="E9" s="537" t="s">
        <v>421</v>
      </c>
      <c r="F9" s="278" t="s">
        <v>110</v>
      </c>
      <c r="G9" s="278" t="s">
        <v>96</v>
      </c>
      <c r="H9" s="538">
        <v>13238.0</v>
      </c>
      <c r="I9" s="539">
        <v>45930.0</v>
      </c>
      <c r="J9" s="539">
        <v>45930.0</v>
      </c>
      <c r="K9" s="542">
        <v>47211.0</v>
      </c>
      <c r="L9" s="543">
        <v>45664.0</v>
      </c>
      <c r="M9" s="486">
        <v>12885.0</v>
      </c>
      <c r="N9" s="454">
        <f t="shared" si="1"/>
        <v>13235</v>
      </c>
      <c r="O9" s="540">
        <f t="shared" si="2"/>
        <v>-3</v>
      </c>
      <c r="P9" s="460">
        <v>45761.0</v>
      </c>
      <c r="Q9" s="457">
        <v>12142.0</v>
      </c>
      <c r="R9" s="458">
        <f t="shared" si="3"/>
        <v>14142</v>
      </c>
      <c r="S9" s="477">
        <f t="shared" si="4"/>
        <v>904</v>
      </c>
      <c r="T9" s="478">
        <v>45761.0</v>
      </c>
      <c r="U9" s="461">
        <v>12142.0</v>
      </c>
      <c r="V9" s="462">
        <f t="shared" si="5"/>
        <v>14142</v>
      </c>
      <c r="W9" s="541">
        <f t="shared" si="6"/>
        <v>904</v>
      </c>
      <c r="X9" s="546">
        <v>45761.0</v>
      </c>
      <c r="Y9" s="472">
        <v>12142.0</v>
      </c>
      <c r="Z9" s="465">
        <f t="shared" si="7"/>
        <v>14142</v>
      </c>
      <c r="AA9" s="541">
        <f t="shared" si="8"/>
        <v>904</v>
      </c>
      <c r="AB9" s="258"/>
      <c r="AC9" s="258"/>
      <c r="AD9" s="258"/>
      <c r="AE9" s="258"/>
      <c r="AF9" s="258"/>
      <c r="AG9" s="258"/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</row>
    <row r="10">
      <c r="A10" s="485" t="s">
        <v>422</v>
      </c>
      <c r="B10" s="550" t="s">
        <v>423</v>
      </c>
      <c r="C10" s="450" t="s">
        <v>372</v>
      </c>
      <c r="D10" s="450" t="s">
        <v>424</v>
      </c>
      <c r="E10" s="537" t="s">
        <v>425</v>
      </c>
      <c r="F10" s="278" t="s">
        <v>113</v>
      </c>
      <c r="G10" s="278" t="s">
        <v>96</v>
      </c>
      <c r="H10" s="538">
        <v>11026.0</v>
      </c>
      <c r="I10" s="542">
        <v>46295.0</v>
      </c>
      <c r="J10" s="542">
        <v>46295.0</v>
      </c>
      <c r="K10" s="539">
        <v>47010.0</v>
      </c>
      <c r="L10" s="452">
        <v>46059.0</v>
      </c>
      <c r="M10" s="453">
        <v>2324.0</v>
      </c>
      <c r="N10" s="454">
        <f t="shared" si="1"/>
        <v>2674</v>
      </c>
      <c r="O10" s="540">
        <f t="shared" si="2"/>
        <v>-8352</v>
      </c>
      <c r="P10" s="460">
        <v>45996.0</v>
      </c>
      <c r="Q10" s="457">
        <v>1996.0</v>
      </c>
      <c r="R10" s="458">
        <f t="shared" si="3"/>
        <v>3996</v>
      </c>
      <c r="S10" s="477">
        <f t="shared" si="4"/>
        <v>-7030</v>
      </c>
      <c r="T10" s="478">
        <v>45996.0</v>
      </c>
      <c r="U10" s="461">
        <v>1996.0</v>
      </c>
      <c r="V10" s="462">
        <f t="shared" si="5"/>
        <v>3996</v>
      </c>
      <c r="W10" s="541">
        <f t="shared" si="6"/>
        <v>-7030</v>
      </c>
      <c r="X10" s="546">
        <v>45996.0</v>
      </c>
      <c r="Y10" s="472">
        <v>1996.0</v>
      </c>
      <c r="Z10" s="465">
        <f t="shared" si="7"/>
        <v>3996</v>
      </c>
      <c r="AA10" s="541">
        <f t="shared" si="8"/>
        <v>-7030</v>
      </c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</row>
    <row r="11">
      <c r="A11" s="474" t="s">
        <v>426</v>
      </c>
      <c r="B11" s="550" t="s">
        <v>427</v>
      </c>
      <c r="C11" s="449" t="s">
        <v>372</v>
      </c>
      <c r="D11" s="325"/>
      <c r="E11" s="537" t="s">
        <v>428</v>
      </c>
      <c r="F11" s="278" t="s">
        <v>113</v>
      </c>
      <c r="G11" s="278" t="s">
        <v>96</v>
      </c>
      <c r="H11" s="538">
        <v>2768.0</v>
      </c>
      <c r="I11" s="551">
        <v>46295.0</v>
      </c>
      <c r="J11" s="551">
        <v>46295.0</v>
      </c>
      <c r="K11" s="552">
        <v>47010.0</v>
      </c>
      <c r="L11" s="499">
        <v>46090.0</v>
      </c>
      <c r="M11" s="500">
        <v>2743.0</v>
      </c>
      <c r="N11" s="501">
        <f t="shared" si="1"/>
        <v>3093</v>
      </c>
      <c r="O11" s="540">
        <f t="shared" si="2"/>
        <v>325</v>
      </c>
      <c r="P11" s="553">
        <v>45939.0</v>
      </c>
      <c r="Q11" s="554">
        <v>1980.0</v>
      </c>
      <c r="R11" s="458">
        <f t="shared" si="3"/>
        <v>3980</v>
      </c>
      <c r="S11" s="477">
        <f t="shared" si="4"/>
        <v>1212</v>
      </c>
      <c r="T11" s="344">
        <v>45939.0</v>
      </c>
      <c r="U11" s="461">
        <v>1980.0</v>
      </c>
      <c r="V11" s="462">
        <f t="shared" si="5"/>
        <v>3980</v>
      </c>
      <c r="W11" s="541">
        <f t="shared" si="6"/>
        <v>1212</v>
      </c>
      <c r="X11" s="555">
        <v>45939.0</v>
      </c>
      <c r="Y11" s="472">
        <v>1980.0</v>
      </c>
      <c r="Z11" s="465">
        <f t="shared" si="7"/>
        <v>3980</v>
      </c>
      <c r="AA11" s="541">
        <f t="shared" si="8"/>
        <v>1212</v>
      </c>
      <c r="AB11" s="258"/>
      <c r="AC11" s="258"/>
      <c r="AD11" s="258"/>
      <c r="AE11" s="258"/>
      <c r="AF11" s="258"/>
      <c r="AG11" s="258"/>
      <c r="AH11" s="258"/>
      <c r="AI11" s="258"/>
      <c r="AJ11" s="258"/>
      <c r="AK11" s="258"/>
      <c r="AL11" s="258"/>
      <c r="AM11" s="258"/>
      <c r="AN11" s="258"/>
      <c r="AO11" s="258"/>
      <c r="AP11" s="258"/>
      <c r="AQ11" s="258"/>
      <c r="AR11" s="258"/>
      <c r="AS11" s="258"/>
      <c r="AT11" s="258"/>
      <c r="AU11" s="258"/>
      <c r="AV11" s="258"/>
      <c r="AW11" s="258"/>
    </row>
    <row r="12">
      <c r="H12" s="252" t="s">
        <v>161</v>
      </c>
      <c r="O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  <c r="AM12" s="252"/>
      <c r="AN12" s="252"/>
      <c r="AO12" s="252"/>
    </row>
    <row r="13">
      <c r="H13" s="252" t="s">
        <v>161</v>
      </c>
    </row>
    <row r="14">
      <c r="H14" s="252" t="s">
        <v>161</v>
      </c>
    </row>
    <row r="15">
      <c r="H15" s="252" t="s">
        <v>161</v>
      </c>
    </row>
    <row r="16">
      <c r="H16" s="252" t="s">
        <v>161</v>
      </c>
    </row>
    <row r="17">
      <c r="H17" s="252" t="s">
        <v>161</v>
      </c>
    </row>
    <row r="18">
      <c r="H18" s="252" t="s">
        <v>161</v>
      </c>
    </row>
    <row r="19">
      <c r="H19" s="252" t="s">
        <v>161</v>
      </c>
    </row>
    <row r="20">
      <c r="H20" s="252" t="s">
        <v>161</v>
      </c>
    </row>
    <row r="21">
      <c r="H21" s="252" t="s">
        <v>161</v>
      </c>
    </row>
    <row r="22">
      <c r="H22" s="252" t="s">
        <v>161</v>
      </c>
    </row>
    <row r="23">
      <c r="H23" s="252" t="s">
        <v>161</v>
      </c>
    </row>
    <row r="24">
      <c r="H24" s="252" t="s">
        <v>161</v>
      </c>
    </row>
    <row r="25">
      <c r="H25" s="252" t="s">
        <v>161</v>
      </c>
    </row>
    <row r="26">
      <c r="H26" s="252" t="s">
        <v>161</v>
      </c>
    </row>
    <row r="27">
      <c r="H27" s="252" t="s">
        <v>161</v>
      </c>
    </row>
    <row r="28">
      <c r="H28" s="252" t="s">
        <v>161</v>
      </c>
    </row>
    <row r="29">
      <c r="H29" s="252" t="s">
        <v>161</v>
      </c>
    </row>
    <row r="30">
      <c r="H30" s="252" t="s">
        <v>161</v>
      </c>
    </row>
    <row r="31">
      <c r="H31" s="252" t="s">
        <v>161</v>
      </c>
    </row>
    <row r="32">
      <c r="H32" s="252" t="s">
        <v>161</v>
      </c>
    </row>
    <row r="33">
      <c r="H33" s="252" t="s">
        <v>161</v>
      </c>
    </row>
    <row r="34">
      <c r="H34" s="252" t="s">
        <v>161</v>
      </c>
    </row>
    <row r="35">
      <c r="H35" s="252" t="s">
        <v>161</v>
      </c>
    </row>
    <row r="36">
      <c r="H36" s="252" t="s">
        <v>161</v>
      </c>
    </row>
    <row r="37">
      <c r="H37" s="252" t="s">
        <v>161</v>
      </c>
    </row>
    <row r="38">
      <c r="H38" s="252" t="s">
        <v>161</v>
      </c>
    </row>
    <row r="39">
      <c r="H39" s="252" t="s">
        <v>161</v>
      </c>
    </row>
    <row r="40">
      <c r="H40" s="252" t="s">
        <v>161</v>
      </c>
    </row>
    <row r="41">
      <c r="H41" s="252" t="s">
        <v>161</v>
      </c>
    </row>
    <row r="42">
      <c r="H42" s="252" t="s">
        <v>161</v>
      </c>
    </row>
    <row r="43">
      <c r="H43" s="252" t="s">
        <v>161</v>
      </c>
    </row>
    <row r="44">
      <c r="H44" s="252" t="s">
        <v>161</v>
      </c>
    </row>
    <row r="45">
      <c r="H45" s="252" t="s">
        <v>161</v>
      </c>
    </row>
    <row r="46">
      <c r="H46" s="252" t="s">
        <v>161</v>
      </c>
    </row>
    <row r="47">
      <c r="H47" s="252" t="s">
        <v>161</v>
      </c>
    </row>
    <row r="48">
      <c r="H48" s="252" t="s">
        <v>161</v>
      </c>
    </row>
    <row r="49">
      <c r="H49" s="252" t="s">
        <v>161</v>
      </c>
    </row>
    <row r="50">
      <c r="H50" s="252" t="s">
        <v>161</v>
      </c>
    </row>
    <row r="51">
      <c r="H51" s="252" t="s">
        <v>161</v>
      </c>
    </row>
    <row r="52">
      <c r="H52" s="252" t="s">
        <v>161</v>
      </c>
    </row>
    <row r="53">
      <c r="H53" s="252" t="s">
        <v>161</v>
      </c>
    </row>
    <row r="54">
      <c r="H54" s="252" t="s">
        <v>161</v>
      </c>
    </row>
    <row r="55">
      <c r="H55" s="252" t="s">
        <v>161</v>
      </c>
    </row>
    <row r="56">
      <c r="H56" s="252" t="s">
        <v>161</v>
      </c>
    </row>
    <row r="57">
      <c r="H57" s="252" t="s">
        <v>161</v>
      </c>
    </row>
    <row r="58">
      <c r="H58" s="252" t="s">
        <v>161</v>
      </c>
    </row>
    <row r="59">
      <c r="H59" s="252" t="s">
        <v>161</v>
      </c>
    </row>
    <row r="60">
      <c r="H60" s="252" t="s">
        <v>161</v>
      </c>
    </row>
    <row r="61">
      <c r="H61" s="252" t="s">
        <v>161</v>
      </c>
    </row>
    <row r="62">
      <c r="H62" s="252" t="s">
        <v>161</v>
      </c>
    </row>
    <row r="63">
      <c r="H63" s="252" t="s">
        <v>161</v>
      </c>
    </row>
    <row r="64">
      <c r="H64" s="252" t="s">
        <v>161</v>
      </c>
    </row>
    <row r="65">
      <c r="H65" s="252" t="s">
        <v>161</v>
      </c>
    </row>
    <row r="66">
      <c r="H66" s="252" t="s">
        <v>161</v>
      </c>
    </row>
    <row r="67">
      <c r="H67" s="252" t="s">
        <v>161</v>
      </c>
    </row>
    <row r="68">
      <c r="H68" s="252" t="s">
        <v>161</v>
      </c>
    </row>
    <row r="69">
      <c r="H69" s="252" t="s">
        <v>161</v>
      </c>
    </row>
    <row r="70">
      <c r="H70" s="252" t="s">
        <v>161</v>
      </c>
    </row>
    <row r="71">
      <c r="H71" s="252" t="s">
        <v>161</v>
      </c>
    </row>
    <row r="72">
      <c r="H72" s="252" t="s">
        <v>161</v>
      </c>
    </row>
    <row r="73">
      <c r="H73" s="252" t="s">
        <v>161</v>
      </c>
    </row>
    <row r="74">
      <c r="H74" s="252" t="s">
        <v>161</v>
      </c>
    </row>
    <row r="75">
      <c r="H75" s="252" t="s">
        <v>161</v>
      </c>
    </row>
    <row r="76">
      <c r="H76" s="252" t="s">
        <v>161</v>
      </c>
    </row>
    <row r="77">
      <c r="H77" s="252" t="s">
        <v>161</v>
      </c>
    </row>
    <row r="78">
      <c r="H78" s="252" t="s">
        <v>161</v>
      </c>
    </row>
    <row r="79">
      <c r="H79" s="252" t="s">
        <v>161</v>
      </c>
    </row>
    <row r="80">
      <c r="H80" s="252" t="s">
        <v>161</v>
      </c>
    </row>
    <row r="81">
      <c r="H81" s="252" t="s">
        <v>161</v>
      </c>
    </row>
    <row r="82">
      <c r="H82" s="252" t="s">
        <v>161</v>
      </c>
    </row>
    <row r="83">
      <c r="H83" s="252" t="s">
        <v>161</v>
      </c>
    </row>
    <row r="84">
      <c r="H84" s="252" t="s">
        <v>161</v>
      </c>
    </row>
    <row r="85">
      <c r="H85" s="252" t="s">
        <v>161</v>
      </c>
    </row>
    <row r="86">
      <c r="H86" s="252" t="s">
        <v>161</v>
      </c>
    </row>
    <row r="87">
      <c r="H87" s="252" t="s">
        <v>161</v>
      </c>
    </row>
    <row r="88">
      <c r="H88" s="252" t="s">
        <v>161</v>
      </c>
    </row>
    <row r="89">
      <c r="H89" s="252" t="s">
        <v>161</v>
      </c>
    </row>
    <row r="90">
      <c r="H90" s="252" t="s">
        <v>161</v>
      </c>
    </row>
    <row r="91">
      <c r="H91" s="252" t="s">
        <v>161</v>
      </c>
    </row>
    <row r="92">
      <c r="H92" s="252" t="s">
        <v>161</v>
      </c>
    </row>
    <row r="93">
      <c r="H93" s="252" t="s">
        <v>161</v>
      </c>
    </row>
    <row r="94">
      <c r="H94" s="252" t="s">
        <v>161</v>
      </c>
    </row>
    <row r="95">
      <c r="H95" s="252" t="s">
        <v>161</v>
      </c>
    </row>
    <row r="96">
      <c r="H96" s="252" t="s">
        <v>161</v>
      </c>
    </row>
    <row r="97">
      <c r="H97" s="252" t="s">
        <v>161</v>
      </c>
    </row>
    <row r="98">
      <c r="H98" s="252" t="s">
        <v>161</v>
      </c>
    </row>
    <row r="99">
      <c r="H99" s="252" t="s">
        <v>161</v>
      </c>
    </row>
    <row r="100">
      <c r="H100" s="252" t="s">
        <v>161</v>
      </c>
    </row>
    <row r="101">
      <c r="H101" s="252" t="s">
        <v>161</v>
      </c>
    </row>
    <row r="102">
      <c r="H102" s="252" t="s">
        <v>161</v>
      </c>
    </row>
    <row r="103">
      <c r="H103" s="252" t="s">
        <v>161</v>
      </c>
    </row>
    <row r="104">
      <c r="H104" s="252" t="s">
        <v>161</v>
      </c>
    </row>
    <row r="105">
      <c r="H105" s="252" t="s">
        <v>161</v>
      </c>
    </row>
    <row r="106">
      <c r="H106" s="252" t="s">
        <v>161</v>
      </c>
    </row>
    <row r="107">
      <c r="H107" s="252" t="s">
        <v>161</v>
      </c>
    </row>
    <row r="108">
      <c r="H108" s="252" t="s">
        <v>161</v>
      </c>
    </row>
    <row r="109">
      <c r="H109" s="252" t="s">
        <v>161</v>
      </c>
    </row>
    <row r="110">
      <c r="H110" s="252" t="s">
        <v>161</v>
      </c>
    </row>
    <row r="111">
      <c r="H111" s="252" t="s">
        <v>161</v>
      </c>
    </row>
    <row r="112">
      <c r="H112" s="252" t="s">
        <v>161</v>
      </c>
    </row>
    <row r="113">
      <c r="H113" s="252" t="s">
        <v>161</v>
      </c>
    </row>
    <row r="114">
      <c r="H114" s="252" t="s">
        <v>161</v>
      </c>
    </row>
    <row r="115">
      <c r="H115" s="252" t="s">
        <v>161</v>
      </c>
    </row>
    <row r="116">
      <c r="H116" s="252" t="s">
        <v>161</v>
      </c>
    </row>
    <row r="117">
      <c r="H117" s="252" t="s">
        <v>161</v>
      </c>
    </row>
    <row r="118">
      <c r="H118" s="252" t="s">
        <v>161</v>
      </c>
    </row>
    <row r="119">
      <c r="H119" s="252" t="s">
        <v>161</v>
      </c>
    </row>
    <row r="120">
      <c r="H120" s="252" t="s">
        <v>161</v>
      </c>
    </row>
    <row r="121">
      <c r="H121" s="252" t="s">
        <v>161</v>
      </c>
    </row>
    <row r="122">
      <c r="H122" s="252" t="s">
        <v>161</v>
      </c>
    </row>
    <row r="123">
      <c r="H123" s="252" t="s">
        <v>161</v>
      </c>
    </row>
    <row r="124">
      <c r="H124" s="252" t="s">
        <v>161</v>
      </c>
    </row>
    <row r="125">
      <c r="H125" s="252" t="s">
        <v>161</v>
      </c>
    </row>
    <row r="126">
      <c r="H126" s="252" t="s">
        <v>161</v>
      </c>
    </row>
    <row r="127">
      <c r="H127" s="252" t="s">
        <v>161</v>
      </c>
    </row>
    <row r="128">
      <c r="H128" s="252" t="s">
        <v>161</v>
      </c>
    </row>
    <row r="129">
      <c r="H129" s="252" t="s">
        <v>161</v>
      </c>
    </row>
    <row r="130">
      <c r="H130" s="252" t="s">
        <v>161</v>
      </c>
    </row>
    <row r="131">
      <c r="H131" s="252" t="s">
        <v>161</v>
      </c>
    </row>
    <row r="132">
      <c r="H132" s="252" t="s">
        <v>161</v>
      </c>
    </row>
    <row r="133">
      <c r="H133" s="252" t="s">
        <v>161</v>
      </c>
    </row>
    <row r="134">
      <c r="H134" s="252" t="s">
        <v>161</v>
      </c>
    </row>
    <row r="135">
      <c r="H135" s="252" t="s">
        <v>161</v>
      </c>
    </row>
    <row r="136">
      <c r="H136" s="252" t="s">
        <v>161</v>
      </c>
    </row>
    <row r="137">
      <c r="H137" s="252" t="s">
        <v>161</v>
      </c>
    </row>
    <row r="138">
      <c r="H138" s="252" t="s">
        <v>161</v>
      </c>
    </row>
    <row r="139">
      <c r="H139" s="252" t="s">
        <v>161</v>
      </c>
    </row>
    <row r="140">
      <c r="H140" s="252" t="s">
        <v>161</v>
      </c>
    </row>
    <row r="141">
      <c r="H141" s="252" t="s">
        <v>161</v>
      </c>
    </row>
    <row r="142">
      <c r="H142" s="252" t="s">
        <v>161</v>
      </c>
    </row>
    <row r="143">
      <c r="H143" s="252" t="s">
        <v>161</v>
      </c>
    </row>
    <row r="144">
      <c r="H144" s="252" t="s">
        <v>161</v>
      </c>
    </row>
    <row r="145">
      <c r="H145" s="252" t="s">
        <v>161</v>
      </c>
    </row>
    <row r="146">
      <c r="H146" s="252" t="s">
        <v>161</v>
      </c>
    </row>
    <row r="147">
      <c r="H147" s="252" t="s">
        <v>161</v>
      </c>
    </row>
    <row r="148">
      <c r="H148" s="252" t="s">
        <v>161</v>
      </c>
    </row>
    <row r="149">
      <c r="H149" s="252" t="s">
        <v>161</v>
      </c>
    </row>
    <row r="150">
      <c r="H150" s="252" t="s">
        <v>161</v>
      </c>
    </row>
    <row r="151">
      <c r="H151" s="252" t="s">
        <v>161</v>
      </c>
    </row>
    <row r="152">
      <c r="H152" s="252" t="s">
        <v>161</v>
      </c>
    </row>
    <row r="153">
      <c r="H153" s="252" t="s">
        <v>161</v>
      </c>
    </row>
    <row r="154">
      <c r="H154" s="252" t="s">
        <v>161</v>
      </c>
    </row>
    <row r="155">
      <c r="H155" s="252" t="s">
        <v>161</v>
      </c>
    </row>
    <row r="156">
      <c r="H156" s="252" t="s">
        <v>161</v>
      </c>
    </row>
    <row r="157">
      <c r="H157" s="252" t="s">
        <v>161</v>
      </c>
    </row>
    <row r="158">
      <c r="H158" s="252" t="s">
        <v>161</v>
      </c>
    </row>
    <row r="159">
      <c r="H159" s="252" t="s">
        <v>161</v>
      </c>
    </row>
    <row r="160">
      <c r="H160" s="252" t="s">
        <v>161</v>
      </c>
    </row>
    <row r="161">
      <c r="H161" s="252" t="s">
        <v>161</v>
      </c>
    </row>
    <row r="162">
      <c r="H162" s="252" t="s">
        <v>161</v>
      </c>
    </row>
    <row r="163">
      <c r="H163" s="252" t="s">
        <v>161</v>
      </c>
    </row>
    <row r="164">
      <c r="H164" s="252" t="s">
        <v>161</v>
      </c>
    </row>
    <row r="165">
      <c r="H165" s="252" t="s">
        <v>161</v>
      </c>
    </row>
    <row r="166">
      <c r="H166" s="252" t="s">
        <v>161</v>
      </c>
    </row>
    <row r="167">
      <c r="H167" s="252" t="s">
        <v>161</v>
      </c>
    </row>
    <row r="168">
      <c r="H168" s="252" t="s">
        <v>161</v>
      </c>
    </row>
    <row r="169">
      <c r="H169" s="252" t="s">
        <v>161</v>
      </c>
    </row>
    <row r="170">
      <c r="H170" s="252" t="s">
        <v>161</v>
      </c>
    </row>
    <row r="171">
      <c r="H171" s="252" t="s">
        <v>161</v>
      </c>
    </row>
    <row r="172">
      <c r="H172" s="252" t="s">
        <v>161</v>
      </c>
    </row>
    <row r="173">
      <c r="H173" s="252" t="s">
        <v>161</v>
      </c>
    </row>
    <row r="174">
      <c r="H174" s="252" t="s">
        <v>161</v>
      </c>
    </row>
    <row r="175">
      <c r="H175" s="252" t="s">
        <v>161</v>
      </c>
    </row>
    <row r="176">
      <c r="H176" s="252" t="s">
        <v>161</v>
      </c>
    </row>
    <row r="177">
      <c r="H177" s="252" t="s">
        <v>161</v>
      </c>
    </row>
    <row r="178">
      <c r="H178" s="252" t="s">
        <v>161</v>
      </c>
    </row>
    <row r="179">
      <c r="H179" s="252" t="s">
        <v>161</v>
      </c>
    </row>
    <row r="180">
      <c r="H180" s="252" t="s">
        <v>161</v>
      </c>
    </row>
    <row r="181">
      <c r="H181" s="252" t="s">
        <v>161</v>
      </c>
    </row>
    <row r="182">
      <c r="H182" s="252" t="s">
        <v>161</v>
      </c>
    </row>
    <row r="183">
      <c r="H183" s="252" t="s">
        <v>161</v>
      </c>
    </row>
    <row r="184">
      <c r="H184" s="252" t="s">
        <v>161</v>
      </c>
    </row>
    <row r="185">
      <c r="H185" s="252" t="s">
        <v>161</v>
      </c>
    </row>
    <row r="186">
      <c r="H186" s="252" t="s">
        <v>161</v>
      </c>
    </row>
    <row r="187">
      <c r="H187" s="252" t="s">
        <v>161</v>
      </c>
    </row>
    <row r="188">
      <c r="H188" s="252" t="s">
        <v>161</v>
      </c>
    </row>
    <row r="189">
      <c r="H189" s="252" t="s">
        <v>161</v>
      </c>
    </row>
    <row r="190">
      <c r="H190" s="252" t="s">
        <v>161</v>
      </c>
    </row>
    <row r="191">
      <c r="H191" s="252" t="s">
        <v>161</v>
      </c>
    </row>
    <row r="192">
      <c r="H192" s="252" t="s">
        <v>161</v>
      </c>
    </row>
    <row r="193">
      <c r="H193" s="252" t="s">
        <v>161</v>
      </c>
    </row>
    <row r="194">
      <c r="H194" s="252" t="s">
        <v>161</v>
      </c>
    </row>
    <row r="195">
      <c r="H195" s="252" t="s">
        <v>161</v>
      </c>
    </row>
    <row r="196">
      <c r="H196" s="252" t="s">
        <v>161</v>
      </c>
    </row>
    <row r="197">
      <c r="H197" s="252" t="s">
        <v>161</v>
      </c>
    </row>
    <row r="198">
      <c r="H198" s="252" t="s">
        <v>161</v>
      </c>
    </row>
    <row r="199">
      <c r="H199" s="252" t="s">
        <v>161</v>
      </c>
    </row>
    <row r="200">
      <c r="H200" s="252" t="s">
        <v>161</v>
      </c>
    </row>
    <row r="201">
      <c r="H201" s="252" t="s">
        <v>161</v>
      </c>
    </row>
    <row r="202">
      <c r="H202" s="252" t="s">
        <v>161</v>
      </c>
    </row>
    <row r="203">
      <c r="H203" s="252" t="s">
        <v>161</v>
      </c>
    </row>
    <row r="204">
      <c r="H204" s="252" t="s">
        <v>161</v>
      </c>
    </row>
    <row r="205">
      <c r="H205" s="252" t="s">
        <v>161</v>
      </c>
    </row>
    <row r="206">
      <c r="H206" s="252" t="s">
        <v>161</v>
      </c>
    </row>
    <row r="207">
      <c r="H207" s="252" t="s">
        <v>161</v>
      </c>
    </row>
    <row r="208">
      <c r="H208" s="252" t="s">
        <v>161</v>
      </c>
    </row>
    <row r="209">
      <c r="H209" s="252" t="s">
        <v>161</v>
      </c>
    </row>
    <row r="210">
      <c r="H210" s="252" t="s">
        <v>161</v>
      </c>
    </row>
    <row r="211">
      <c r="H211" s="252" t="s">
        <v>161</v>
      </c>
    </row>
    <row r="212">
      <c r="H212" s="252" t="s">
        <v>161</v>
      </c>
    </row>
    <row r="213">
      <c r="H213" s="252" t="s">
        <v>161</v>
      </c>
    </row>
    <row r="214">
      <c r="H214" s="252" t="s">
        <v>161</v>
      </c>
    </row>
    <row r="215">
      <c r="H215" s="252" t="s">
        <v>161</v>
      </c>
    </row>
    <row r="216">
      <c r="H216" s="252" t="s">
        <v>161</v>
      </c>
    </row>
    <row r="217">
      <c r="H217" s="252" t="s">
        <v>161</v>
      </c>
    </row>
    <row r="218">
      <c r="H218" s="252" t="s">
        <v>161</v>
      </c>
    </row>
    <row r="219">
      <c r="H219" s="252" t="s">
        <v>161</v>
      </c>
    </row>
    <row r="220">
      <c r="H220" s="252" t="s">
        <v>161</v>
      </c>
    </row>
    <row r="221">
      <c r="H221" s="252" t="s">
        <v>161</v>
      </c>
    </row>
    <row r="222">
      <c r="H222" s="252" t="s">
        <v>161</v>
      </c>
    </row>
    <row r="223">
      <c r="H223" s="252" t="s">
        <v>161</v>
      </c>
    </row>
    <row r="224">
      <c r="H224" s="252" t="s">
        <v>161</v>
      </c>
    </row>
    <row r="225">
      <c r="H225" s="252" t="s">
        <v>161</v>
      </c>
    </row>
    <row r="226">
      <c r="H226" s="252" t="s">
        <v>161</v>
      </c>
    </row>
    <row r="227">
      <c r="H227" s="252" t="s">
        <v>161</v>
      </c>
    </row>
    <row r="228">
      <c r="H228" s="252" t="s">
        <v>161</v>
      </c>
    </row>
    <row r="229">
      <c r="H229" s="252" t="s">
        <v>161</v>
      </c>
    </row>
    <row r="230">
      <c r="H230" s="252" t="s">
        <v>161</v>
      </c>
    </row>
    <row r="231">
      <c r="H231" s="252" t="s">
        <v>161</v>
      </c>
    </row>
    <row r="232">
      <c r="H232" s="252" t="s">
        <v>161</v>
      </c>
    </row>
    <row r="233">
      <c r="H233" s="252" t="s">
        <v>161</v>
      </c>
    </row>
    <row r="234">
      <c r="H234" s="252" t="s">
        <v>161</v>
      </c>
    </row>
    <row r="235">
      <c r="H235" s="252" t="s">
        <v>161</v>
      </c>
    </row>
    <row r="236">
      <c r="H236" s="252" t="s">
        <v>161</v>
      </c>
    </row>
    <row r="237">
      <c r="H237" s="252" t="s">
        <v>161</v>
      </c>
    </row>
    <row r="238">
      <c r="H238" s="252" t="s">
        <v>161</v>
      </c>
    </row>
    <row r="239">
      <c r="H239" s="252" t="s">
        <v>161</v>
      </c>
    </row>
    <row r="240">
      <c r="H240" s="252" t="s">
        <v>161</v>
      </c>
    </row>
    <row r="241">
      <c r="H241" s="252" t="s">
        <v>161</v>
      </c>
    </row>
    <row r="242">
      <c r="H242" s="252" t="s">
        <v>161</v>
      </c>
    </row>
    <row r="243">
      <c r="H243" s="252" t="s">
        <v>161</v>
      </c>
    </row>
    <row r="244">
      <c r="H244" s="252" t="s">
        <v>161</v>
      </c>
    </row>
    <row r="245">
      <c r="H245" s="252" t="s">
        <v>161</v>
      </c>
    </row>
    <row r="246">
      <c r="H246" s="252" t="s">
        <v>161</v>
      </c>
    </row>
    <row r="247">
      <c r="H247" s="252" t="s">
        <v>161</v>
      </c>
    </row>
    <row r="248">
      <c r="H248" s="252" t="s">
        <v>161</v>
      </c>
    </row>
    <row r="249">
      <c r="H249" s="252" t="s">
        <v>161</v>
      </c>
    </row>
    <row r="250">
      <c r="H250" s="252" t="s">
        <v>161</v>
      </c>
    </row>
    <row r="251">
      <c r="H251" s="252" t="s">
        <v>161</v>
      </c>
    </row>
    <row r="252">
      <c r="H252" s="252" t="s">
        <v>161</v>
      </c>
    </row>
    <row r="253">
      <c r="H253" s="252" t="s">
        <v>161</v>
      </c>
    </row>
    <row r="254">
      <c r="H254" s="252" t="s">
        <v>161</v>
      </c>
    </row>
    <row r="255">
      <c r="H255" s="252" t="s">
        <v>161</v>
      </c>
    </row>
    <row r="256">
      <c r="H256" s="252" t="s">
        <v>161</v>
      </c>
    </row>
    <row r="257">
      <c r="H257" s="252" t="s">
        <v>161</v>
      </c>
    </row>
    <row r="258">
      <c r="H258" s="252" t="s">
        <v>161</v>
      </c>
    </row>
    <row r="259">
      <c r="H259" s="252" t="s">
        <v>161</v>
      </c>
    </row>
    <row r="260">
      <c r="H260" s="252" t="s">
        <v>161</v>
      </c>
    </row>
    <row r="261">
      <c r="H261" s="252" t="s">
        <v>161</v>
      </c>
    </row>
    <row r="262">
      <c r="H262" s="252" t="s">
        <v>161</v>
      </c>
    </row>
    <row r="263">
      <c r="H263" s="252" t="s">
        <v>161</v>
      </c>
    </row>
    <row r="264">
      <c r="H264" s="252" t="s">
        <v>161</v>
      </c>
    </row>
    <row r="265">
      <c r="H265" s="252" t="s">
        <v>161</v>
      </c>
    </row>
    <row r="266">
      <c r="H266" s="252" t="s">
        <v>161</v>
      </c>
    </row>
    <row r="267">
      <c r="H267" s="252" t="s">
        <v>161</v>
      </c>
    </row>
    <row r="268">
      <c r="H268" s="252" t="s">
        <v>161</v>
      </c>
    </row>
    <row r="269">
      <c r="H269" s="252" t="s">
        <v>161</v>
      </c>
    </row>
    <row r="270">
      <c r="H270" s="252" t="s">
        <v>161</v>
      </c>
    </row>
    <row r="271">
      <c r="H271" s="252" t="s">
        <v>161</v>
      </c>
    </row>
    <row r="272">
      <c r="H272" s="252" t="s">
        <v>161</v>
      </c>
    </row>
    <row r="273">
      <c r="H273" s="252" t="s">
        <v>161</v>
      </c>
    </row>
    <row r="274">
      <c r="H274" s="252" t="s">
        <v>161</v>
      </c>
    </row>
    <row r="275">
      <c r="H275" s="252" t="s">
        <v>161</v>
      </c>
    </row>
    <row r="276">
      <c r="H276" s="252" t="s">
        <v>161</v>
      </c>
    </row>
    <row r="277">
      <c r="H277" s="252" t="s">
        <v>161</v>
      </c>
    </row>
    <row r="278">
      <c r="H278" s="252" t="s">
        <v>161</v>
      </c>
    </row>
    <row r="279">
      <c r="H279" s="252" t="s">
        <v>161</v>
      </c>
    </row>
    <row r="280">
      <c r="H280" s="252" t="s">
        <v>161</v>
      </c>
    </row>
    <row r="281">
      <c r="H281" s="252" t="s">
        <v>161</v>
      </c>
    </row>
    <row r="282">
      <c r="H282" s="252" t="s">
        <v>161</v>
      </c>
    </row>
    <row r="283">
      <c r="H283" s="252" t="s">
        <v>161</v>
      </c>
    </row>
    <row r="284">
      <c r="H284" s="252" t="s">
        <v>161</v>
      </c>
    </row>
    <row r="285">
      <c r="H285" s="252" t="s">
        <v>161</v>
      </c>
    </row>
    <row r="286">
      <c r="H286" s="252" t="s">
        <v>161</v>
      </c>
    </row>
    <row r="287">
      <c r="H287" s="252" t="s">
        <v>161</v>
      </c>
    </row>
    <row r="288">
      <c r="H288" s="252" t="s">
        <v>161</v>
      </c>
    </row>
    <row r="289">
      <c r="H289" s="252" t="s">
        <v>161</v>
      </c>
    </row>
    <row r="290">
      <c r="H290" s="252" t="s">
        <v>161</v>
      </c>
    </row>
    <row r="291">
      <c r="H291" s="252" t="s">
        <v>161</v>
      </c>
    </row>
    <row r="292">
      <c r="H292" s="252" t="s">
        <v>161</v>
      </c>
    </row>
    <row r="293">
      <c r="H293" s="252" t="s">
        <v>161</v>
      </c>
    </row>
    <row r="294">
      <c r="H294" s="252" t="s">
        <v>161</v>
      </c>
    </row>
    <row r="295">
      <c r="H295" s="252" t="s">
        <v>161</v>
      </c>
    </row>
    <row r="296">
      <c r="H296" s="252" t="s">
        <v>161</v>
      </c>
    </row>
    <row r="297">
      <c r="H297" s="252" t="s">
        <v>161</v>
      </c>
    </row>
    <row r="298">
      <c r="H298" s="252" t="s">
        <v>161</v>
      </c>
    </row>
    <row r="299">
      <c r="H299" s="252" t="s">
        <v>161</v>
      </c>
    </row>
    <row r="300">
      <c r="H300" s="252" t="s">
        <v>161</v>
      </c>
    </row>
    <row r="301">
      <c r="H301" s="252" t="s">
        <v>161</v>
      </c>
    </row>
    <row r="302">
      <c r="H302" s="252" t="s">
        <v>161</v>
      </c>
    </row>
    <row r="303">
      <c r="H303" s="252" t="s">
        <v>161</v>
      </c>
    </row>
    <row r="304">
      <c r="H304" s="252" t="s">
        <v>161</v>
      </c>
    </row>
    <row r="305">
      <c r="H305" s="252" t="s">
        <v>161</v>
      </c>
    </row>
    <row r="306">
      <c r="H306" s="252" t="s">
        <v>161</v>
      </c>
    </row>
    <row r="307">
      <c r="H307" s="252" t="s">
        <v>161</v>
      </c>
    </row>
    <row r="308">
      <c r="H308" s="252" t="s">
        <v>161</v>
      </c>
    </row>
    <row r="309">
      <c r="H309" s="252" t="s">
        <v>161</v>
      </c>
    </row>
    <row r="310">
      <c r="H310" s="252" t="s">
        <v>161</v>
      </c>
    </row>
    <row r="311">
      <c r="H311" s="252" t="s">
        <v>161</v>
      </c>
    </row>
    <row r="312">
      <c r="H312" s="252" t="s">
        <v>161</v>
      </c>
    </row>
    <row r="313">
      <c r="H313" s="252" t="s">
        <v>161</v>
      </c>
    </row>
    <row r="314">
      <c r="H314" s="252" t="s">
        <v>161</v>
      </c>
    </row>
    <row r="315">
      <c r="H315" s="252" t="s">
        <v>161</v>
      </c>
    </row>
    <row r="316">
      <c r="H316" s="252" t="s">
        <v>161</v>
      </c>
    </row>
    <row r="317">
      <c r="H317" s="252" t="s">
        <v>161</v>
      </c>
    </row>
    <row r="318">
      <c r="H318" s="252" t="s">
        <v>161</v>
      </c>
    </row>
    <row r="319">
      <c r="H319" s="252" t="s">
        <v>161</v>
      </c>
    </row>
    <row r="320">
      <c r="H320" s="252" t="s">
        <v>161</v>
      </c>
    </row>
    <row r="321">
      <c r="H321" s="252" t="s">
        <v>161</v>
      </c>
    </row>
    <row r="322">
      <c r="H322" s="252" t="s">
        <v>161</v>
      </c>
    </row>
    <row r="323">
      <c r="H323" s="252" t="s">
        <v>161</v>
      </c>
    </row>
    <row r="324">
      <c r="H324" s="252" t="s">
        <v>161</v>
      </c>
    </row>
    <row r="325">
      <c r="H325" s="252" t="s">
        <v>161</v>
      </c>
    </row>
    <row r="326">
      <c r="H326" s="252" t="s">
        <v>161</v>
      </c>
    </row>
    <row r="327">
      <c r="H327" s="252" t="s">
        <v>161</v>
      </c>
    </row>
    <row r="328">
      <c r="H328" s="252" t="s">
        <v>161</v>
      </c>
    </row>
    <row r="329">
      <c r="H329" s="252" t="s">
        <v>161</v>
      </c>
    </row>
    <row r="330">
      <c r="H330" s="252" t="s">
        <v>161</v>
      </c>
    </row>
    <row r="331">
      <c r="H331" s="252" t="s">
        <v>161</v>
      </c>
    </row>
    <row r="332">
      <c r="H332" s="252" t="s">
        <v>161</v>
      </c>
    </row>
    <row r="333">
      <c r="H333" s="252" t="s">
        <v>161</v>
      </c>
    </row>
    <row r="334">
      <c r="H334" s="252" t="s">
        <v>161</v>
      </c>
    </row>
    <row r="335">
      <c r="H335" s="252" t="s">
        <v>161</v>
      </c>
    </row>
    <row r="336">
      <c r="H336" s="252" t="s">
        <v>161</v>
      </c>
    </row>
    <row r="337">
      <c r="H337" s="252" t="s">
        <v>161</v>
      </c>
    </row>
    <row r="338">
      <c r="H338" s="252" t="s">
        <v>161</v>
      </c>
    </row>
    <row r="339">
      <c r="H339" s="252" t="s">
        <v>161</v>
      </c>
    </row>
    <row r="340">
      <c r="H340" s="252" t="s">
        <v>161</v>
      </c>
    </row>
    <row r="341">
      <c r="H341" s="252" t="s">
        <v>161</v>
      </c>
    </row>
    <row r="342">
      <c r="H342" s="252" t="s">
        <v>161</v>
      </c>
    </row>
    <row r="343">
      <c r="H343" s="252" t="s">
        <v>161</v>
      </c>
    </row>
    <row r="344">
      <c r="H344" s="252" t="s">
        <v>161</v>
      </c>
    </row>
    <row r="345">
      <c r="H345" s="252" t="s">
        <v>161</v>
      </c>
    </row>
    <row r="346">
      <c r="H346" s="252" t="s">
        <v>161</v>
      </c>
    </row>
    <row r="347">
      <c r="H347" s="252" t="s">
        <v>161</v>
      </c>
    </row>
    <row r="348">
      <c r="H348" s="252" t="s">
        <v>161</v>
      </c>
    </row>
    <row r="349">
      <c r="H349" s="252" t="s">
        <v>161</v>
      </c>
    </row>
    <row r="350">
      <c r="H350" s="252" t="s">
        <v>161</v>
      </c>
    </row>
    <row r="351">
      <c r="H351" s="252" t="s">
        <v>161</v>
      </c>
    </row>
    <row r="352">
      <c r="H352" s="252" t="s">
        <v>161</v>
      </c>
    </row>
    <row r="353">
      <c r="H353" s="252" t="s">
        <v>161</v>
      </c>
    </row>
    <row r="354">
      <c r="H354" s="252" t="s">
        <v>161</v>
      </c>
    </row>
    <row r="355">
      <c r="H355" s="252" t="s">
        <v>161</v>
      </c>
    </row>
    <row r="356">
      <c r="H356" s="252" t="s">
        <v>161</v>
      </c>
    </row>
    <row r="357">
      <c r="H357" s="252" t="s">
        <v>161</v>
      </c>
    </row>
    <row r="358">
      <c r="H358" s="252" t="s">
        <v>161</v>
      </c>
    </row>
    <row r="359">
      <c r="H359" s="252" t="s">
        <v>161</v>
      </c>
    </row>
    <row r="360">
      <c r="H360" s="252" t="s">
        <v>161</v>
      </c>
    </row>
    <row r="361">
      <c r="H361" s="252" t="s">
        <v>161</v>
      </c>
    </row>
    <row r="362">
      <c r="H362" s="252" t="s">
        <v>161</v>
      </c>
    </row>
    <row r="363">
      <c r="H363" s="252" t="s">
        <v>161</v>
      </c>
    </row>
    <row r="364">
      <c r="H364" s="252" t="s">
        <v>161</v>
      </c>
    </row>
    <row r="365">
      <c r="H365" s="252" t="s">
        <v>161</v>
      </c>
    </row>
    <row r="366">
      <c r="H366" s="252" t="s">
        <v>161</v>
      </c>
    </row>
    <row r="367">
      <c r="H367" s="252" t="s">
        <v>161</v>
      </c>
    </row>
    <row r="368">
      <c r="H368" s="252" t="s">
        <v>161</v>
      </c>
    </row>
    <row r="369">
      <c r="H369" s="252" t="s">
        <v>161</v>
      </c>
    </row>
    <row r="370">
      <c r="H370" s="252" t="s">
        <v>161</v>
      </c>
    </row>
    <row r="371">
      <c r="H371" s="252" t="s">
        <v>161</v>
      </c>
    </row>
    <row r="372">
      <c r="H372" s="252" t="s">
        <v>161</v>
      </c>
    </row>
    <row r="373">
      <c r="H373" s="252" t="s">
        <v>161</v>
      </c>
    </row>
    <row r="374">
      <c r="H374" s="252" t="s">
        <v>161</v>
      </c>
    </row>
    <row r="375">
      <c r="H375" s="252" t="s">
        <v>161</v>
      </c>
    </row>
    <row r="376">
      <c r="H376" s="252" t="s">
        <v>161</v>
      </c>
    </row>
    <row r="377">
      <c r="H377" s="252" t="s">
        <v>161</v>
      </c>
    </row>
    <row r="378">
      <c r="H378" s="252" t="s">
        <v>161</v>
      </c>
    </row>
    <row r="379">
      <c r="H379" s="252" t="s">
        <v>161</v>
      </c>
    </row>
    <row r="380">
      <c r="H380" s="252" t="s">
        <v>161</v>
      </c>
    </row>
    <row r="381">
      <c r="H381" s="252" t="s">
        <v>161</v>
      </c>
    </row>
    <row r="382">
      <c r="H382" s="252" t="s">
        <v>161</v>
      </c>
    </row>
    <row r="383">
      <c r="H383" s="252" t="s">
        <v>161</v>
      </c>
    </row>
    <row r="384">
      <c r="H384" s="252" t="s">
        <v>161</v>
      </c>
    </row>
    <row r="385">
      <c r="H385" s="252" t="s">
        <v>161</v>
      </c>
    </row>
    <row r="386">
      <c r="H386" s="252" t="s">
        <v>161</v>
      </c>
    </row>
    <row r="387">
      <c r="H387" s="252" t="s">
        <v>161</v>
      </c>
    </row>
    <row r="388">
      <c r="H388" s="252" t="s">
        <v>161</v>
      </c>
    </row>
    <row r="389">
      <c r="H389" s="252" t="s">
        <v>161</v>
      </c>
    </row>
    <row r="390">
      <c r="H390" s="252" t="s">
        <v>161</v>
      </c>
    </row>
    <row r="391">
      <c r="H391" s="252" t="s">
        <v>161</v>
      </c>
    </row>
    <row r="392">
      <c r="H392" s="252" t="s">
        <v>161</v>
      </c>
    </row>
    <row r="393">
      <c r="H393" s="252" t="s">
        <v>161</v>
      </c>
    </row>
    <row r="394">
      <c r="H394" s="252" t="s">
        <v>161</v>
      </c>
    </row>
    <row r="395">
      <c r="H395" s="252" t="s">
        <v>161</v>
      </c>
    </row>
    <row r="396">
      <c r="H396" s="252" t="s">
        <v>161</v>
      </c>
    </row>
    <row r="397">
      <c r="H397" s="252" t="s">
        <v>161</v>
      </c>
    </row>
    <row r="398">
      <c r="H398" s="252" t="s">
        <v>161</v>
      </c>
    </row>
    <row r="399">
      <c r="H399" s="252" t="s">
        <v>161</v>
      </c>
    </row>
    <row r="400">
      <c r="H400" s="252" t="s">
        <v>161</v>
      </c>
    </row>
    <row r="401">
      <c r="H401" s="252" t="s">
        <v>161</v>
      </c>
    </row>
    <row r="402">
      <c r="H402" s="252" t="s">
        <v>161</v>
      </c>
    </row>
    <row r="403">
      <c r="H403" s="252" t="s">
        <v>161</v>
      </c>
    </row>
    <row r="404">
      <c r="H404" s="252" t="s">
        <v>161</v>
      </c>
    </row>
    <row r="405">
      <c r="H405" s="252" t="s">
        <v>161</v>
      </c>
    </row>
    <row r="406">
      <c r="H406" s="252" t="s">
        <v>161</v>
      </c>
    </row>
    <row r="407">
      <c r="H407" s="252" t="s">
        <v>161</v>
      </c>
    </row>
    <row r="408">
      <c r="H408" s="252" t="s">
        <v>161</v>
      </c>
    </row>
    <row r="409">
      <c r="H409" s="252" t="s">
        <v>161</v>
      </c>
    </row>
    <row r="410">
      <c r="H410" s="252" t="s">
        <v>161</v>
      </c>
    </row>
    <row r="411">
      <c r="H411" s="252" t="s">
        <v>161</v>
      </c>
    </row>
    <row r="412">
      <c r="H412" s="252" t="s">
        <v>161</v>
      </c>
    </row>
    <row r="413">
      <c r="H413" s="252" t="s">
        <v>161</v>
      </c>
    </row>
    <row r="414">
      <c r="H414" s="252" t="s">
        <v>161</v>
      </c>
    </row>
    <row r="415">
      <c r="H415" s="252" t="s">
        <v>161</v>
      </c>
    </row>
    <row r="416">
      <c r="H416" s="252" t="s">
        <v>161</v>
      </c>
    </row>
    <row r="417">
      <c r="H417" s="252" t="s">
        <v>161</v>
      </c>
    </row>
    <row r="418">
      <c r="H418" s="252" t="s">
        <v>161</v>
      </c>
    </row>
    <row r="419">
      <c r="H419" s="252" t="s">
        <v>161</v>
      </c>
    </row>
    <row r="420">
      <c r="H420" s="252" t="s">
        <v>161</v>
      </c>
    </row>
    <row r="421">
      <c r="H421" s="252" t="s">
        <v>161</v>
      </c>
    </row>
    <row r="422">
      <c r="H422" s="252" t="s">
        <v>161</v>
      </c>
    </row>
    <row r="423">
      <c r="H423" s="252" t="s">
        <v>161</v>
      </c>
    </row>
    <row r="424">
      <c r="H424" s="252" t="s">
        <v>161</v>
      </c>
    </row>
    <row r="425">
      <c r="H425" s="252" t="s">
        <v>161</v>
      </c>
    </row>
    <row r="426">
      <c r="H426" s="252" t="s">
        <v>161</v>
      </c>
    </row>
    <row r="427">
      <c r="H427" s="252" t="s">
        <v>161</v>
      </c>
    </row>
    <row r="428">
      <c r="H428" s="252" t="s">
        <v>161</v>
      </c>
    </row>
    <row r="429">
      <c r="H429" s="252" t="s">
        <v>161</v>
      </c>
    </row>
    <row r="430">
      <c r="H430" s="252" t="s">
        <v>161</v>
      </c>
    </row>
    <row r="431">
      <c r="H431" s="252" t="s">
        <v>161</v>
      </c>
    </row>
    <row r="432">
      <c r="H432" s="252" t="s">
        <v>161</v>
      </c>
    </row>
    <row r="433">
      <c r="H433" s="252" t="s">
        <v>161</v>
      </c>
    </row>
    <row r="434">
      <c r="H434" s="252" t="s">
        <v>161</v>
      </c>
    </row>
    <row r="435">
      <c r="H435" s="252" t="s">
        <v>161</v>
      </c>
    </row>
    <row r="436">
      <c r="H436" s="252" t="s">
        <v>161</v>
      </c>
    </row>
    <row r="437">
      <c r="H437" s="252" t="s">
        <v>161</v>
      </c>
    </row>
    <row r="438">
      <c r="H438" s="252" t="s">
        <v>161</v>
      </c>
    </row>
    <row r="439">
      <c r="H439" s="252" t="s">
        <v>161</v>
      </c>
    </row>
    <row r="440">
      <c r="H440" s="252" t="s">
        <v>161</v>
      </c>
    </row>
    <row r="441">
      <c r="H441" s="252" t="s">
        <v>161</v>
      </c>
    </row>
    <row r="442">
      <c r="H442" s="252" t="s">
        <v>161</v>
      </c>
    </row>
    <row r="443">
      <c r="H443" s="252" t="s">
        <v>161</v>
      </c>
    </row>
    <row r="444">
      <c r="H444" s="252" t="s">
        <v>161</v>
      </c>
    </row>
    <row r="445">
      <c r="H445" s="252" t="s">
        <v>161</v>
      </c>
    </row>
    <row r="446">
      <c r="H446" s="252" t="s">
        <v>161</v>
      </c>
    </row>
    <row r="447">
      <c r="H447" s="252" t="s">
        <v>161</v>
      </c>
    </row>
    <row r="448">
      <c r="H448" s="252" t="s">
        <v>161</v>
      </c>
    </row>
    <row r="449">
      <c r="H449" s="252" t="s">
        <v>161</v>
      </c>
    </row>
    <row r="450">
      <c r="H450" s="252" t="s">
        <v>161</v>
      </c>
    </row>
    <row r="451">
      <c r="H451" s="252" t="s">
        <v>161</v>
      </c>
    </row>
    <row r="452">
      <c r="H452" s="252" t="s">
        <v>161</v>
      </c>
    </row>
    <row r="453">
      <c r="H453" s="252" t="s">
        <v>161</v>
      </c>
    </row>
    <row r="454">
      <c r="H454" s="252" t="s">
        <v>161</v>
      </c>
    </row>
    <row r="455">
      <c r="H455" s="252" t="s">
        <v>161</v>
      </c>
    </row>
    <row r="456">
      <c r="H456" s="252" t="s">
        <v>161</v>
      </c>
    </row>
    <row r="457">
      <c r="H457" s="252" t="s">
        <v>161</v>
      </c>
    </row>
    <row r="458">
      <c r="H458" s="252" t="s">
        <v>161</v>
      </c>
    </row>
    <row r="459">
      <c r="H459" s="252" t="s">
        <v>161</v>
      </c>
    </row>
    <row r="460">
      <c r="H460" s="252" t="s">
        <v>161</v>
      </c>
    </row>
    <row r="461">
      <c r="H461" s="252" t="s">
        <v>161</v>
      </c>
    </row>
    <row r="462">
      <c r="H462" s="252" t="s">
        <v>161</v>
      </c>
    </row>
    <row r="463">
      <c r="H463" s="252" t="s">
        <v>161</v>
      </c>
    </row>
    <row r="464">
      <c r="H464" s="252" t="s">
        <v>161</v>
      </c>
    </row>
    <row r="465">
      <c r="H465" s="252" t="s">
        <v>161</v>
      </c>
    </row>
    <row r="466">
      <c r="H466" s="252" t="s">
        <v>161</v>
      </c>
    </row>
    <row r="467">
      <c r="H467" s="252" t="s">
        <v>161</v>
      </c>
    </row>
    <row r="468">
      <c r="H468" s="252" t="s">
        <v>161</v>
      </c>
    </row>
    <row r="469">
      <c r="H469" s="252" t="s">
        <v>161</v>
      </c>
    </row>
    <row r="470">
      <c r="H470" s="252" t="s">
        <v>161</v>
      </c>
    </row>
    <row r="471">
      <c r="H471" s="252" t="s">
        <v>161</v>
      </c>
    </row>
    <row r="472">
      <c r="H472" s="252" t="s">
        <v>161</v>
      </c>
    </row>
    <row r="473">
      <c r="H473" s="252" t="s">
        <v>161</v>
      </c>
    </row>
    <row r="474">
      <c r="H474" s="252" t="s">
        <v>161</v>
      </c>
    </row>
    <row r="475">
      <c r="H475" s="252" t="s">
        <v>161</v>
      </c>
    </row>
    <row r="476">
      <c r="H476" s="252" t="s">
        <v>161</v>
      </c>
    </row>
    <row r="477">
      <c r="H477" s="252" t="s">
        <v>161</v>
      </c>
    </row>
    <row r="478">
      <c r="H478" s="252" t="s">
        <v>161</v>
      </c>
    </row>
    <row r="479">
      <c r="H479" s="252" t="s">
        <v>161</v>
      </c>
    </row>
    <row r="480">
      <c r="H480" s="252" t="s">
        <v>161</v>
      </c>
    </row>
    <row r="481">
      <c r="H481" s="252" t="s">
        <v>161</v>
      </c>
    </row>
    <row r="482">
      <c r="H482" s="252" t="s">
        <v>161</v>
      </c>
    </row>
    <row r="483">
      <c r="H483" s="252" t="s">
        <v>161</v>
      </c>
    </row>
    <row r="484">
      <c r="H484" s="252" t="s">
        <v>161</v>
      </c>
    </row>
    <row r="485">
      <c r="H485" s="252" t="s">
        <v>161</v>
      </c>
    </row>
    <row r="486">
      <c r="H486" s="252" t="s">
        <v>161</v>
      </c>
    </row>
    <row r="487">
      <c r="H487" s="252" t="s">
        <v>161</v>
      </c>
    </row>
    <row r="488">
      <c r="H488" s="252" t="s">
        <v>161</v>
      </c>
    </row>
    <row r="489">
      <c r="H489" s="252" t="s">
        <v>161</v>
      </c>
    </row>
    <row r="490">
      <c r="H490" s="252" t="s">
        <v>161</v>
      </c>
    </row>
    <row r="491">
      <c r="H491" s="252" t="s">
        <v>161</v>
      </c>
    </row>
    <row r="492">
      <c r="H492" s="252" t="s">
        <v>161</v>
      </c>
    </row>
    <row r="493">
      <c r="H493" s="252" t="s">
        <v>161</v>
      </c>
    </row>
    <row r="494">
      <c r="H494" s="252" t="s">
        <v>161</v>
      </c>
    </row>
    <row r="495">
      <c r="H495" s="252" t="s">
        <v>161</v>
      </c>
    </row>
    <row r="496">
      <c r="H496" s="252" t="s">
        <v>161</v>
      </c>
    </row>
    <row r="497">
      <c r="H497" s="252" t="s">
        <v>161</v>
      </c>
    </row>
    <row r="498">
      <c r="H498" s="252" t="s">
        <v>161</v>
      </c>
    </row>
    <row r="499">
      <c r="H499" s="252" t="s">
        <v>161</v>
      </c>
    </row>
    <row r="500">
      <c r="H500" s="252" t="s">
        <v>161</v>
      </c>
    </row>
    <row r="501">
      <c r="H501" s="252" t="s">
        <v>161</v>
      </c>
    </row>
    <row r="502">
      <c r="H502" s="252" t="s">
        <v>161</v>
      </c>
    </row>
    <row r="503">
      <c r="H503" s="252" t="s">
        <v>161</v>
      </c>
    </row>
    <row r="504">
      <c r="H504" s="252" t="s">
        <v>161</v>
      </c>
    </row>
    <row r="505">
      <c r="H505" s="252" t="s">
        <v>161</v>
      </c>
    </row>
    <row r="506">
      <c r="H506" s="252" t="s">
        <v>161</v>
      </c>
    </row>
    <row r="507">
      <c r="H507" s="252" t="s">
        <v>161</v>
      </c>
    </row>
    <row r="508">
      <c r="H508" s="252" t="s">
        <v>161</v>
      </c>
    </row>
    <row r="509">
      <c r="H509" s="252" t="s">
        <v>161</v>
      </c>
    </row>
    <row r="510">
      <c r="H510" s="252" t="s">
        <v>161</v>
      </c>
    </row>
    <row r="511">
      <c r="H511" s="252" t="s">
        <v>161</v>
      </c>
    </row>
    <row r="512">
      <c r="H512" s="252" t="s">
        <v>161</v>
      </c>
    </row>
    <row r="513">
      <c r="H513" s="252" t="s">
        <v>161</v>
      </c>
    </row>
    <row r="514">
      <c r="H514" s="252" t="s">
        <v>161</v>
      </c>
    </row>
    <row r="515">
      <c r="H515" s="252" t="s">
        <v>161</v>
      </c>
    </row>
    <row r="516">
      <c r="H516" s="252" t="s">
        <v>161</v>
      </c>
    </row>
    <row r="517">
      <c r="H517" s="252" t="s">
        <v>161</v>
      </c>
    </row>
    <row r="518">
      <c r="H518" s="252" t="s">
        <v>161</v>
      </c>
    </row>
    <row r="519">
      <c r="H519" s="252" t="s">
        <v>161</v>
      </c>
    </row>
    <row r="520">
      <c r="H520" s="252" t="s">
        <v>161</v>
      </c>
    </row>
    <row r="521">
      <c r="H521" s="252" t="s">
        <v>161</v>
      </c>
    </row>
    <row r="522">
      <c r="H522" s="252" t="s">
        <v>161</v>
      </c>
    </row>
    <row r="523">
      <c r="H523" s="252" t="s">
        <v>161</v>
      </c>
    </row>
    <row r="524">
      <c r="H524" s="252" t="s">
        <v>161</v>
      </c>
    </row>
    <row r="525">
      <c r="H525" s="252" t="s">
        <v>161</v>
      </c>
    </row>
    <row r="526">
      <c r="H526" s="252" t="s">
        <v>161</v>
      </c>
    </row>
    <row r="527">
      <c r="H527" s="252" t="s">
        <v>161</v>
      </c>
    </row>
    <row r="528">
      <c r="H528" s="252" t="s">
        <v>161</v>
      </c>
    </row>
    <row r="529">
      <c r="H529" s="252" t="s">
        <v>161</v>
      </c>
    </row>
    <row r="530">
      <c r="H530" s="252" t="s">
        <v>161</v>
      </c>
    </row>
    <row r="531">
      <c r="H531" s="252" t="s">
        <v>161</v>
      </c>
    </row>
    <row r="532">
      <c r="H532" s="252" t="s">
        <v>161</v>
      </c>
    </row>
    <row r="533">
      <c r="H533" s="252" t="s">
        <v>161</v>
      </c>
    </row>
    <row r="534">
      <c r="H534" s="252" t="s">
        <v>161</v>
      </c>
    </row>
    <row r="535">
      <c r="H535" s="252" t="s">
        <v>161</v>
      </c>
    </row>
    <row r="536">
      <c r="H536" s="252" t="s">
        <v>161</v>
      </c>
    </row>
    <row r="537">
      <c r="H537" s="252" t="s">
        <v>161</v>
      </c>
    </row>
    <row r="538">
      <c r="H538" s="252" t="s">
        <v>161</v>
      </c>
    </row>
    <row r="539">
      <c r="H539" s="252" t="s">
        <v>161</v>
      </c>
    </row>
    <row r="540">
      <c r="H540" s="252" t="s">
        <v>161</v>
      </c>
    </row>
    <row r="541">
      <c r="H541" s="252" t="s">
        <v>161</v>
      </c>
    </row>
    <row r="542">
      <c r="H542" s="252" t="s">
        <v>161</v>
      </c>
    </row>
    <row r="543">
      <c r="H543" s="252" t="s">
        <v>161</v>
      </c>
    </row>
    <row r="544">
      <c r="H544" s="252" t="s">
        <v>161</v>
      </c>
    </row>
    <row r="545">
      <c r="H545" s="252" t="s">
        <v>161</v>
      </c>
    </row>
    <row r="546">
      <c r="H546" s="252" t="s">
        <v>161</v>
      </c>
    </row>
    <row r="547">
      <c r="H547" s="252" t="s">
        <v>161</v>
      </c>
    </row>
    <row r="548">
      <c r="H548" s="252" t="s">
        <v>161</v>
      </c>
    </row>
    <row r="549">
      <c r="H549" s="252" t="s">
        <v>161</v>
      </c>
    </row>
    <row r="550">
      <c r="H550" s="252" t="s">
        <v>161</v>
      </c>
    </row>
    <row r="551">
      <c r="H551" s="252" t="s">
        <v>161</v>
      </c>
    </row>
    <row r="552">
      <c r="H552" s="252" t="s">
        <v>161</v>
      </c>
    </row>
    <row r="553">
      <c r="H553" s="252" t="s">
        <v>161</v>
      </c>
    </row>
    <row r="554">
      <c r="H554" s="252" t="s">
        <v>161</v>
      </c>
    </row>
    <row r="555">
      <c r="H555" s="252" t="s">
        <v>161</v>
      </c>
    </row>
    <row r="556">
      <c r="H556" s="252" t="s">
        <v>161</v>
      </c>
    </row>
    <row r="557">
      <c r="H557" s="252" t="s">
        <v>161</v>
      </c>
    </row>
    <row r="558">
      <c r="H558" s="252" t="s">
        <v>161</v>
      </c>
    </row>
    <row r="559">
      <c r="H559" s="252" t="s">
        <v>161</v>
      </c>
    </row>
    <row r="560">
      <c r="H560" s="252" t="s">
        <v>161</v>
      </c>
    </row>
    <row r="561">
      <c r="H561" s="252" t="s">
        <v>161</v>
      </c>
    </row>
    <row r="562">
      <c r="H562" s="252" t="s">
        <v>161</v>
      </c>
    </row>
    <row r="563">
      <c r="H563" s="252" t="s">
        <v>161</v>
      </c>
    </row>
    <row r="564">
      <c r="H564" s="252" t="s">
        <v>161</v>
      </c>
    </row>
    <row r="565">
      <c r="H565" s="252" t="s">
        <v>161</v>
      </c>
    </row>
    <row r="566">
      <c r="H566" s="252" t="s">
        <v>161</v>
      </c>
    </row>
    <row r="567">
      <c r="H567" s="252" t="s">
        <v>161</v>
      </c>
    </row>
    <row r="568">
      <c r="H568" s="252" t="s">
        <v>161</v>
      </c>
    </row>
    <row r="569">
      <c r="H569" s="252" t="s">
        <v>161</v>
      </c>
    </row>
    <row r="570">
      <c r="H570" s="252" t="s">
        <v>161</v>
      </c>
    </row>
    <row r="571">
      <c r="H571" s="252" t="s">
        <v>161</v>
      </c>
    </row>
    <row r="572">
      <c r="H572" s="252" t="s">
        <v>161</v>
      </c>
    </row>
    <row r="573">
      <c r="H573" s="252" t="s">
        <v>161</v>
      </c>
    </row>
    <row r="574">
      <c r="H574" s="252" t="s">
        <v>161</v>
      </c>
    </row>
    <row r="575">
      <c r="H575" s="252" t="s">
        <v>161</v>
      </c>
    </row>
    <row r="576">
      <c r="H576" s="252" t="s">
        <v>161</v>
      </c>
    </row>
    <row r="577">
      <c r="H577" s="252" t="s">
        <v>161</v>
      </c>
    </row>
    <row r="578">
      <c r="H578" s="252" t="s">
        <v>161</v>
      </c>
    </row>
    <row r="579">
      <c r="H579" s="252" t="s">
        <v>161</v>
      </c>
    </row>
    <row r="580">
      <c r="H580" s="252" t="s">
        <v>161</v>
      </c>
    </row>
    <row r="581">
      <c r="H581" s="252" t="s">
        <v>161</v>
      </c>
    </row>
    <row r="582">
      <c r="H582" s="252" t="s">
        <v>161</v>
      </c>
    </row>
    <row r="583">
      <c r="H583" s="252" t="s">
        <v>161</v>
      </c>
    </row>
    <row r="584">
      <c r="H584" s="252" t="s">
        <v>161</v>
      </c>
    </row>
    <row r="585">
      <c r="H585" s="252" t="s">
        <v>161</v>
      </c>
    </row>
    <row r="586">
      <c r="H586" s="252" t="s">
        <v>161</v>
      </c>
    </row>
    <row r="587">
      <c r="H587" s="252" t="s">
        <v>161</v>
      </c>
    </row>
    <row r="588">
      <c r="H588" s="252" t="s">
        <v>161</v>
      </c>
    </row>
    <row r="589">
      <c r="H589" s="252" t="s">
        <v>161</v>
      </c>
    </row>
    <row r="590">
      <c r="H590" s="252" t="s">
        <v>161</v>
      </c>
    </row>
    <row r="591">
      <c r="H591" s="252" t="s">
        <v>161</v>
      </c>
    </row>
    <row r="592">
      <c r="H592" s="252" t="s">
        <v>161</v>
      </c>
    </row>
    <row r="593">
      <c r="H593" s="252" t="s">
        <v>161</v>
      </c>
    </row>
    <row r="594">
      <c r="H594" s="252" t="s">
        <v>161</v>
      </c>
    </row>
    <row r="595">
      <c r="H595" s="252" t="s">
        <v>161</v>
      </c>
    </row>
    <row r="596">
      <c r="H596" s="252" t="s">
        <v>161</v>
      </c>
    </row>
    <row r="597">
      <c r="H597" s="252" t="s">
        <v>161</v>
      </c>
    </row>
    <row r="598">
      <c r="H598" s="252" t="s">
        <v>161</v>
      </c>
    </row>
    <row r="599">
      <c r="H599" s="252" t="s">
        <v>161</v>
      </c>
    </row>
    <row r="600">
      <c r="H600" s="252" t="s">
        <v>161</v>
      </c>
    </row>
    <row r="601">
      <c r="H601" s="252" t="s">
        <v>161</v>
      </c>
    </row>
    <row r="602">
      <c r="H602" s="252" t="s">
        <v>161</v>
      </c>
    </row>
    <row r="603">
      <c r="H603" s="252" t="s">
        <v>161</v>
      </c>
    </row>
    <row r="604">
      <c r="H604" s="252" t="s">
        <v>161</v>
      </c>
    </row>
    <row r="605">
      <c r="H605" s="252" t="s">
        <v>161</v>
      </c>
    </row>
    <row r="606">
      <c r="H606" s="252" t="s">
        <v>161</v>
      </c>
    </row>
    <row r="607">
      <c r="H607" s="252" t="s">
        <v>161</v>
      </c>
    </row>
    <row r="608">
      <c r="H608" s="252" t="s">
        <v>161</v>
      </c>
    </row>
    <row r="609">
      <c r="H609" s="252" t="s">
        <v>161</v>
      </c>
    </row>
    <row r="610">
      <c r="H610" s="252" t="s">
        <v>161</v>
      </c>
    </row>
    <row r="611">
      <c r="H611" s="252" t="s">
        <v>161</v>
      </c>
    </row>
    <row r="612">
      <c r="H612" s="252" t="s">
        <v>161</v>
      </c>
    </row>
    <row r="613">
      <c r="H613" s="252" t="s">
        <v>161</v>
      </c>
    </row>
    <row r="614">
      <c r="H614" s="252" t="s">
        <v>161</v>
      </c>
    </row>
    <row r="615">
      <c r="H615" s="252" t="s">
        <v>161</v>
      </c>
    </row>
    <row r="616">
      <c r="H616" s="252" t="s">
        <v>161</v>
      </c>
    </row>
    <row r="617">
      <c r="H617" s="252" t="s">
        <v>161</v>
      </c>
    </row>
    <row r="618">
      <c r="H618" s="252" t="s">
        <v>161</v>
      </c>
    </row>
    <row r="619">
      <c r="H619" s="252" t="s">
        <v>161</v>
      </c>
    </row>
    <row r="620">
      <c r="H620" s="252" t="s">
        <v>161</v>
      </c>
    </row>
    <row r="621">
      <c r="H621" s="252" t="s">
        <v>161</v>
      </c>
    </row>
    <row r="622">
      <c r="H622" s="252" t="s">
        <v>161</v>
      </c>
    </row>
    <row r="623">
      <c r="H623" s="252" t="s">
        <v>161</v>
      </c>
    </row>
    <row r="624">
      <c r="H624" s="252" t="s">
        <v>161</v>
      </c>
    </row>
    <row r="625">
      <c r="H625" s="252" t="s">
        <v>161</v>
      </c>
    </row>
    <row r="626">
      <c r="H626" s="252" t="s">
        <v>161</v>
      </c>
    </row>
    <row r="627">
      <c r="H627" s="252" t="s">
        <v>161</v>
      </c>
    </row>
    <row r="628">
      <c r="H628" s="252" t="s">
        <v>161</v>
      </c>
    </row>
    <row r="629">
      <c r="H629" s="252" t="s">
        <v>161</v>
      </c>
    </row>
    <row r="630">
      <c r="H630" s="252" t="s">
        <v>161</v>
      </c>
    </row>
    <row r="631">
      <c r="H631" s="252" t="s">
        <v>161</v>
      </c>
    </row>
    <row r="632">
      <c r="H632" s="252" t="s">
        <v>161</v>
      </c>
    </row>
    <row r="633">
      <c r="H633" s="252" t="s">
        <v>161</v>
      </c>
    </row>
    <row r="634">
      <c r="H634" s="252" t="s">
        <v>161</v>
      </c>
    </row>
    <row r="635">
      <c r="H635" s="252" t="s">
        <v>161</v>
      </c>
    </row>
    <row r="636">
      <c r="H636" s="252" t="s">
        <v>161</v>
      </c>
    </row>
    <row r="637">
      <c r="H637" s="252" t="s">
        <v>161</v>
      </c>
    </row>
    <row r="638">
      <c r="H638" s="252" t="s">
        <v>161</v>
      </c>
    </row>
    <row r="639">
      <c r="H639" s="252" t="s">
        <v>161</v>
      </c>
    </row>
    <row r="640">
      <c r="H640" s="252" t="s">
        <v>161</v>
      </c>
    </row>
    <row r="641">
      <c r="H641" s="252" t="s">
        <v>161</v>
      </c>
    </row>
    <row r="642">
      <c r="H642" s="252" t="s">
        <v>161</v>
      </c>
    </row>
    <row r="643">
      <c r="H643" s="252" t="s">
        <v>161</v>
      </c>
    </row>
    <row r="644">
      <c r="H644" s="252" t="s">
        <v>161</v>
      </c>
    </row>
    <row r="645">
      <c r="H645" s="252" t="s">
        <v>161</v>
      </c>
    </row>
    <row r="646">
      <c r="H646" s="252" t="s">
        <v>161</v>
      </c>
    </row>
    <row r="647">
      <c r="H647" s="252" t="s">
        <v>161</v>
      </c>
    </row>
    <row r="648">
      <c r="H648" s="252" t="s">
        <v>161</v>
      </c>
    </row>
    <row r="649">
      <c r="H649" s="252" t="s">
        <v>161</v>
      </c>
    </row>
    <row r="650">
      <c r="H650" s="252" t="s">
        <v>161</v>
      </c>
    </row>
    <row r="651">
      <c r="H651" s="252" t="s">
        <v>161</v>
      </c>
    </row>
    <row r="652">
      <c r="H652" s="252" t="s">
        <v>161</v>
      </c>
    </row>
    <row r="653">
      <c r="H653" s="252" t="s">
        <v>161</v>
      </c>
    </row>
    <row r="654">
      <c r="H654" s="252" t="s">
        <v>161</v>
      </c>
    </row>
    <row r="655">
      <c r="H655" s="252" t="s">
        <v>161</v>
      </c>
    </row>
    <row r="656">
      <c r="H656" s="252" t="s">
        <v>161</v>
      </c>
    </row>
    <row r="657">
      <c r="H657" s="252" t="s">
        <v>161</v>
      </c>
    </row>
    <row r="658">
      <c r="H658" s="252" t="s">
        <v>161</v>
      </c>
    </row>
    <row r="659">
      <c r="H659" s="252" t="s">
        <v>161</v>
      </c>
    </row>
    <row r="660">
      <c r="H660" s="252" t="s">
        <v>161</v>
      </c>
    </row>
    <row r="661">
      <c r="H661" s="252" t="s">
        <v>161</v>
      </c>
    </row>
    <row r="662">
      <c r="H662" s="252" t="s">
        <v>161</v>
      </c>
    </row>
    <row r="663">
      <c r="H663" s="252" t="s">
        <v>161</v>
      </c>
    </row>
    <row r="664">
      <c r="H664" s="252" t="s">
        <v>161</v>
      </c>
    </row>
    <row r="665">
      <c r="H665" s="252" t="s">
        <v>161</v>
      </c>
    </row>
    <row r="666">
      <c r="H666" s="252" t="s">
        <v>161</v>
      </c>
    </row>
    <row r="667">
      <c r="H667" s="252" t="s">
        <v>161</v>
      </c>
    </row>
    <row r="668">
      <c r="H668" s="252" t="s">
        <v>161</v>
      </c>
    </row>
    <row r="669">
      <c r="H669" s="252" t="s">
        <v>161</v>
      </c>
    </row>
    <row r="670">
      <c r="H670" s="252" t="s">
        <v>161</v>
      </c>
    </row>
    <row r="671">
      <c r="H671" s="252" t="s">
        <v>161</v>
      </c>
    </row>
    <row r="672">
      <c r="H672" s="252" t="s">
        <v>161</v>
      </c>
    </row>
    <row r="673">
      <c r="H673" s="252" t="s">
        <v>161</v>
      </c>
    </row>
    <row r="674">
      <c r="H674" s="252" t="s">
        <v>161</v>
      </c>
    </row>
    <row r="675">
      <c r="H675" s="252" t="s">
        <v>161</v>
      </c>
    </row>
    <row r="676">
      <c r="H676" s="252" t="s">
        <v>161</v>
      </c>
    </row>
    <row r="677">
      <c r="H677" s="252" t="s">
        <v>161</v>
      </c>
    </row>
    <row r="678">
      <c r="H678" s="252" t="s">
        <v>161</v>
      </c>
    </row>
    <row r="679">
      <c r="H679" s="252" t="s">
        <v>161</v>
      </c>
    </row>
    <row r="680">
      <c r="H680" s="252" t="s">
        <v>161</v>
      </c>
    </row>
    <row r="681">
      <c r="H681" s="252" t="s">
        <v>161</v>
      </c>
    </row>
    <row r="682">
      <c r="H682" s="252" t="s">
        <v>161</v>
      </c>
    </row>
    <row r="683">
      <c r="H683" s="252" t="s">
        <v>161</v>
      </c>
    </row>
    <row r="684">
      <c r="H684" s="252" t="s">
        <v>161</v>
      </c>
    </row>
    <row r="685">
      <c r="H685" s="252" t="s">
        <v>161</v>
      </c>
    </row>
    <row r="686">
      <c r="H686" s="252" t="s">
        <v>161</v>
      </c>
    </row>
    <row r="687">
      <c r="H687" s="252" t="s">
        <v>161</v>
      </c>
    </row>
    <row r="688">
      <c r="H688" s="252" t="s">
        <v>161</v>
      </c>
    </row>
    <row r="689">
      <c r="H689" s="252" t="s">
        <v>161</v>
      </c>
    </row>
    <row r="690">
      <c r="H690" s="252" t="s">
        <v>161</v>
      </c>
    </row>
    <row r="691">
      <c r="H691" s="252" t="s">
        <v>161</v>
      </c>
    </row>
    <row r="692">
      <c r="H692" s="252" t="s">
        <v>161</v>
      </c>
    </row>
    <row r="693">
      <c r="H693" s="252" t="s">
        <v>161</v>
      </c>
    </row>
    <row r="694">
      <c r="H694" s="252" t="s">
        <v>161</v>
      </c>
    </row>
    <row r="695">
      <c r="H695" s="252" t="s">
        <v>161</v>
      </c>
    </row>
    <row r="696">
      <c r="H696" s="252" t="s">
        <v>161</v>
      </c>
    </row>
    <row r="697">
      <c r="H697" s="252" t="s">
        <v>161</v>
      </c>
    </row>
    <row r="698">
      <c r="H698" s="252" t="s">
        <v>161</v>
      </c>
    </row>
    <row r="699">
      <c r="H699" s="252" t="s">
        <v>161</v>
      </c>
    </row>
    <row r="700">
      <c r="H700" s="252" t="s">
        <v>161</v>
      </c>
    </row>
    <row r="701">
      <c r="H701" s="252" t="s">
        <v>161</v>
      </c>
    </row>
    <row r="702">
      <c r="H702" s="252" t="s">
        <v>161</v>
      </c>
    </row>
    <row r="703">
      <c r="H703" s="252" t="s">
        <v>161</v>
      </c>
    </row>
    <row r="704">
      <c r="H704" s="252" t="s">
        <v>161</v>
      </c>
    </row>
    <row r="705">
      <c r="H705" s="252" t="s">
        <v>161</v>
      </c>
    </row>
    <row r="706">
      <c r="H706" s="252" t="s">
        <v>161</v>
      </c>
    </row>
    <row r="707">
      <c r="H707" s="252" t="s">
        <v>161</v>
      </c>
    </row>
    <row r="708">
      <c r="H708" s="252" t="s">
        <v>161</v>
      </c>
    </row>
    <row r="709">
      <c r="H709" s="252" t="s">
        <v>161</v>
      </c>
    </row>
    <row r="710">
      <c r="H710" s="252" t="s">
        <v>161</v>
      </c>
    </row>
    <row r="711">
      <c r="H711" s="252" t="s">
        <v>161</v>
      </c>
    </row>
    <row r="712">
      <c r="H712" s="252" t="s">
        <v>161</v>
      </c>
    </row>
    <row r="713">
      <c r="H713" s="252" t="s">
        <v>161</v>
      </c>
    </row>
    <row r="714">
      <c r="H714" s="252" t="s">
        <v>161</v>
      </c>
    </row>
    <row r="715">
      <c r="H715" s="252" t="s">
        <v>161</v>
      </c>
    </row>
    <row r="716">
      <c r="H716" s="252" t="s">
        <v>161</v>
      </c>
    </row>
    <row r="717">
      <c r="H717" s="252" t="s">
        <v>161</v>
      </c>
    </row>
    <row r="718">
      <c r="H718" s="252" t="s">
        <v>161</v>
      </c>
    </row>
    <row r="719">
      <c r="H719" s="252" t="s">
        <v>161</v>
      </c>
    </row>
    <row r="720">
      <c r="H720" s="252" t="s">
        <v>161</v>
      </c>
    </row>
    <row r="721">
      <c r="H721" s="252" t="s">
        <v>161</v>
      </c>
    </row>
    <row r="722">
      <c r="H722" s="252" t="s">
        <v>161</v>
      </c>
    </row>
    <row r="723">
      <c r="H723" s="252" t="s">
        <v>161</v>
      </c>
    </row>
    <row r="724">
      <c r="H724" s="252" t="s">
        <v>161</v>
      </c>
    </row>
    <row r="725">
      <c r="H725" s="252" t="s">
        <v>161</v>
      </c>
    </row>
    <row r="726">
      <c r="H726" s="252" t="s">
        <v>161</v>
      </c>
    </row>
    <row r="727">
      <c r="H727" s="252" t="s">
        <v>161</v>
      </c>
    </row>
    <row r="728">
      <c r="H728" s="252" t="s">
        <v>161</v>
      </c>
    </row>
    <row r="729">
      <c r="H729" s="252" t="s">
        <v>161</v>
      </c>
    </row>
    <row r="730">
      <c r="H730" s="252" t="s">
        <v>161</v>
      </c>
    </row>
    <row r="731">
      <c r="H731" s="252" t="s">
        <v>161</v>
      </c>
    </row>
    <row r="732">
      <c r="H732" s="252" t="s">
        <v>161</v>
      </c>
    </row>
    <row r="733">
      <c r="H733" s="252" t="s">
        <v>161</v>
      </c>
    </row>
    <row r="734">
      <c r="H734" s="252" t="s">
        <v>161</v>
      </c>
    </row>
    <row r="735">
      <c r="H735" s="252" t="s">
        <v>161</v>
      </c>
    </row>
    <row r="736">
      <c r="H736" s="252" t="s">
        <v>161</v>
      </c>
    </row>
    <row r="737">
      <c r="H737" s="252" t="s">
        <v>161</v>
      </c>
    </row>
    <row r="738">
      <c r="H738" s="252" t="s">
        <v>161</v>
      </c>
    </row>
    <row r="739">
      <c r="H739" s="252" t="s">
        <v>161</v>
      </c>
    </row>
    <row r="740">
      <c r="H740" s="252" t="s">
        <v>161</v>
      </c>
    </row>
    <row r="741">
      <c r="H741" s="252" t="s">
        <v>161</v>
      </c>
    </row>
    <row r="742">
      <c r="H742" s="252" t="s">
        <v>161</v>
      </c>
    </row>
    <row r="743">
      <c r="H743" s="252" t="s">
        <v>161</v>
      </c>
    </row>
    <row r="744">
      <c r="H744" s="252" t="s">
        <v>161</v>
      </c>
    </row>
    <row r="745">
      <c r="H745" s="252" t="s">
        <v>161</v>
      </c>
    </row>
    <row r="746">
      <c r="H746" s="252" t="s">
        <v>161</v>
      </c>
    </row>
    <row r="747">
      <c r="H747" s="252" t="s">
        <v>161</v>
      </c>
    </row>
    <row r="748">
      <c r="H748" s="252" t="s">
        <v>161</v>
      </c>
    </row>
    <row r="749">
      <c r="H749" s="252" t="s">
        <v>161</v>
      </c>
    </row>
    <row r="750">
      <c r="H750" s="252" t="s">
        <v>161</v>
      </c>
    </row>
    <row r="751">
      <c r="H751" s="252" t="s">
        <v>161</v>
      </c>
    </row>
    <row r="752">
      <c r="H752" s="252" t="s">
        <v>161</v>
      </c>
    </row>
    <row r="753">
      <c r="H753" s="252" t="s">
        <v>161</v>
      </c>
    </row>
    <row r="754">
      <c r="H754" s="252" t="s">
        <v>161</v>
      </c>
    </row>
    <row r="755">
      <c r="H755" s="252" t="s">
        <v>161</v>
      </c>
    </row>
    <row r="756">
      <c r="H756" s="252" t="s">
        <v>161</v>
      </c>
    </row>
    <row r="757">
      <c r="H757" s="252" t="s">
        <v>161</v>
      </c>
    </row>
    <row r="758">
      <c r="H758" s="252" t="s">
        <v>161</v>
      </c>
    </row>
    <row r="759">
      <c r="H759" s="252" t="s">
        <v>161</v>
      </c>
    </row>
    <row r="760">
      <c r="H760" s="252" t="s">
        <v>161</v>
      </c>
    </row>
    <row r="761">
      <c r="H761" s="252" t="s">
        <v>161</v>
      </c>
    </row>
    <row r="762">
      <c r="H762" s="252" t="s">
        <v>161</v>
      </c>
    </row>
    <row r="763">
      <c r="H763" s="252" t="s">
        <v>161</v>
      </c>
    </row>
    <row r="764">
      <c r="H764" s="252" t="s">
        <v>161</v>
      </c>
    </row>
    <row r="765">
      <c r="H765" s="252" t="s">
        <v>161</v>
      </c>
    </row>
    <row r="766">
      <c r="H766" s="252" t="s">
        <v>161</v>
      </c>
    </row>
    <row r="767">
      <c r="H767" s="252" t="s">
        <v>161</v>
      </c>
    </row>
    <row r="768">
      <c r="H768" s="252" t="s">
        <v>161</v>
      </c>
    </row>
    <row r="769">
      <c r="H769" s="252" t="s">
        <v>161</v>
      </c>
    </row>
    <row r="770">
      <c r="H770" s="252" t="s">
        <v>161</v>
      </c>
    </row>
    <row r="771">
      <c r="H771" s="252" t="s">
        <v>161</v>
      </c>
    </row>
    <row r="772">
      <c r="H772" s="252" t="s">
        <v>161</v>
      </c>
    </row>
    <row r="773">
      <c r="H773" s="252" t="s">
        <v>161</v>
      </c>
    </row>
    <row r="774">
      <c r="H774" s="252" t="s">
        <v>161</v>
      </c>
    </row>
    <row r="775">
      <c r="H775" s="252" t="s">
        <v>161</v>
      </c>
    </row>
    <row r="776">
      <c r="H776" s="252" t="s">
        <v>161</v>
      </c>
    </row>
    <row r="777">
      <c r="H777" s="252" t="s">
        <v>161</v>
      </c>
    </row>
    <row r="778">
      <c r="H778" s="252" t="s">
        <v>161</v>
      </c>
    </row>
    <row r="779">
      <c r="H779" s="252" t="s">
        <v>161</v>
      </c>
    </row>
    <row r="780">
      <c r="H780" s="252" t="s">
        <v>161</v>
      </c>
    </row>
    <row r="781">
      <c r="H781" s="252" t="s">
        <v>161</v>
      </c>
    </row>
    <row r="782">
      <c r="H782" s="252" t="s">
        <v>161</v>
      </c>
    </row>
    <row r="783">
      <c r="H783" s="252" t="s">
        <v>161</v>
      </c>
    </row>
    <row r="784">
      <c r="H784" s="252" t="s">
        <v>161</v>
      </c>
    </row>
    <row r="785">
      <c r="H785" s="252" t="s">
        <v>161</v>
      </c>
    </row>
    <row r="786">
      <c r="H786" s="252" t="s">
        <v>161</v>
      </c>
    </row>
    <row r="787">
      <c r="H787" s="252" t="s">
        <v>161</v>
      </c>
    </row>
    <row r="788">
      <c r="H788" s="252" t="s">
        <v>161</v>
      </c>
    </row>
    <row r="789">
      <c r="H789" s="252" t="s">
        <v>161</v>
      </c>
    </row>
    <row r="790">
      <c r="H790" s="252" t="s">
        <v>161</v>
      </c>
    </row>
    <row r="791">
      <c r="H791" s="252" t="s">
        <v>161</v>
      </c>
    </row>
    <row r="792">
      <c r="H792" s="252" t="s">
        <v>161</v>
      </c>
    </row>
    <row r="793">
      <c r="H793" s="252" t="s">
        <v>161</v>
      </c>
    </row>
    <row r="794">
      <c r="H794" s="252" t="s">
        <v>161</v>
      </c>
    </row>
    <row r="795">
      <c r="H795" s="252" t="s">
        <v>161</v>
      </c>
    </row>
    <row r="796">
      <c r="H796" s="252" t="s">
        <v>161</v>
      </c>
    </row>
    <row r="797">
      <c r="H797" s="252" t="s">
        <v>161</v>
      </c>
    </row>
    <row r="798">
      <c r="H798" s="252" t="s">
        <v>161</v>
      </c>
    </row>
    <row r="799">
      <c r="H799" s="252" t="s">
        <v>161</v>
      </c>
    </row>
    <row r="800">
      <c r="H800" s="252" t="s">
        <v>161</v>
      </c>
    </row>
    <row r="801">
      <c r="H801" s="252" t="s">
        <v>161</v>
      </c>
    </row>
    <row r="802">
      <c r="H802" s="252" t="s">
        <v>161</v>
      </c>
    </row>
    <row r="803">
      <c r="H803" s="252" t="s">
        <v>161</v>
      </c>
    </row>
    <row r="804">
      <c r="H804" s="252" t="s">
        <v>161</v>
      </c>
    </row>
    <row r="805">
      <c r="H805" s="252" t="s">
        <v>161</v>
      </c>
    </row>
    <row r="806">
      <c r="H806" s="252" t="s">
        <v>161</v>
      </c>
    </row>
    <row r="807">
      <c r="H807" s="252" t="s">
        <v>161</v>
      </c>
    </row>
    <row r="808">
      <c r="H808" s="252" t="s">
        <v>161</v>
      </c>
    </row>
    <row r="809">
      <c r="H809" s="252" t="s">
        <v>161</v>
      </c>
    </row>
    <row r="810">
      <c r="H810" s="252" t="s">
        <v>161</v>
      </c>
    </row>
    <row r="811">
      <c r="H811" s="252" t="s">
        <v>161</v>
      </c>
    </row>
    <row r="812">
      <c r="H812" s="252" t="s">
        <v>161</v>
      </c>
    </row>
    <row r="813">
      <c r="H813" s="252" t="s">
        <v>161</v>
      </c>
    </row>
    <row r="814">
      <c r="H814" s="252" t="s">
        <v>161</v>
      </c>
    </row>
    <row r="815">
      <c r="H815" s="252" t="s">
        <v>161</v>
      </c>
    </row>
    <row r="816">
      <c r="H816" s="252" t="s">
        <v>161</v>
      </c>
    </row>
    <row r="817">
      <c r="H817" s="252" t="s">
        <v>161</v>
      </c>
    </row>
    <row r="818">
      <c r="H818" s="252" t="s">
        <v>161</v>
      </c>
    </row>
    <row r="819">
      <c r="H819" s="252" t="s">
        <v>161</v>
      </c>
    </row>
    <row r="820">
      <c r="H820" s="252" t="s">
        <v>161</v>
      </c>
    </row>
    <row r="821">
      <c r="H821" s="252" t="s">
        <v>161</v>
      </c>
    </row>
    <row r="822">
      <c r="H822" s="252" t="s">
        <v>161</v>
      </c>
    </row>
    <row r="823">
      <c r="H823" s="252" t="s">
        <v>161</v>
      </c>
    </row>
    <row r="824">
      <c r="H824" s="252" t="s">
        <v>161</v>
      </c>
    </row>
    <row r="825">
      <c r="H825" s="252" t="s">
        <v>161</v>
      </c>
    </row>
    <row r="826">
      <c r="H826" s="252" t="s">
        <v>161</v>
      </c>
    </row>
    <row r="827">
      <c r="H827" s="252" t="s">
        <v>161</v>
      </c>
    </row>
    <row r="828">
      <c r="H828" s="252" t="s">
        <v>161</v>
      </c>
    </row>
    <row r="829">
      <c r="H829" s="252" t="s">
        <v>161</v>
      </c>
    </row>
    <row r="830">
      <c r="H830" s="252" t="s">
        <v>161</v>
      </c>
    </row>
    <row r="831">
      <c r="H831" s="252" t="s">
        <v>161</v>
      </c>
    </row>
    <row r="832">
      <c r="H832" s="252" t="s">
        <v>161</v>
      </c>
    </row>
    <row r="833">
      <c r="H833" s="252" t="s">
        <v>161</v>
      </c>
    </row>
    <row r="834">
      <c r="H834" s="252" t="s">
        <v>161</v>
      </c>
    </row>
    <row r="835">
      <c r="H835" s="252" t="s">
        <v>161</v>
      </c>
    </row>
    <row r="836">
      <c r="H836" s="252" t="s">
        <v>161</v>
      </c>
    </row>
    <row r="837">
      <c r="H837" s="252" t="s">
        <v>161</v>
      </c>
    </row>
    <row r="838">
      <c r="H838" s="252" t="s">
        <v>161</v>
      </c>
    </row>
    <row r="839">
      <c r="H839" s="252" t="s">
        <v>161</v>
      </c>
    </row>
    <row r="840">
      <c r="H840" s="252" t="s">
        <v>161</v>
      </c>
    </row>
    <row r="841">
      <c r="H841" s="252" t="s">
        <v>161</v>
      </c>
    </row>
    <row r="842">
      <c r="H842" s="252" t="s">
        <v>161</v>
      </c>
    </row>
    <row r="843">
      <c r="H843" s="252" t="s">
        <v>161</v>
      </c>
    </row>
    <row r="844">
      <c r="H844" s="252" t="s">
        <v>161</v>
      </c>
    </row>
    <row r="845">
      <c r="H845" s="252" t="s">
        <v>161</v>
      </c>
    </row>
    <row r="846">
      <c r="H846" s="252" t="s">
        <v>161</v>
      </c>
    </row>
    <row r="847">
      <c r="H847" s="252" t="s">
        <v>161</v>
      </c>
    </row>
    <row r="848">
      <c r="H848" s="252" t="s">
        <v>161</v>
      </c>
    </row>
    <row r="849">
      <c r="H849" s="252" t="s">
        <v>161</v>
      </c>
    </row>
    <row r="850">
      <c r="H850" s="252" t="s">
        <v>161</v>
      </c>
    </row>
    <row r="851">
      <c r="H851" s="252" t="s">
        <v>161</v>
      </c>
    </row>
    <row r="852">
      <c r="H852" s="252" t="s">
        <v>161</v>
      </c>
    </row>
    <row r="853">
      <c r="H853" s="252" t="s">
        <v>161</v>
      </c>
    </row>
    <row r="854">
      <c r="H854" s="252" t="s">
        <v>161</v>
      </c>
    </row>
    <row r="855">
      <c r="H855" s="252" t="s">
        <v>161</v>
      </c>
    </row>
    <row r="856">
      <c r="H856" s="252" t="s">
        <v>161</v>
      </c>
    </row>
    <row r="857">
      <c r="H857" s="252" t="s">
        <v>161</v>
      </c>
    </row>
    <row r="858">
      <c r="H858" s="252" t="s">
        <v>161</v>
      </c>
    </row>
    <row r="859">
      <c r="H859" s="252" t="s">
        <v>161</v>
      </c>
    </row>
    <row r="860">
      <c r="H860" s="252" t="s">
        <v>161</v>
      </c>
    </row>
    <row r="861">
      <c r="H861" s="252" t="s">
        <v>161</v>
      </c>
    </row>
    <row r="862">
      <c r="H862" s="252" t="s">
        <v>161</v>
      </c>
    </row>
    <row r="863">
      <c r="H863" s="252" t="s">
        <v>161</v>
      </c>
    </row>
    <row r="864">
      <c r="H864" s="252" t="s">
        <v>161</v>
      </c>
    </row>
    <row r="865">
      <c r="H865" s="252" t="s">
        <v>161</v>
      </c>
    </row>
    <row r="866">
      <c r="H866" s="252" t="s">
        <v>161</v>
      </c>
    </row>
    <row r="867">
      <c r="H867" s="252" t="s">
        <v>161</v>
      </c>
    </row>
    <row r="868">
      <c r="H868" s="252" t="s">
        <v>161</v>
      </c>
    </row>
    <row r="869">
      <c r="H869" s="252" t="s">
        <v>161</v>
      </c>
    </row>
    <row r="870">
      <c r="H870" s="252" t="s">
        <v>161</v>
      </c>
    </row>
    <row r="871">
      <c r="H871" s="252" t="s">
        <v>161</v>
      </c>
    </row>
    <row r="872">
      <c r="H872" s="252" t="s">
        <v>161</v>
      </c>
    </row>
    <row r="873">
      <c r="H873" s="252" t="s">
        <v>161</v>
      </c>
    </row>
    <row r="874">
      <c r="H874" s="252" t="s">
        <v>161</v>
      </c>
    </row>
    <row r="875">
      <c r="H875" s="252" t="s">
        <v>161</v>
      </c>
    </row>
    <row r="876">
      <c r="H876" s="252" t="s">
        <v>161</v>
      </c>
    </row>
    <row r="877">
      <c r="H877" s="252" t="s">
        <v>161</v>
      </c>
    </row>
    <row r="878">
      <c r="H878" s="252" t="s">
        <v>161</v>
      </c>
    </row>
    <row r="879">
      <c r="H879" s="252" t="s">
        <v>161</v>
      </c>
    </row>
    <row r="880">
      <c r="H880" s="252" t="s">
        <v>161</v>
      </c>
    </row>
    <row r="881">
      <c r="H881" s="252" t="s">
        <v>161</v>
      </c>
    </row>
    <row r="882">
      <c r="H882" s="252" t="s">
        <v>161</v>
      </c>
    </row>
    <row r="883">
      <c r="H883" s="252" t="s">
        <v>161</v>
      </c>
    </row>
    <row r="884">
      <c r="H884" s="252" t="s">
        <v>161</v>
      </c>
    </row>
    <row r="885">
      <c r="H885" s="252" t="s">
        <v>161</v>
      </c>
    </row>
    <row r="886">
      <c r="H886" s="252" t="s">
        <v>161</v>
      </c>
    </row>
    <row r="887">
      <c r="H887" s="252" t="s">
        <v>161</v>
      </c>
    </row>
    <row r="888">
      <c r="H888" s="252" t="s">
        <v>161</v>
      </c>
    </row>
    <row r="889">
      <c r="H889" s="252" t="s">
        <v>161</v>
      </c>
    </row>
    <row r="890">
      <c r="H890" s="252" t="s">
        <v>161</v>
      </c>
    </row>
    <row r="891">
      <c r="H891" s="252" t="s">
        <v>161</v>
      </c>
    </row>
    <row r="892">
      <c r="H892" s="252" t="s">
        <v>161</v>
      </c>
    </row>
    <row r="893">
      <c r="H893" s="252" t="s">
        <v>161</v>
      </c>
    </row>
    <row r="894">
      <c r="H894" s="252" t="s">
        <v>161</v>
      </c>
    </row>
    <row r="895">
      <c r="H895" s="252" t="s">
        <v>161</v>
      </c>
    </row>
    <row r="896">
      <c r="H896" s="252" t="s">
        <v>161</v>
      </c>
    </row>
    <row r="897">
      <c r="H897" s="252" t="s">
        <v>161</v>
      </c>
    </row>
    <row r="898">
      <c r="H898" s="252" t="s">
        <v>161</v>
      </c>
    </row>
    <row r="899">
      <c r="H899" s="252" t="s">
        <v>161</v>
      </c>
    </row>
    <row r="900">
      <c r="H900" s="252" t="s">
        <v>161</v>
      </c>
    </row>
    <row r="901">
      <c r="H901" s="252" t="s">
        <v>161</v>
      </c>
    </row>
    <row r="902">
      <c r="H902" s="252" t="s">
        <v>161</v>
      </c>
    </row>
    <row r="903">
      <c r="H903" s="252" t="s">
        <v>161</v>
      </c>
    </row>
    <row r="904">
      <c r="H904" s="252" t="s">
        <v>161</v>
      </c>
    </row>
    <row r="905">
      <c r="H905" s="252" t="s">
        <v>161</v>
      </c>
    </row>
    <row r="906">
      <c r="H906" s="252" t="s">
        <v>161</v>
      </c>
    </row>
    <row r="907">
      <c r="H907" s="252" t="s">
        <v>161</v>
      </c>
    </row>
    <row r="908">
      <c r="H908" s="252" t="s">
        <v>161</v>
      </c>
    </row>
    <row r="909">
      <c r="H909" s="252" t="s">
        <v>161</v>
      </c>
    </row>
    <row r="910">
      <c r="H910" s="252" t="s">
        <v>161</v>
      </c>
    </row>
    <row r="911">
      <c r="H911" s="252" t="s">
        <v>161</v>
      </c>
    </row>
    <row r="912">
      <c r="H912" s="252" t="s">
        <v>161</v>
      </c>
    </row>
    <row r="913">
      <c r="H913" s="252" t="s">
        <v>161</v>
      </c>
    </row>
    <row r="914">
      <c r="H914" s="252" t="s">
        <v>161</v>
      </c>
    </row>
    <row r="915">
      <c r="H915" s="252" t="s">
        <v>161</v>
      </c>
    </row>
    <row r="916">
      <c r="H916" s="252" t="s">
        <v>161</v>
      </c>
    </row>
    <row r="917">
      <c r="H917" s="252" t="s">
        <v>161</v>
      </c>
    </row>
    <row r="918">
      <c r="H918" s="252" t="s">
        <v>161</v>
      </c>
    </row>
    <row r="919">
      <c r="H919" s="252" t="s">
        <v>161</v>
      </c>
    </row>
    <row r="920">
      <c r="H920" s="252" t="s">
        <v>161</v>
      </c>
    </row>
    <row r="921">
      <c r="H921" s="252" t="s">
        <v>161</v>
      </c>
    </row>
    <row r="922">
      <c r="H922" s="252" t="s">
        <v>161</v>
      </c>
    </row>
    <row r="923">
      <c r="H923" s="252" t="s">
        <v>161</v>
      </c>
    </row>
    <row r="924">
      <c r="H924" s="252" t="s">
        <v>161</v>
      </c>
    </row>
    <row r="925">
      <c r="H925" s="252" t="s">
        <v>161</v>
      </c>
    </row>
    <row r="926">
      <c r="H926" s="252" t="s">
        <v>161</v>
      </c>
    </row>
    <row r="927">
      <c r="H927" s="252" t="s">
        <v>161</v>
      </c>
    </row>
    <row r="928">
      <c r="H928" s="252" t="s">
        <v>161</v>
      </c>
    </row>
    <row r="929">
      <c r="H929" s="252" t="s">
        <v>161</v>
      </c>
    </row>
    <row r="930">
      <c r="H930" s="252" t="s">
        <v>161</v>
      </c>
    </row>
    <row r="931">
      <c r="H931" s="252" t="s">
        <v>161</v>
      </c>
    </row>
    <row r="932">
      <c r="H932" s="252" t="s">
        <v>161</v>
      </c>
    </row>
    <row r="933">
      <c r="H933" s="252" t="s">
        <v>161</v>
      </c>
    </row>
    <row r="934">
      <c r="H934" s="252" t="s">
        <v>161</v>
      </c>
    </row>
    <row r="935">
      <c r="H935" s="252" t="s">
        <v>161</v>
      </c>
    </row>
    <row r="936">
      <c r="H936" s="252" t="s">
        <v>161</v>
      </c>
    </row>
    <row r="937">
      <c r="H937" s="252" t="s">
        <v>161</v>
      </c>
    </row>
    <row r="938">
      <c r="H938" s="252" t="s">
        <v>161</v>
      </c>
    </row>
    <row r="939">
      <c r="H939" s="252" t="s">
        <v>161</v>
      </c>
    </row>
    <row r="940">
      <c r="H940" s="252" t="s">
        <v>161</v>
      </c>
    </row>
    <row r="941">
      <c r="H941" s="252" t="s">
        <v>161</v>
      </c>
    </row>
    <row r="942">
      <c r="H942" s="252" t="s">
        <v>161</v>
      </c>
    </row>
    <row r="943">
      <c r="H943" s="252" t="s">
        <v>161</v>
      </c>
    </row>
    <row r="944">
      <c r="H944" s="252" t="s">
        <v>161</v>
      </c>
    </row>
    <row r="945">
      <c r="H945" s="252" t="s">
        <v>161</v>
      </c>
    </row>
    <row r="946">
      <c r="H946" s="252" t="s">
        <v>161</v>
      </c>
    </row>
    <row r="947">
      <c r="H947" s="252" t="s">
        <v>161</v>
      </c>
    </row>
    <row r="948">
      <c r="H948" s="252" t="s">
        <v>161</v>
      </c>
    </row>
    <row r="949">
      <c r="H949" s="252" t="s">
        <v>161</v>
      </c>
    </row>
    <row r="950">
      <c r="H950" s="252" t="s">
        <v>161</v>
      </c>
    </row>
    <row r="951">
      <c r="H951" s="252" t="s">
        <v>161</v>
      </c>
    </row>
    <row r="952">
      <c r="H952" s="252" t="s">
        <v>161</v>
      </c>
    </row>
    <row r="953">
      <c r="H953" s="252" t="s">
        <v>161</v>
      </c>
    </row>
    <row r="954">
      <c r="H954" s="252" t="s">
        <v>161</v>
      </c>
    </row>
    <row r="955">
      <c r="H955" s="252" t="s">
        <v>161</v>
      </c>
    </row>
    <row r="956">
      <c r="H956" s="252" t="s">
        <v>161</v>
      </c>
    </row>
    <row r="957">
      <c r="H957" s="252" t="s">
        <v>161</v>
      </c>
    </row>
    <row r="958">
      <c r="H958" s="252" t="s">
        <v>161</v>
      </c>
    </row>
    <row r="959">
      <c r="H959" s="252" t="s">
        <v>161</v>
      </c>
    </row>
    <row r="960">
      <c r="H960" s="252" t="s">
        <v>161</v>
      </c>
    </row>
    <row r="961">
      <c r="H961" s="252" t="s">
        <v>161</v>
      </c>
    </row>
    <row r="962">
      <c r="H962" s="252" t="s">
        <v>161</v>
      </c>
    </row>
    <row r="963">
      <c r="H963" s="252" t="s">
        <v>161</v>
      </c>
    </row>
    <row r="964">
      <c r="H964" s="252" t="s">
        <v>161</v>
      </c>
    </row>
    <row r="965">
      <c r="H965" s="252" t="s">
        <v>161</v>
      </c>
    </row>
    <row r="966">
      <c r="H966" s="252" t="s">
        <v>161</v>
      </c>
    </row>
    <row r="967">
      <c r="H967" s="252" t="s">
        <v>161</v>
      </c>
    </row>
    <row r="968">
      <c r="H968" s="252" t="s">
        <v>161</v>
      </c>
    </row>
    <row r="969">
      <c r="H969" s="252" t="s">
        <v>161</v>
      </c>
    </row>
    <row r="970">
      <c r="H970" s="252" t="s">
        <v>161</v>
      </c>
    </row>
    <row r="971">
      <c r="H971" s="252" t="s">
        <v>161</v>
      </c>
    </row>
    <row r="972">
      <c r="H972" s="252" t="s">
        <v>161</v>
      </c>
    </row>
    <row r="973">
      <c r="H973" s="252" t="s">
        <v>161</v>
      </c>
    </row>
    <row r="974">
      <c r="H974" s="252" t="s">
        <v>161</v>
      </c>
    </row>
    <row r="975">
      <c r="H975" s="252" t="s">
        <v>161</v>
      </c>
    </row>
    <row r="976">
      <c r="H976" s="252" t="s">
        <v>161</v>
      </c>
    </row>
    <row r="977">
      <c r="H977" s="252" t="s">
        <v>161</v>
      </c>
    </row>
    <row r="978">
      <c r="H978" s="252" t="s">
        <v>161</v>
      </c>
    </row>
    <row r="979">
      <c r="H979" s="252" t="s">
        <v>161</v>
      </c>
    </row>
    <row r="980">
      <c r="H980" s="252" t="s">
        <v>161</v>
      </c>
    </row>
    <row r="981">
      <c r="H981" s="252" t="s">
        <v>161</v>
      </c>
    </row>
    <row r="982">
      <c r="H982" s="252" t="s">
        <v>161</v>
      </c>
    </row>
    <row r="983">
      <c r="H983" s="252" t="s">
        <v>161</v>
      </c>
    </row>
    <row r="984">
      <c r="H984" s="252" t="s">
        <v>161</v>
      </c>
    </row>
    <row r="985">
      <c r="H985" s="252" t="s">
        <v>161</v>
      </c>
    </row>
    <row r="986">
      <c r="H986" s="252" t="s">
        <v>161</v>
      </c>
    </row>
    <row r="987">
      <c r="H987" s="252" t="s">
        <v>161</v>
      </c>
    </row>
    <row r="988">
      <c r="H988" s="252" t="s">
        <v>161</v>
      </c>
    </row>
    <row r="989">
      <c r="H989" s="252" t="s">
        <v>161</v>
      </c>
    </row>
    <row r="990">
      <c r="H990" s="252" t="s">
        <v>161</v>
      </c>
    </row>
    <row r="991">
      <c r="H991" s="252" t="s">
        <v>161</v>
      </c>
    </row>
    <row r="992">
      <c r="H992" s="252" t="s">
        <v>161</v>
      </c>
    </row>
    <row r="993">
      <c r="H993" s="252" t="s">
        <v>161</v>
      </c>
    </row>
    <row r="994">
      <c r="H994" s="252" t="s">
        <v>161</v>
      </c>
    </row>
    <row r="995">
      <c r="H995" s="252" t="s">
        <v>161</v>
      </c>
    </row>
    <row r="996">
      <c r="H996" s="252" t="s">
        <v>161</v>
      </c>
    </row>
    <row r="997">
      <c r="H997" s="252" t="s">
        <v>161</v>
      </c>
    </row>
    <row r="998">
      <c r="H998" s="252" t="s">
        <v>161</v>
      </c>
    </row>
    <row r="999">
      <c r="H999" s="252" t="s">
        <v>161</v>
      </c>
    </row>
    <row r="1000">
      <c r="H1000" s="252" t="s">
        <v>161</v>
      </c>
    </row>
  </sheetData>
  <autoFilter ref="$A$2:$AW$11"/>
  <mergeCells count="4">
    <mergeCell ref="L1:O1"/>
    <mergeCell ref="P1:S1"/>
    <mergeCell ref="T1:W1"/>
    <mergeCell ref="X1:AA1"/>
  </mergeCells>
  <conditionalFormatting sqref="O3:O12">
    <cfRule type="cellIs" dxfId="2" priority="1" operator="lessThan">
      <formula>0</formula>
    </cfRule>
  </conditionalFormatting>
  <conditionalFormatting sqref="S3:AW12">
    <cfRule type="cellIs" dxfId="0" priority="2" operator="lessThan">
      <formula>0</formula>
    </cfRule>
  </conditionalFormatting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4.5"/>
    <col customWidth="1" min="6" max="6" width="13.38"/>
    <col customWidth="1" min="7" max="7" width="8.38"/>
  </cols>
  <sheetData>
    <row r="1">
      <c r="A1" s="426">
        <v>19.0</v>
      </c>
      <c r="B1" s="258"/>
      <c r="C1" s="258"/>
      <c r="D1" s="258"/>
      <c r="E1" s="258"/>
      <c r="F1" s="258"/>
      <c r="G1" s="258"/>
      <c r="H1" s="258"/>
      <c r="I1" s="556" t="s">
        <v>0</v>
      </c>
      <c r="J1" s="262"/>
      <c r="K1" s="262"/>
      <c r="L1" s="262"/>
      <c r="M1" s="523" t="s">
        <v>429</v>
      </c>
      <c r="Q1" s="523" t="s">
        <v>349</v>
      </c>
    </row>
    <row r="2">
      <c r="A2" s="557" t="s">
        <v>4</v>
      </c>
      <c r="B2" s="557" t="s">
        <v>351</v>
      </c>
      <c r="C2" s="557" t="s">
        <v>6</v>
      </c>
      <c r="D2" s="558" t="s">
        <v>171</v>
      </c>
      <c r="E2" s="558" t="s">
        <v>170</v>
      </c>
      <c r="F2" s="559" t="s">
        <v>7</v>
      </c>
      <c r="G2" s="13" t="s">
        <v>8</v>
      </c>
      <c r="H2" s="560" t="s">
        <v>9</v>
      </c>
      <c r="I2" s="561" t="s">
        <v>174</v>
      </c>
      <c r="J2" s="562" t="s">
        <v>14</v>
      </c>
      <c r="K2" s="562" t="s">
        <v>15</v>
      </c>
      <c r="L2" s="563" t="s">
        <v>16</v>
      </c>
      <c r="M2" s="564" t="s">
        <v>174</v>
      </c>
      <c r="N2" s="565" t="s">
        <v>14</v>
      </c>
      <c r="O2" s="566" t="s">
        <v>15</v>
      </c>
      <c r="P2" s="567"/>
      <c r="Q2" s="564" t="s">
        <v>174</v>
      </c>
      <c r="R2" s="568" t="s">
        <v>14</v>
      </c>
      <c r="S2" s="568" t="s">
        <v>15</v>
      </c>
      <c r="T2" s="569"/>
      <c r="V2" s="25" t="s">
        <v>18</v>
      </c>
    </row>
    <row r="3" ht="30.0" customHeight="1">
      <c r="A3" s="570" t="s">
        <v>430</v>
      </c>
      <c r="B3" s="570" t="s">
        <v>431</v>
      </c>
      <c r="C3" s="570" t="s">
        <v>372</v>
      </c>
      <c r="D3" s="488">
        <v>790.0</v>
      </c>
      <c r="E3" s="295"/>
      <c r="F3" s="296" t="s">
        <v>22</v>
      </c>
      <c r="G3" s="294"/>
      <c r="H3" s="294" t="str">
        <f t="array" ref="H3:H1000">IF(A3:A1000="", "", 
  IF(G3:G1000="KM", 
    IFERROR(VLOOKUP(A3:A1000, DATA_LIMPIA!A:C, 3, FALSE), ""), 
    IFERROR(VLOOKUP(A3:A1000, DATA_LIMPIA!A:C, 2, FALSE), "")
  )
)</f>
        <v/>
      </c>
      <c r="I3" s="336"/>
      <c r="J3" s="294"/>
      <c r="K3" s="294"/>
      <c r="L3" s="571"/>
      <c r="M3" s="336"/>
      <c r="N3" s="294"/>
      <c r="O3" s="294"/>
      <c r="P3" s="571"/>
      <c r="Q3" s="336"/>
      <c r="R3" s="294"/>
      <c r="S3" s="294"/>
      <c r="T3" s="294"/>
    </row>
    <row r="4">
      <c r="A4" s="572" t="s">
        <v>432</v>
      </c>
      <c r="B4" s="572" t="s">
        <v>431</v>
      </c>
      <c r="C4" s="572" t="s">
        <v>433</v>
      </c>
      <c r="D4" s="572" t="s">
        <v>434</v>
      </c>
      <c r="E4" s="374" t="s">
        <v>435</v>
      </c>
      <c r="F4" s="279" t="s">
        <v>22</v>
      </c>
      <c r="G4" s="278" t="s">
        <v>96</v>
      </c>
      <c r="H4" s="279">
        <v>1.0</v>
      </c>
      <c r="I4" s="573"/>
      <c r="J4" s="277"/>
      <c r="K4" s="573"/>
      <c r="L4" s="573"/>
      <c r="M4" s="573"/>
      <c r="N4" s="277"/>
      <c r="O4" s="277"/>
      <c r="P4" s="574"/>
      <c r="Q4" s="573"/>
      <c r="R4" s="277"/>
      <c r="S4" s="466">
        <f t="shared" ref="S4:S26" si="1">R4+2000</f>
        <v>2000</v>
      </c>
      <c r="T4" s="276"/>
    </row>
    <row r="5" ht="18.75" customHeight="1">
      <c r="A5" s="448" t="s">
        <v>436</v>
      </c>
      <c r="B5" s="448" t="s">
        <v>431</v>
      </c>
      <c r="C5" s="448" t="s">
        <v>407</v>
      </c>
      <c r="D5" s="448" t="s">
        <v>437</v>
      </c>
      <c r="E5" s="277"/>
      <c r="F5" s="278"/>
      <c r="G5" s="278" t="s">
        <v>96</v>
      </c>
      <c r="H5" s="279">
        <v>8630.0</v>
      </c>
      <c r="I5" s="452">
        <v>45974.0</v>
      </c>
      <c r="J5" s="453">
        <v>8478.0</v>
      </c>
      <c r="K5" s="454">
        <f>J5+350</f>
        <v>8828</v>
      </c>
      <c r="L5" s="540">
        <f>K5-H5</f>
        <v>198</v>
      </c>
      <c r="M5" s="460">
        <v>45811.0</v>
      </c>
      <c r="N5" s="457">
        <v>8051.0</v>
      </c>
      <c r="O5" s="458">
        <f>N5+1000</f>
        <v>9051</v>
      </c>
      <c r="P5" s="476">
        <f t="shared" ref="P5:P23" si="2">O5-H5</f>
        <v>421</v>
      </c>
      <c r="Q5" s="460">
        <v>45811.0</v>
      </c>
      <c r="R5" s="461">
        <v>8051.0</v>
      </c>
      <c r="S5" s="462">
        <f t="shared" si="1"/>
        <v>10051</v>
      </c>
      <c r="T5" s="541">
        <f>S5-H5</f>
        <v>1421</v>
      </c>
    </row>
    <row r="6">
      <c r="A6" s="488" t="s">
        <v>438</v>
      </c>
      <c r="B6" s="488" t="s">
        <v>431</v>
      </c>
      <c r="C6" s="488" t="s">
        <v>407</v>
      </c>
      <c r="D6" s="488" t="s">
        <v>437</v>
      </c>
      <c r="E6" s="441" t="s">
        <v>439</v>
      </c>
      <c r="F6" s="296" t="s">
        <v>22</v>
      </c>
      <c r="G6" s="294"/>
      <c r="H6" s="295" t="s">
        <v>161</v>
      </c>
      <c r="I6" s="490">
        <v>44792.0</v>
      </c>
      <c r="J6" s="295"/>
      <c r="K6" s="295"/>
      <c r="L6" s="295"/>
      <c r="M6" s="295"/>
      <c r="N6" s="295"/>
      <c r="O6" s="295"/>
      <c r="P6" s="491">
        <f t="shared" si="2"/>
        <v>0</v>
      </c>
      <c r="Q6" s="317"/>
      <c r="R6" s="295"/>
      <c r="S6" s="445">
        <f t="shared" si="1"/>
        <v>2000</v>
      </c>
      <c r="T6" s="445">
        <f t="shared" ref="T6:T7" si="4">S6+2000</f>
        <v>4000</v>
      </c>
    </row>
    <row r="7">
      <c r="A7" s="488" t="s">
        <v>440</v>
      </c>
      <c r="B7" s="488" t="s">
        <v>431</v>
      </c>
      <c r="C7" s="488" t="s">
        <v>407</v>
      </c>
      <c r="D7" s="488" t="s">
        <v>441</v>
      </c>
      <c r="E7" s="295"/>
      <c r="F7" s="296" t="s">
        <v>22</v>
      </c>
      <c r="G7" s="294"/>
      <c r="H7" s="445" t="s">
        <v>161</v>
      </c>
      <c r="I7" s="490">
        <v>45111.0</v>
      </c>
      <c r="J7" s="445">
        <v>7805.0</v>
      </c>
      <c r="K7" s="445">
        <f t="shared" ref="K7:M7" si="3">J7+350</f>
        <v>8155</v>
      </c>
      <c r="L7" s="445">
        <f t="shared" si="3"/>
        <v>8505</v>
      </c>
      <c r="M7" s="445">
        <f t="shared" si="3"/>
        <v>8855</v>
      </c>
      <c r="N7" s="445">
        <v>7740.0</v>
      </c>
      <c r="O7" s="445">
        <f t="shared" ref="O7:O26" si="5">N7+1000</f>
        <v>8740</v>
      </c>
      <c r="P7" s="491">
        <f t="shared" si="2"/>
        <v>8740</v>
      </c>
      <c r="Q7" s="493">
        <v>44592.0</v>
      </c>
      <c r="R7" s="445">
        <v>7740.0</v>
      </c>
      <c r="S7" s="445">
        <f t="shared" si="1"/>
        <v>9740</v>
      </c>
      <c r="T7" s="445">
        <f t="shared" si="4"/>
        <v>11740</v>
      </c>
    </row>
    <row r="8" ht="18.0" customHeight="1">
      <c r="A8" s="474" t="s">
        <v>442</v>
      </c>
      <c r="B8" s="450" t="s">
        <v>431</v>
      </c>
      <c r="C8" s="450" t="s">
        <v>407</v>
      </c>
      <c r="D8" s="450" t="s">
        <v>443</v>
      </c>
      <c r="E8" s="575" t="s">
        <v>444</v>
      </c>
      <c r="F8" s="278" t="s">
        <v>37</v>
      </c>
      <c r="G8" s="278" t="s">
        <v>96</v>
      </c>
      <c r="H8" s="576">
        <v>16210.0</v>
      </c>
      <c r="I8" s="452">
        <v>45966.0</v>
      </c>
      <c r="J8" s="453">
        <v>15944.0</v>
      </c>
      <c r="K8" s="454">
        <f t="shared" ref="K8:K18" si="6">J8+350</f>
        <v>16294</v>
      </c>
      <c r="L8" s="540">
        <f t="shared" ref="L8:L23" si="7">K8-H8</f>
        <v>84</v>
      </c>
      <c r="M8" s="456">
        <v>45490.0</v>
      </c>
      <c r="N8" s="458">
        <v>14352.0</v>
      </c>
      <c r="O8" s="458">
        <f t="shared" si="5"/>
        <v>15352</v>
      </c>
      <c r="P8" s="577">
        <f t="shared" si="2"/>
        <v>-858</v>
      </c>
      <c r="Q8" s="460">
        <v>45966.0</v>
      </c>
      <c r="R8" s="461">
        <v>15944.0</v>
      </c>
      <c r="S8" s="462">
        <f t="shared" si="1"/>
        <v>17944</v>
      </c>
      <c r="T8" s="541">
        <f t="shared" ref="T8:T23" si="8">S8-H8</f>
        <v>1734</v>
      </c>
    </row>
    <row r="9">
      <c r="A9" s="450" t="s">
        <v>445</v>
      </c>
      <c r="B9" s="450" t="s">
        <v>431</v>
      </c>
      <c r="C9" s="450" t="s">
        <v>379</v>
      </c>
      <c r="D9" s="450" t="s">
        <v>446</v>
      </c>
      <c r="E9" s="475" t="s">
        <v>447</v>
      </c>
      <c r="F9" s="278" t="s">
        <v>37</v>
      </c>
      <c r="G9" s="278" t="s">
        <v>96</v>
      </c>
      <c r="H9" s="578">
        <v>16274.0</v>
      </c>
      <c r="I9" s="452">
        <v>46051.0</v>
      </c>
      <c r="J9" s="453">
        <v>15960.0</v>
      </c>
      <c r="K9" s="454">
        <f t="shared" si="6"/>
        <v>16310</v>
      </c>
      <c r="L9" s="540">
        <f t="shared" si="7"/>
        <v>36</v>
      </c>
      <c r="M9" s="460">
        <v>45878.0</v>
      </c>
      <c r="N9" s="457">
        <v>15116.0</v>
      </c>
      <c r="O9" s="458">
        <f t="shared" si="5"/>
        <v>16116</v>
      </c>
      <c r="P9" s="477">
        <f t="shared" si="2"/>
        <v>-158</v>
      </c>
      <c r="Q9" s="460">
        <v>45758.0</v>
      </c>
      <c r="R9" s="461">
        <v>14641.0</v>
      </c>
      <c r="S9" s="462">
        <f t="shared" si="1"/>
        <v>16641</v>
      </c>
      <c r="T9" s="541">
        <f t="shared" si="8"/>
        <v>367</v>
      </c>
    </row>
    <row r="10">
      <c r="A10" s="474" t="s">
        <v>448</v>
      </c>
      <c r="B10" s="474" t="s">
        <v>431</v>
      </c>
      <c r="C10" s="474" t="s">
        <v>379</v>
      </c>
      <c r="D10" s="474" t="s">
        <v>446</v>
      </c>
      <c r="E10" s="475" t="s">
        <v>449</v>
      </c>
      <c r="F10" s="278" t="s">
        <v>78</v>
      </c>
      <c r="G10" s="278" t="s">
        <v>96</v>
      </c>
      <c r="H10" s="576">
        <v>11023.0</v>
      </c>
      <c r="I10" s="543">
        <v>46065.0</v>
      </c>
      <c r="J10" s="453">
        <v>10807.0</v>
      </c>
      <c r="K10" s="454">
        <f t="shared" si="6"/>
        <v>11157</v>
      </c>
      <c r="L10" s="540">
        <f t="shared" si="7"/>
        <v>134</v>
      </c>
      <c r="M10" s="579">
        <v>45748.0</v>
      </c>
      <c r="N10" s="457">
        <v>9912.0</v>
      </c>
      <c r="O10" s="458">
        <f t="shared" si="5"/>
        <v>10912</v>
      </c>
      <c r="P10" s="477">
        <f t="shared" si="2"/>
        <v>-111</v>
      </c>
      <c r="Q10" s="579">
        <v>45748.0</v>
      </c>
      <c r="R10" s="461">
        <v>9912.0</v>
      </c>
      <c r="S10" s="462">
        <f t="shared" si="1"/>
        <v>11912</v>
      </c>
      <c r="T10" s="541">
        <f t="shared" si="8"/>
        <v>889</v>
      </c>
    </row>
    <row r="11" ht="16.5" customHeight="1">
      <c r="A11" s="474" t="s">
        <v>450</v>
      </c>
      <c r="B11" s="450" t="s">
        <v>431</v>
      </c>
      <c r="C11" s="450" t="s">
        <v>379</v>
      </c>
      <c r="D11" s="450" t="s">
        <v>451</v>
      </c>
      <c r="E11" s="374" t="s">
        <v>452</v>
      </c>
      <c r="F11" s="278"/>
      <c r="G11" s="278" t="s">
        <v>96</v>
      </c>
      <c r="H11" s="578">
        <v>11734.0</v>
      </c>
      <c r="I11" s="452">
        <v>46051.0</v>
      </c>
      <c r="J11" s="453">
        <v>11362.0</v>
      </c>
      <c r="K11" s="454">
        <f t="shared" si="6"/>
        <v>11712</v>
      </c>
      <c r="L11" s="540">
        <f t="shared" si="7"/>
        <v>-22</v>
      </c>
      <c r="M11" s="460">
        <v>45938.0</v>
      </c>
      <c r="N11" s="457">
        <v>10614.0</v>
      </c>
      <c r="O11" s="458">
        <f t="shared" si="5"/>
        <v>11614</v>
      </c>
      <c r="P11" s="455">
        <f t="shared" si="2"/>
        <v>-120</v>
      </c>
      <c r="Q11" s="460">
        <v>45938.0</v>
      </c>
      <c r="R11" s="461">
        <v>10614.0</v>
      </c>
      <c r="S11" s="462">
        <f t="shared" si="1"/>
        <v>12614</v>
      </c>
      <c r="T11" s="541">
        <f t="shared" si="8"/>
        <v>880</v>
      </c>
    </row>
    <row r="12">
      <c r="A12" s="474" t="s">
        <v>453</v>
      </c>
      <c r="B12" s="474" t="s">
        <v>431</v>
      </c>
      <c r="C12" s="474" t="s">
        <v>379</v>
      </c>
      <c r="D12" s="474" t="s">
        <v>451</v>
      </c>
      <c r="E12" s="277"/>
      <c r="F12" s="278"/>
      <c r="G12" s="278" t="s">
        <v>96</v>
      </c>
      <c r="H12" s="576">
        <v>10229.0</v>
      </c>
      <c r="I12" s="452">
        <v>46094.0</v>
      </c>
      <c r="J12" s="453">
        <v>10208.0</v>
      </c>
      <c r="K12" s="454">
        <f t="shared" si="6"/>
        <v>10558</v>
      </c>
      <c r="L12" s="540">
        <f t="shared" si="7"/>
        <v>329</v>
      </c>
      <c r="M12" s="579">
        <v>46041.0</v>
      </c>
      <c r="N12" s="457">
        <v>9775.0</v>
      </c>
      <c r="O12" s="458">
        <f t="shared" si="5"/>
        <v>10775</v>
      </c>
      <c r="P12" s="477">
        <f t="shared" si="2"/>
        <v>546</v>
      </c>
      <c r="Q12" s="580">
        <v>45548.0</v>
      </c>
      <c r="R12" s="462">
        <v>7613.0</v>
      </c>
      <c r="S12" s="462">
        <f t="shared" si="1"/>
        <v>9613</v>
      </c>
      <c r="T12" s="541">
        <f t="shared" si="8"/>
        <v>-616</v>
      </c>
    </row>
    <row r="13">
      <c r="A13" s="474" t="s">
        <v>454</v>
      </c>
      <c r="B13" s="468" t="s">
        <v>431</v>
      </c>
      <c r="C13" s="450" t="s">
        <v>379</v>
      </c>
      <c r="D13" s="450" t="s">
        <v>446</v>
      </c>
      <c r="E13" s="475" t="s">
        <v>455</v>
      </c>
      <c r="F13" s="278" t="s">
        <v>37</v>
      </c>
      <c r="G13" s="278" t="s">
        <v>96</v>
      </c>
      <c r="H13" s="578">
        <v>11096.0</v>
      </c>
      <c r="I13" s="452">
        <v>46073.0</v>
      </c>
      <c r="J13" s="453">
        <v>10948.0</v>
      </c>
      <c r="K13" s="454">
        <f t="shared" si="6"/>
        <v>11298</v>
      </c>
      <c r="L13" s="540">
        <f t="shared" si="7"/>
        <v>202</v>
      </c>
      <c r="M13" s="460">
        <v>46073.0</v>
      </c>
      <c r="N13" s="457">
        <v>10948.0</v>
      </c>
      <c r="O13" s="458">
        <f t="shared" si="5"/>
        <v>11948</v>
      </c>
      <c r="P13" s="477">
        <f t="shared" si="2"/>
        <v>852</v>
      </c>
      <c r="Q13" s="460">
        <v>46073.0</v>
      </c>
      <c r="R13" s="461">
        <v>10948.0</v>
      </c>
      <c r="S13" s="462">
        <f t="shared" si="1"/>
        <v>12948</v>
      </c>
      <c r="T13" s="541">
        <f t="shared" si="8"/>
        <v>1852</v>
      </c>
    </row>
    <row r="14">
      <c r="A14" s="467" t="s">
        <v>456</v>
      </c>
      <c r="B14" s="474" t="s">
        <v>431</v>
      </c>
      <c r="C14" s="474" t="s">
        <v>372</v>
      </c>
      <c r="D14" s="474" t="s">
        <v>457</v>
      </c>
      <c r="E14" s="475" t="s">
        <v>458</v>
      </c>
      <c r="F14" s="278" t="s">
        <v>146</v>
      </c>
      <c r="G14" s="278" t="s">
        <v>96</v>
      </c>
      <c r="H14" s="576">
        <v>10256.0</v>
      </c>
      <c r="I14" s="452">
        <v>45982.0</v>
      </c>
      <c r="J14" s="453">
        <v>9964.0</v>
      </c>
      <c r="K14" s="454">
        <f t="shared" si="6"/>
        <v>10314</v>
      </c>
      <c r="L14" s="540">
        <f t="shared" si="7"/>
        <v>58</v>
      </c>
      <c r="M14" s="579">
        <v>45771.0</v>
      </c>
      <c r="N14" s="457">
        <v>9214.0</v>
      </c>
      <c r="O14" s="458">
        <f t="shared" si="5"/>
        <v>10214</v>
      </c>
      <c r="P14" s="477">
        <f t="shared" si="2"/>
        <v>-42</v>
      </c>
      <c r="Q14" s="579">
        <v>45771.0</v>
      </c>
      <c r="R14" s="461">
        <v>9214.0</v>
      </c>
      <c r="S14" s="462">
        <f t="shared" si="1"/>
        <v>11214</v>
      </c>
      <c r="T14" s="541">
        <f t="shared" si="8"/>
        <v>958</v>
      </c>
    </row>
    <row r="15">
      <c r="A15" s="581" t="s">
        <v>459</v>
      </c>
      <c r="B15" s="474" t="s">
        <v>431</v>
      </c>
      <c r="C15" s="474" t="s">
        <v>379</v>
      </c>
      <c r="D15" s="474" t="s">
        <v>451</v>
      </c>
      <c r="E15" s="277"/>
      <c r="F15" s="278"/>
      <c r="G15" s="278" t="s">
        <v>96</v>
      </c>
      <c r="H15" s="541">
        <v>11376.0</v>
      </c>
      <c r="I15" s="483">
        <v>45456.0</v>
      </c>
      <c r="J15" s="454">
        <v>11231.0</v>
      </c>
      <c r="K15" s="454">
        <f t="shared" si="6"/>
        <v>11581</v>
      </c>
      <c r="L15" s="540">
        <f t="shared" si="7"/>
        <v>205</v>
      </c>
      <c r="M15" s="456">
        <v>45306.0</v>
      </c>
      <c r="N15" s="458">
        <v>10352.0</v>
      </c>
      <c r="O15" s="458">
        <f t="shared" si="5"/>
        <v>11352</v>
      </c>
      <c r="P15" s="582">
        <f t="shared" si="2"/>
        <v>-24</v>
      </c>
      <c r="Q15" s="456">
        <v>45306.0</v>
      </c>
      <c r="R15" s="462">
        <v>10352.0</v>
      </c>
      <c r="S15" s="462">
        <f t="shared" si="1"/>
        <v>12352</v>
      </c>
      <c r="T15" s="541">
        <f t="shared" si="8"/>
        <v>976</v>
      </c>
    </row>
    <row r="16">
      <c r="A16" s="474" t="s">
        <v>460</v>
      </c>
      <c r="B16" s="474" t="s">
        <v>431</v>
      </c>
      <c r="C16" s="474" t="s">
        <v>379</v>
      </c>
      <c r="D16" s="474" t="s">
        <v>446</v>
      </c>
      <c r="E16" s="475" t="s">
        <v>461</v>
      </c>
      <c r="F16" s="278" t="s">
        <v>379</v>
      </c>
      <c r="G16" s="278" t="s">
        <v>96</v>
      </c>
      <c r="H16" s="578">
        <v>9932.0</v>
      </c>
      <c r="I16" s="452">
        <v>46094.0</v>
      </c>
      <c r="J16" s="453">
        <v>9914.0</v>
      </c>
      <c r="K16" s="454">
        <f t="shared" si="6"/>
        <v>10264</v>
      </c>
      <c r="L16" s="540">
        <f t="shared" si="7"/>
        <v>332</v>
      </c>
      <c r="M16" s="460">
        <v>45955.0</v>
      </c>
      <c r="N16" s="457">
        <v>9171.0</v>
      </c>
      <c r="O16" s="458">
        <f t="shared" si="5"/>
        <v>10171</v>
      </c>
      <c r="P16" s="477">
        <f t="shared" si="2"/>
        <v>239</v>
      </c>
      <c r="Q16" s="460">
        <v>45665.0</v>
      </c>
      <c r="R16" s="461">
        <v>9543.0</v>
      </c>
      <c r="S16" s="462">
        <f t="shared" si="1"/>
        <v>11543</v>
      </c>
      <c r="T16" s="541">
        <f t="shared" si="8"/>
        <v>1611</v>
      </c>
    </row>
    <row r="17">
      <c r="A17" s="474" t="s">
        <v>462</v>
      </c>
      <c r="B17" s="450" t="s">
        <v>431</v>
      </c>
      <c r="C17" s="450" t="s">
        <v>379</v>
      </c>
      <c r="D17" s="450" t="s">
        <v>463</v>
      </c>
      <c r="E17" s="371" t="s">
        <v>464</v>
      </c>
      <c r="F17" s="278"/>
      <c r="G17" s="278" t="s">
        <v>96</v>
      </c>
      <c r="H17" s="576">
        <v>3801.0</v>
      </c>
      <c r="I17" s="452">
        <v>45996.0</v>
      </c>
      <c r="J17" s="453">
        <v>3412.0</v>
      </c>
      <c r="K17" s="454">
        <f t="shared" si="6"/>
        <v>3762</v>
      </c>
      <c r="L17" s="540">
        <f t="shared" si="7"/>
        <v>-39</v>
      </c>
      <c r="M17" s="460">
        <v>45999.0</v>
      </c>
      <c r="N17" s="457">
        <v>3412.0</v>
      </c>
      <c r="O17" s="458">
        <f t="shared" si="5"/>
        <v>4412</v>
      </c>
      <c r="P17" s="477">
        <f t="shared" si="2"/>
        <v>611</v>
      </c>
      <c r="Q17" s="460">
        <v>45813.0</v>
      </c>
      <c r="R17" s="461">
        <v>2425.0</v>
      </c>
      <c r="S17" s="462">
        <f t="shared" si="1"/>
        <v>4425</v>
      </c>
      <c r="T17" s="541">
        <f t="shared" si="8"/>
        <v>624</v>
      </c>
    </row>
    <row r="18">
      <c r="A18" s="467" t="s">
        <v>465</v>
      </c>
      <c r="B18" s="450" t="s">
        <v>431</v>
      </c>
      <c r="C18" s="450" t="s">
        <v>379</v>
      </c>
      <c r="D18" s="450" t="s">
        <v>466</v>
      </c>
      <c r="E18" s="467" t="s">
        <v>467</v>
      </c>
      <c r="F18" s="278" t="s">
        <v>379</v>
      </c>
      <c r="G18" s="278" t="s">
        <v>96</v>
      </c>
      <c r="H18" s="578">
        <v>4242.0</v>
      </c>
      <c r="I18" s="452">
        <v>46053.0</v>
      </c>
      <c r="J18" s="486">
        <v>3893.0</v>
      </c>
      <c r="K18" s="454">
        <f t="shared" si="6"/>
        <v>4243</v>
      </c>
      <c r="L18" s="540">
        <f t="shared" si="7"/>
        <v>1</v>
      </c>
      <c r="M18" s="330">
        <v>45856.0</v>
      </c>
      <c r="N18" s="457">
        <v>2503.0</v>
      </c>
      <c r="O18" s="458">
        <f t="shared" si="5"/>
        <v>3503</v>
      </c>
      <c r="P18" s="477">
        <f t="shared" si="2"/>
        <v>-739</v>
      </c>
      <c r="Q18" s="330">
        <v>45797.0</v>
      </c>
      <c r="R18" s="461">
        <v>2161.0</v>
      </c>
      <c r="S18" s="462">
        <f t="shared" si="1"/>
        <v>4161</v>
      </c>
      <c r="T18" s="541">
        <f t="shared" si="8"/>
        <v>-81</v>
      </c>
    </row>
    <row r="19">
      <c r="A19" s="467" t="s">
        <v>468</v>
      </c>
      <c r="B19" s="450" t="s">
        <v>431</v>
      </c>
      <c r="C19" s="450" t="s">
        <v>379</v>
      </c>
      <c r="D19" s="450" t="s">
        <v>463</v>
      </c>
      <c r="E19" s="467" t="s">
        <v>469</v>
      </c>
      <c r="F19" s="278"/>
      <c r="G19" s="278" t="s">
        <v>96</v>
      </c>
      <c r="H19" s="576">
        <v>1191.0</v>
      </c>
      <c r="I19" s="452">
        <v>46078.0</v>
      </c>
      <c r="J19" s="453">
        <v>1080.0</v>
      </c>
      <c r="K19" s="454">
        <f t="shared" ref="K19:K22" si="9">J19+250</f>
        <v>1330</v>
      </c>
      <c r="L19" s="540">
        <f t="shared" si="7"/>
        <v>139</v>
      </c>
      <c r="M19" s="583"/>
      <c r="N19" s="457"/>
      <c r="O19" s="458">
        <f t="shared" si="5"/>
        <v>1000</v>
      </c>
      <c r="P19" s="477">
        <f t="shared" si="2"/>
        <v>-191</v>
      </c>
      <c r="Q19" s="330"/>
      <c r="R19" s="461"/>
      <c r="S19" s="462">
        <f t="shared" si="1"/>
        <v>2000</v>
      </c>
      <c r="T19" s="541">
        <f t="shared" si="8"/>
        <v>809</v>
      </c>
    </row>
    <row r="20">
      <c r="A20" s="474" t="s">
        <v>470</v>
      </c>
      <c r="B20" s="450" t="s">
        <v>431</v>
      </c>
      <c r="C20" s="450" t="s">
        <v>379</v>
      </c>
      <c r="D20" s="450" t="s">
        <v>463</v>
      </c>
      <c r="E20" s="467" t="s">
        <v>471</v>
      </c>
      <c r="F20" s="278"/>
      <c r="G20" s="278" t="s">
        <v>96</v>
      </c>
      <c r="H20" s="578">
        <v>1036.0</v>
      </c>
      <c r="I20" s="452">
        <v>46094.0</v>
      </c>
      <c r="J20" s="453">
        <v>1019.0</v>
      </c>
      <c r="K20" s="454">
        <f t="shared" si="9"/>
        <v>1269</v>
      </c>
      <c r="L20" s="540">
        <f t="shared" si="7"/>
        <v>233</v>
      </c>
      <c r="M20" s="583"/>
      <c r="N20" s="457"/>
      <c r="O20" s="458">
        <f t="shared" si="5"/>
        <v>1000</v>
      </c>
      <c r="P20" s="477">
        <f t="shared" si="2"/>
        <v>-36</v>
      </c>
      <c r="Q20" s="330"/>
      <c r="R20" s="461"/>
      <c r="S20" s="462">
        <f t="shared" si="1"/>
        <v>2000</v>
      </c>
      <c r="T20" s="541">
        <f t="shared" si="8"/>
        <v>964</v>
      </c>
    </row>
    <row r="21">
      <c r="A21" s="474" t="s">
        <v>472</v>
      </c>
      <c r="B21" s="450" t="s">
        <v>431</v>
      </c>
      <c r="C21" s="450" t="s">
        <v>379</v>
      </c>
      <c r="D21" s="450" t="s">
        <v>463</v>
      </c>
      <c r="E21" s="467" t="s">
        <v>473</v>
      </c>
      <c r="F21" s="278"/>
      <c r="G21" s="278" t="s">
        <v>96</v>
      </c>
      <c r="H21" s="576">
        <v>1041.0</v>
      </c>
      <c r="I21" s="543">
        <v>46093.0</v>
      </c>
      <c r="J21" s="453">
        <v>1022.0</v>
      </c>
      <c r="K21" s="454">
        <f t="shared" si="9"/>
        <v>1272</v>
      </c>
      <c r="L21" s="540">
        <f t="shared" si="7"/>
        <v>231</v>
      </c>
      <c r="M21" s="583"/>
      <c r="N21" s="457"/>
      <c r="O21" s="458">
        <f t="shared" si="5"/>
        <v>1000</v>
      </c>
      <c r="P21" s="477">
        <f t="shared" si="2"/>
        <v>-41</v>
      </c>
      <c r="Q21" s="330"/>
      <c r="R21" s="461"/>
      <c r="S21" s="462">
        <f t="shared" si="1"/>
        <v>2000</v>
      </c>
      <c r="T21" s="541">
        <f t="shared" si="8"/>
        <v>959</v>
      </c>
    </row>
    <row r="22">
      <c r="A22" s="474" t="s">
        <v>474</v>
      </c>
      <c r="B22" s="450" t="s">
        <v>431</v>
      </c>
      <c r="C22" s="449" t="s">
        <v>379</v>
      </c>
      <c r="D22" s="449" t="s">
        <v>475</v>
      </c>
      <c r="E22" s="485" t="s">
        <v>476</v>
      </c>
      <c r="F22" s="278"/>
      <c r="G22" s="278" t="s">
        <v>96</v>
      </c>
      <c r="H22" s="576">
        <v>806.0</v>
      </c>
      <c r="I22" s="452">
        <v>46059.0</v>
      </c>
      <c r="J22" s="453">
        <v>547.0</v>
      </c>
      <c r="K22" s="454">
        <f t="shared" si="9"/>
        <v>797</v>
      </c>
      <c r="L22" s="540">
        <f t="shared" si="7"/>
        <v>-9</v>
      </c>
      <c r="M22" s="583"/>
      <c r="N22" s="457"/>
      <c r="O22" s="458">
        <f t="shared" si="5"/>
        <v>1000</v>
      </c>
      <c r="P22" s="477">
        <f t="shared" si="2"/>
        <v>194</v>
      </c>
      <c r="Q22" s="330"/>
      <c r="R22" s="461"/>
      <c r="S22" s="462">
        <f t="shared" si="1"/>
        <v>2000</v>
      </c>
      <c r="T22" s="541">
        <f t="shared" si="8"/>
        <v>1194</v>
      </c>
    </row>
    <row r="23">
      <c r="A23" s="474" t="s">
        <v>477</v>
      </c>
      <c r="B23" s="450" t="s">
        <v>431</v>
      </c>
      <c r="C23" s="449" t="s">
        <v>478</v>
      </c>
      <c r="D23" s="449" t="s">
        <v>479</v>
      </c>
      <c r="E23" s="485" t="s">
        <v>480</v>
      </c>
      <c r="F23" s="278"/>
      <c r="G23" s="278" t="s">
        <v>96</v>
      </c>
      <c r="H23" s="576">
        <v>5257.0</v>
      </c>
      <c r="I23" s="543">
        <v>46071.0</v>
      </c>
      <c r="J23" s="453">
        <v>5166.0</v>
      </c>
      <c r="K23" s="454">
        <f t="shared" ref="K23:K26" si="10">J23+350</f>
        <v>5516</v>
      </c>
      <c r="L23" s="540">
        <f t="shared" si="7"/>
        <v>259</v>
      </c>
      <c r="M23" s="583"/>
      <c r="N23" s="457"/>
      <c r="O23" s="458">
        <f t="shared" si="5"/>
        <v>1000</v>
      </c>
      <c r="P23" s="477">
        <f t="shared" si="2"/>
        <v>-4257</v>
      </c>
      <c r="Q23" s="330"/>
      <c r="R23" s="461"/>
      <c r="S23" s="462">
        <f t="shared" si="1"/>
        <v>2000</v>
      </c>
      <c r="T23" s="541">
        <f t="shared" si="8"/>
        <v>-3257</v>
      </c>
    </row>
    <row r="24" hidden="1">
      <c r="A24" s="488" t="s">
        <v>481</v>
      </c>
      <c r="B24" s="584" t="s">
        <v>482</v>
      </c>
      <c r="C24" s="584" t="s">
        <v>411</v>
      </c>
      <c r="D24" s="584" t="s">
        <v>483</v>
      </c>
      <c r="E24" s="294"/>
      <c r="F24" s="296" t="s">
        <v>22</v>
      </c>
      <c r="G24" s="294"/>
      <c r="H24" s="445"/>
      <c r="I24" s="585">
        <v>45645.0</v>
      </c>
      <c r="J24" s="445">
        <v>9850.0</v>
      </c>
      <c r="K24" s="445">
        <f t="shared" si="10"/>
        <v>10200</v>
      </c>
      <c r="L24" s="445">
        <f t="shared" ref="L24:M24" si="11">K24+350</f>
        <v>10550</v>
      </c>
      <c r="M24" s="445">
        <f t="shared" si="11"/>
        <v>10900</v>
      </c>
      <c r="N24" s="445">
        <v>6850.0</v>
      </c>
      <c r="O24" s="445">
        <f t="shared" si="5"/>
        <v>7850</v>
      </c>
      <c r="P24" s="445">
        <f>O24+1000</f>
        <v>8850</v>
      </c>
      <c r="Q24" s="317"/>
      <c r="R24" s="445">
        <v>6850.0</v>
      </c>
      <c r="S24" s="445">
        <f t="shared" si="1"/>
        <v>8850</v>
      </c>
      <c r="T24" s="445">
        <f>S24+2000</f>
        <v>10850</v>
      </c>
    </row>
    <row r="25">
      <c r="A25" s="450" t="s">
        <v>484</v>
      </c>
      <c r="B25" s="586" t="s">
        <v>482</v>
      </c>
      <c r="C25" s="586" t="s">
        <v>485</v>
      </c>
      <c r="D25" s="586" t="s">
        <v>486</v>
      </c>
      <c r="E25" s="587" t="s">
        <v>487</v>
      </c>
      <c r="F25" s="278" t="s">
        <v>488</v>
      </c>
      <c r="G25" s="278" t="s">
        <v>96</v>
      </c>
      <c r="H25" s="576">
        <v>7306.0</v>
      </c>
      <c r="I25" s="588">
        <v>45968.0</v>
      </c>
      <c r="J25" s="453">
        <v>7236.0</v>
      </c>
      <c r="K25" s="454">
        <f t="shared" si="10"/>
        <v>7586</v>
      </c>
      <c r="L25" s="540">
        <f t="shared" ref="L25:L26" si="12">K25-H25</f>
        <v>280</v>
      </c>
      <c r="M25" s="456">
        <v>45250.0</v>
      </c>
      <c r="N25" s="458">
        <v>6591.0</v>
      </c>
      <c r="O25" s="458">
        <f t="shared" si="5"/>
        <v>7591</v>
      </c>
      <c r="P25" s="477">
        <f t="shared" ref="P25:P26" si="13">O25-H25</f>
        <v>285</v>
      </c>
      <c r="Q25" s="456">
        <v>45446.0</v>
      </c>
      <c r="R25" s="462">
        <v>6796.0</v>
      </c>
      <c r="S25" s="462">
        <f t="shared" si="1"/>
        <v>8796</v>
      </c>
      <c r="T25" s="541">
        <f t="shared" ref="T25:T26" si="14">S25-H25</f>
        <v>1490</v>
      </c>
    </row>
    <row r="26">
      <c r="A26" s="450" t="s">
        <v>489</v>
      </c>
      <c r="B26" s="586" t="s">
        <v>482</v>
      </c>
      <c r="C26" s="586" t="s">
        <v>407</v>
      </c>
      <c r="D26" s="586" t="s">
        <v>490</v>
      </c>
      <c r="E26" s="450" t="s">
        <v>491</v>
      </c>
      <c r="F26" s="278" t="s">
        <v>110</v>
      </c>
      <c r="G26" s="278" t="s">
        <v>96</v>
      </c>
      <c r="H26" s="576">
        <v>3426.0</v>
      </c>
      <c r="I26" s="589">
        <v>45593.0</v>
      </c>
      <c r="J26" s="501">
        <v>3368.0</v>
      </c>
      <c r="K26" s="501">
        <f t="shared" si="10"/>
        <v>3718</v>
      </c>
      <c r="L26" s="540">
        <f t="shared" si="12"/>
        <v>292</v>
      </c>
      <c r="M26" s="590">
        <v>46031.0</v>
      </c>
      <c r="N26" s="502">
        <v>3426.0</v>
      </c>
      <c r="O26" s="591">
        <f t="shared" si="5"/>
        <v>4426</v>
      </c>
      <c r="P26" s="592">
        <f t="shared" si="13"/>
        <v>1000</v>
      </c>
      <c r="Q26" s="590">
        <v>46031.0</v>
      </c>
      <c r="R26" s="504">
        <v>3426.0</v>
      </c>
      <c r="S26" s="593">
        <f t="shared" si="1"/>
        <v>5426</v>
      </c>
      <c r="T26" s="463">
        <f t="shared" si="14"/>
        <v>2000</v>
      </c>
    </row>
    <row r="27">
      <c r="H27" s="252" t="s">
        <v>161</v>
      </c>
      <c r="P27" s="252"/>
      <c r="T27" s="252"/>
    </row>
    <row r="28">
      <c r="H28" s="252" t="s">
        <v>161</v>
      </c>
      <c r="P28" s="252"/>
    </row>
    <row r="29">
      <c r="H29" s="252" t="s">
        <v>161</v>
      </c>
      <c r="P29" s="252"/>
    </row>
    <row r="30">
      <c r="H30" s="252" t="s">
        <v>161</v>
      </c>
      <c r="P30" s="252"/>
    </row>
    <row r="31">
      <c r="H31" s="252" t="s">
        <v>161</v>
      </c>
    </row>
    <row r="32">
      <c r="H32" s="252" t="s">
        <v>161</v>
      </c>
    </row>
    <row r="33">
      <c r="H33" s="252" t="s">
        <v>161</v>
      </c>
    </row>
    <row r="34">
      <c r="H34" s="252" t="s">
        <v>161</v>
      </c>
    </row>
    <row r="35">
      <c r="H35" s="252" t="s">
        <v>161</v>
      </c>
    </row>
    <row r="36">
      <c r="H36" s="252" t="s">
        <v>161</v>
      </c>
    </row>
    <row r="37">
      <c r="H37" s="252" t="s">
        <v>161</v>
      </c>
    </row>
    <row r="38">
      <c r="H38" s="252" t="s">
        <v>161</v>
      </c>
    </row>
    <row r="39">
      <c r="H39" s="252" t="s">
        <v>161</v>
      </c>
    </row>
    <row r="40">
      <c r="H40" s="252" t="s">
        <v>161</v>
      </c>
    </row>
    <row r="41">
      <c r="H41" s="252" t="s">
        <v>161</v>
      </c>
    </row>
    <row r="42">
      <c r="H42" s="252" t="s">
        <v>161</v>
      </c>
    </row>
    <row r="43">
      <c r="H43" s="252" t="s">
        <v>161</v>
      </c>
    </row>
    <row r="44">
      <c r="H44" s="252" t="s">
        <v>161</v>
      </c>
    </row>
    <row r="45">
      <c r="H45" s="252" t="s">
        <v>161</v>
      </c>
    </row>
    <row r="46">
      <c r="H46" s="252" t="s">
        <v>161</v>
      </c>
    </row>
    <row r="47">
      <c r="H47" s="252" t="s">
        <v>161</v>
      </c>
    </row>
    <row r="48">
      <c r="H48" s="252" t="s">
        <v>161</v>
      </c>
    </row>
    <row r="49">
      <c r="H49" s="252" t="s">
        <v>161</v>
      </c>
    </row>
    <row r="50">
      <c r="H50" s="252" t="s">
        <v>161</v>
      </c>
    </row>
    <row r="51">
      <c r="H51" s="252" t="s">
        <v>161</v>
      </c>
    </row>
    <row r="52">
      <c r="H52" s="252" t="s">
        <v>161</v>
      </c>
    </row>
    <row r="53">
      <c r="H53" s="252" t="s">
        <v>161</v>
      </c>
    </row>
    <row r="54">
      <c r="H54" s="252" t="s">
        <v>161</v>
      </c>
    </row>
    <row r="55">
      <c r="H55" s="252" t="s">
        <v>161</v>
      </c>
    </row>
    <row r="56">
      <c r="H56" s="252" t="s">
        <v>161</v>
      </c>
    </row>
    <row r="57">
      <c r="H57" s="252" t="s">
        <v>161</v>
      </c>
    </row>
    <row r="58">
      <c r="H58" s="252" t="s">
        <v>161</v>
      </c>
    </row>
    <row r="59">
      <c r="H59" s="252" t="s">
        <v>161</v>
      </c>
    </row>
    <row r="60">
      <c r="H60" s="252" t="s">
        <v>161</v>
      </c>
    </row>
    <row r="61">
      <c r="H61" s="252" t="s">
        <v>161</v>
      </c>
    </row>
    <row r="62">
      <c r="H62" s="252" t="s">
        <v>161</v>
      </c>
    </row>
    <row r="63">
      <c r="H63" s="252" t="s">
        <v>161</v>
      </c>
    </row>
    <row r="64">
      <c r="H64" s="252" t="s">
        <v>161</v>
      </c>
    </row>
    <row r="65">
      <c r="H65" s="252" t="s">
        <v>161</v>
      </c>
    </row>
    <row r="66">
      <c r="H66" s="252" t="s">
        <v>161</v>
      </c>
    </row>
    <row r="67">
      <c r="H67" s="252" t="s">
        <v>161</v>
      </c>
    </row>
    <row r="68">
      <c r="H68" s="252" t="s">
        <v>161</v>
      </c>
    </row>
    <row r="69">
      <c r="H69" s="252" t="s">
        <v>161</v>
      </c>
    </row>
    <row r="70">
      <c r="H70" s="252" t="s">
        <v>161</v>
      </c>
    </row>
    <row r="71">
      <c r="H71" s="252" t="s">
        <v>161</v>
      </c>
    </row>
    <row r="72">
      <c r="H72" s="252" t="s">
        <v>161</v>
      </c>
    </row>
    <row r="73">
      <c r="H73" s="252" t="s">
        <v>161</v>
      </c>
    </row>
    <row r="74">
      <c r="H74" s="252" t="s">
        <v>161</v>
      </c>
    </row>
    <row r="75">
      <c r="H75" s="252" t="s">
        <v>161</v>
      </c>
    </row>
    <row r="76">
      <c r="H76" s="252" t="s">
        <v>161</v>
      </c>
    </row>
    <row r="77">
      <c r="H77" s="252" t="s">
        <v>161</v>
      </c>
    </row>
    <row r="78">
      <c r="H78" s="252" t="s">
        <v>161</v>
      </c>
    </row>
    <row r="79">
      <c r="H79" s="252" t="s">
        <v>161</v>
      </c>
    </row>
    <row r="80">
      <c r="H80" s="252" t="s">
        <v>161</v>
      </c>
    </row>
    <row r="81">
      <c r="H81" s="252" t="s">
        <v>161</v>
      </c>
    </row>
    <row r="82">
      <c r="H82" s="252" t="s">
        <v>161</v>
      </c>
    </row>
    <row r="83">
      <c r="H83" s="252" t="s">
        <v>161</v>
      </c>
    </row>
    <row r="84">
      <c r="H84" s="252" t="s">
        <v>161</v>
      </c>
    </row>
    <row r="85">
      <c r="H85" s="252" t="s">
        <v>161</v>
      </c>
    </row>
    <row r="86">
      <c r="H86" s="252" t="s">
        <v>161</v>
      </c>
    </row>
    <row r="87">
      <c r="H87" s="252" t="s">
        <v>161</v>
      </c>
    </row>
    <row r="88">
      <c r="H88" s="252" t="s">
        <v>161</v>
      </c>
    </row>
    <row r="89">
      <c r="H89" s="252" t="s">
        <v>161</v>
      </c>
    </row>
    <row r="90">
      <c r="H90" s="252" t="s">
        <v>161</v>
      </c>
    </row>
    <row r="91">
      <c r="H91" s="252" t="s">
        <v>161</v>
      </c>
    </row>
    <row r="92">
      <c r="H92" s="252" t="s">
        <v>161</v>
      </c>
    </row>
    <row r="93">
      <c r="H93" s="252" t="s">
        <v>161</v>
      </c>
    </row>
    <row r="94">
      <c r="H94" s="252" t="s">
        <v>161</v>
      </c>
    </row>
    <row r="95">
      <c r="H95" s="252" t="s">
        <v>161</v>
      </c>
    </row>
    <row r="96">
      <c r="H96" s="252" t="s">
        <v>161</v>
      </c>
    </row>
    <row r="97">
      <c r="H97" s="252" t="s">
        <v>161</v>
      </c>
    </row>
    <row r="98">
      <c r="H98" s="252" t="s">
        <v>161</v>
      </c>
    </row>
    <row r="99">
      <c r="H99" s="252" t="s">
        <v>161</v>
      </c>
    </row>
    <row r="100">
      <c r="H100" s="252" t="s">
        <v>161</v>
      </c>
    </row>
    <row r="101">
      <c r="H101" s="252" t="s">
        <v>161</v>
      </c>
    </row>
    <row r="102">
      <c r="H102" s="252" t="s">
        <v>161</v>
      </c>
    </row>
    <row r="103">
      <c r="H103" s="252" t="s">
        <v>161</v>
      </c>
    </row>
    <row r="104">
      <c r="H104" s="252" t="s">
        <v>161</v>
      </c>
    </row>
    <row r="105">
      <c r="H105" s="252" t="s">
        <v>161</v>
      </c>
    </row>
    <row r="106">
      <c r="H106" s="252" t="s">
        <v>161</v>
      </c>
    </row>
    <row r="107">
      <c r="H107" s="252" t="s">
        <v>161</v>
      </c>
    </row>
    <row r="108">
      <c r="H108" s="252" t="s">
        <v>161</v>
      </c>
    </row>
    <row r="109">
      <c r="H109" s="252" t="s">
        <v>161</v>
      </c>
    </row>
    <row r="110">
      <c r="H110" s="252" t="s">
        <v>161</v>
      </c>
    </row>
    <row r="111">
      <c r="H111" s="252" t="s">
        <v>161</v>
      </c>
    </row>
    <row r="112">
      <c r="H112" s="252" t="s">
        <v>161</v>
      </c>
    </row>
    <row r="113">
      <c r="H113" s="252" t="s">
        <v>161</v>
      </c>
    </row>
    <row r="114">
      <c r="H114" s="252" t="s">
        <v>161</v>
      </c>
    </row>
    <row r="115">
      <c r="H115" s="252" t="s">
        <v>161</v>
      </c>
    </row>
    <row r="116">
      <c r="H116" s="252" t="s">
        <v>161</v>
      </c>
    </row>
    <row r="117">
      <c r="H117" s="252" t="s">
        <v>161</v>
      </c>
    </row>
    <row r="118">
      <c r="H118" s="252" t="s">
        <v>161</v>
      </c>
    </row>
    <row r="119">
      <c r="H119" s="252" t="s">
        <v>161</v>
      </c>
    </row>
    <row r="120">
      <c r="H120" s="252" t="s">
        <v>161</v>
      </c>
    </row>
    <row r="121">
      <c r="H121" s="252" t="s">
        <v>161</v>
      </c>
    </row>
    <row r="122">
      <c r="H122" s="252" t="s">
        <v>161</v>
      </c>
    </row>
    <row r="123">
      <c r="H123" s="252" t="s">
        <v>161</v>
      </c>
    </row>
    <row r="124">
      <c r="H124" s="252" t="s">
        <v>161</v>
      </c>
    </row>
    <row r="125">
      <c r="H125" s="252" t="s">
        <v>161</v>
      </c>
    </row>
    <row r="126">
      <c r="H126" s="252" t="s">
        <v>161</v>
      </c>
    </row>
    <row r="127">
      <c r="H127" s="252" t="s">
        <v>161</v>
      </c>
    </row>
    <row r="128">
      <c r="H128" s="252" t="s">
        <v>161</v>
      </c>
    </row>
    <row r="129">
      <c r="H129" s="252" t="s">
        <v>161</v>
      </c>
    </row>
    <row r="130">
      <c r="H130" s="252" t="s">
        <v>161</v>
      </c>
    </row>
    <row r="131">
      <c r="H131" s="252" t="s">
        <v>161</v>
      </c>
    </row>
    <row r="132">
      <c r="H132" s="252" t="s">
        <v>161</v>
      </c>
    </row>
    <row r="133">
      <c r="H133" s="252" t="s">
        <v>161</v>
      </c>
    </row>
    <row r="134">
      <c r="H134" s="252" t="s">
        <v>161</v>
      </c>
    </row>
    <row r="135">
      <c r="H135" s="252" t="s">
        <v>161</v>
      </c>
    </row>
    <row r="136">
      <c r="H136" s="252" t="s">
        <v>161</v>
      </c>
    </row>
    <row r="137">
      <c r="H137" s="252" t="s">
        <v>161</v>
      </c>
    </row>
    <row r="138">
      <c r="H138" s="252" t="s">
        <v>161</v>
      </c>
    </row>
    <row r="139">
      <c r="H139" s="252" t="s">
        <v>161</v>
      </c>
    </row>
    <row r="140">
      <c r="H140" s="252" t="s">
        <v>161</v>
      </c>
    </row>
    <row r="141">
      <c r="H141" s="252" t="s">
        <v>161</v>
      </c>
    </row>
    <row r="142">
      <c r="H142" s="252" t="s">
        <v>161</v>
      </c>
    </row>
    <row r="143">
      <c r="H143" s="252" t="s">
        <v>161</v>
      </c>
    </row>
    <row r="144">
      <c r="H144" s="252" t="s">
        <v>161</v>
      </c>
    </row>
    <row r="145">
      <c r="H145" s="252" t="s">
        <v>161</v>
      </c>
    </row>
    <row r="146">
      <c r="H146" s="252" t="s">
        <v>161</v>
      </c>
    </row>
    <row r="147">
      <c r="H147" s="252" t="s">
        <v>161</v>
      </c>
    </row>
    <row r="148">
      <c r="H148" s="252" t="s">
        <v>161</v>
      </c>
    </row>
    <row r="149">
      <c r="H149" s="252" t="s">
        <v>161</v>
      </c>
    </row>
    <row r="150">
      <c r="H150" s="252" t="s">
        <v>161</v>
      </c>
    </row>
    <row r="151">
      <c r="H151" s="252" t="s">
        <v>161</v>
      </c>
    </row>
    <row r="152">
      <c r="H152" s="252" t="s">
        <v>161</v>
      </c>
    </row>
    <row r="153">
      <c r="H153" s="252" t="s">
        <v>161</v>
      </c>
    </row>
    <row r="154">
      <c r="H154" s="252" t="s">
        <v>161</v>
      </c>
    </row>
    <row r="155">
      <c r="H155" s="252" t="s">
        <v>161</v>
      </c>
    </row>
    <row r="156">
      <c r="H156" s="252" t="s">
        <v>161</v>
      </c>
    </row>
    <row r="157">
      <c r="H157" s="252" t="s">
        <v>161</v>
      </c>
    </row>
    <row r="158">
      <c r="H158" s="252" t="s">
        <v>161</v>
      </c>
    </row>
    <row r="159">
      <c r="H159" s="252" t="s">
        <v>161</v>
      </c>
    </row>
    <row r="160">
      <c r="H160" s="252" t="s">
        <v>161</v>
      </c>
    </row>
    <row r="161">
      <c r="H161" s="252" t="s">
        <v>161</v>
      </c>
    </row>
    <row r="162">
      <c r="H162" s="252" t="s">
        <v>161</v>
      </c>
    </row>
    <row r="163">
      <c r="H163" s="252" t="s">
        <v>161</v>
      </c>
    </row>
    <row r="164">
      <c r="H164" s="252" t="s">
        <v>161</v>
      </c>
    </row>
    <row r="165">
      <c r="H165" s="252" t="s">
        <v>161</v>
      </c>
    </row>
    <row r="166">
      <c r="H166" s="252" t="s">
        <v>161</v>
      </c>
    </row>
    <row r="167">
      <c r="H167" s="252" t="s">
        <v>161</v>
      </c>
    </row>
    <row r="168">
      <c r="H168" s="252" t="s">
        <v>161</v>
      </c>
    </row>
    <row r="169">
      <c r="H169" s="252" t="s">
        <v>161</v>
      </c>
    </row>
    <row r="170">
      <c r="H170" s="252" t="s">
        <v>161</v>
      </c>
    </row>
    <row r="171">
      <c r="H171" s="252" t="s">
        <v>161</v>
      </c>
    </row>
    <row r="172">
      <c r="H172" s="252" t="s">
        <v>161</v>
      </c>
    </row>
    <row r="173">
      <c r="H173" s="252" t="s">
        <v>161</v>
      </c>
    </row>
    <row r="174">
      <c r="H174" s="252" t="s">
        <v>161</v>
      </c>
    </row>
    <row r="175">
      <c r="H175" s="252" t="s">
        <v>161</v>
      </c>
    </row>
    <row r="176">
      <c r="H176" s="252" t="s">
        <v>161</v>
      </c>
    </row>
    <row r="177">
      <c r="H177" s="252" t="s">
        <v>161</v>
      </c>
    </row>
    <row r="178">
      <c r="H178" s="252" t="s">
        <v>161</v>
      </c>
    </row>
    <row r="179">
      <c r="H179" s="252" t="s">
        <v>161</v>
      </c>
    </row>
    <row r="180">
      <c r="H180" s="252" t="s">
        <v>161</v>
      </c>
    </row>
    <row r="181">
      <c r="H181" s="252" t="s">
        <v>161</v>
      </c>
    </row>
    <row r="182">
      <c r="H182" s="252" t="s">
        <v>161</v>
      </c>
    </row>
    <row r="183">
      <c r="H183" s="252" t="s">
        <v>161</v>
      </c>
    </row>
    <row r="184">
      <c r="H184" s="252" t="s">
        <v>161</v>
      </c>
    </row>
    <row r="185">
      <c r="H185" s="252" t="s">
        <v>161</v>
      </c>
    </row>
    <row r="186">
      <c r="H186" s="252" t="s">
        <v>161</v>
      </c>
    </row>
    <row r="187">
      <c r="H187" s="252" t="s">
        <v>161</v>
      </c>
    </row>
    <row r="188">
      <c r="H188" s="252" t="s">
        <v>161</v>
      </c>
    </row>
    <row r="189">
      <c r="H189" s="252" t="s">
        <v>161</v>
      </c>
    </row>
    <row r="190">
      <c r="H190" s="252" t="s">
        <v>161</v>
      </c>
    </row>
    <row r="191">
      <c r="H191" s="252" t="s">
        <v>161</v>
      </c>
    </row>
    <row r="192">
      <c r="H192" s="252" t="s">
        <v>161</v>
      </c>
    </row>
    <row r="193">
      <c r="H193" s="252" t="s">
        <v>161</v>
      </c>
    </row>
    <row r="194">
      <c r="H194" s="252" t="s">
        <v>161</v>
      </c>
    </row>
    <row r="195">
      <c r="H195" s="252" t="s">
        <v>161</v>
      </c>
    </row>
    <row r="196">
      <c r="H196" s="252" t="s">
        <v>161</v>
      </c>
    </row>
    <row r="197">
      <c r="H197" s="252" t="s">
        <v>161</v>
      </c>
    </row>
    <row r="198">
      <c r="H198" s="252" t="s">
        <v>161</v>
      </c>
    </row>
    <row r="199">
      <c r="H199" s="252" t="s">
        <v>161</v>
      </c>
    </row>
    <row r="200">
      <c r="H200" s="252" t="s">
        <v>161</v>
      </c>
    </row>
    <row r="201">
      <c r="H201" s="252" t="s">
        <v>161</v>
      </c>
    </row>
    <row r="202">
      <c r="H202" s="252" t="s">
        <v>161</v>
      </c>
    </row>
    <row r="203">
      <c r="H203" s="252" t="s">
        <v>161</v>
      </c>
    </row>
    <row r="204">
      <c r="H204" s="252" t="s">
        <v>161</v>
      </c>
    </row>
    <row r="205">
      <c r="H205" s="252" t="s">
        <v>161</v>
      </c>
    </row>
    <row r="206">
      <c r="H206" s="252" t="s">
        <v>161</v>
      </c>
    </row>
    <row r="207">
      <c r="H207" s="252" t="s">
        <v>161</v>
      </c>
    </row>
    <row r="208">
      <c r="H208" s="252" t="s">
        <v>161</v>
      </c>
    </row>
    <row r="209">
      <c r="H209" s="252" t="s">
        <v>161</v>
      </c>
    </row>
    <row r="210">
      <c r="H210" s="252" t="s">
        <v>161</v>
      </c>
    </row>
    <row r="211">
      <c r="H211" s="252" t="s">
        <v>161</v>
      </c>
    </row>
    <row r="212">
      <c r="H212" s="252" t="s">
        <v>161</v>
      </c>
    </row>
    <row r="213">
      <c r="H213" s="252" t="s">
        <v>161</v>
      </c>
    </row>
    <row r="214">
      <c r="H214" s="252" t="s">
        <v>161</v>
      </c>
    </row>
    <row r="215">
      <c r="H215" s="252" t="s">
        <v>161</v>
      </c>
    </row>
    <row r="216">
      <c r="H216" s="252" t="s">
        <v>161</v>
      </c>
    </row>
    <row r="217">
      <c r="H217" s="252" t="s">
        <v>161</v>
      </c>
    </row>
    <row r="218">
      <c r="H218" s="252" t="s">
        <v>161</v>
      </c>
    </row>
    <row r="219">
      <c r="H219" s="252" t="s">
        <v>161</v>
      </c>
    </row>
    <row r="220">
      <c r="H220" s="252" t="s">
        <v>161</v>
      </c>
    </row>
    <row r="221">
      <c r="H221" s="252" t="s">
        <v>161</v>
      </c>
    </row>
    <row r="222">
      <c r="H222" s="252" t="s">
        <v>161</v>
      </c>
    </row>
    <row r="223">
      <c r="H223" s="252" t="s">
        <v>161</v>
      </c>
    </row>
    <row r="224">
      <c r="H224" s="252" t="s">
        <v>161</v>
      </c>
    </row>
    <row r="225">
      <c r="H225" s="252" t="s">
        <v>161</v>
      </c>
    </row>
    <row r="226">
      <c r="H226" s="252" t="s">
        <v>161</v>
      </c>
    </row>
    <row r="227">
      <c r="H227" s="252" t="s">
        <v>161</v>
      </c>
    </row>
    <row r="228">
      <c r="H228" s="252" t="s">
        <v>161</v>
      </c>
    </row>
    <row r="229">
      <c r="H229" s="252" t="s">
        <v>161</v>
      </c>
    </row>
    <row r="230">
      <c r="H230" s="252" t="s">
        <v>161</v>
      </c>
    </row>
    <row r="231">
      <c r="H231" s="252" t="s">
        <v>161</v>
      </c>
    </row>
    <row r="232">
      <c r="H232" s="252" t="s">
        <v>161</v>
      </c>
    </row>
    <row r="233">
      <c r="H233" s="252" t="s">
        <v>161</v>
      </c>
    </row>
    <row r="234">
      <c r="H234" s="252" t="s">
        <v>161</v>
      </c>
    </row>
    <row r="235">
      <c r="H235" s="252" t="s">
        <v>161</v>
      </c>
    </row>
    <row r="236">
      <c r="H236" s="252" t="s">
        <v>161</v>
      </c>
    </row>
    <row r="237">
      <c r="H237" s="252" t="s">
        <v>161</v>
      </c>
    </row>
    <row r="238">
      <c r="H238" s="252" t="s">
        <v>161</v>
      </c>
    </row>
    <row r="239">
      <c r="H239" s="252" t="s">
        <v>161</v>
      </c>
    </row>
    <row r="240">
      <c r="H240" s="252" t="s">
        <v>161</v>
      </c>
    </row>
    <row r="241">
      <c r="H241" s="252" t="s">
        <v>161</v>
      </c>
    </row>
    <row r="242">
      <c r="H242" s="252" t="s">
        <v>161</v>
      </c>
    </row>
    <row r="243">
      <c r="H243" s="252" t="s">
        <v>161</v>
      </c>
    </row>
    <row r="244">
      <c r="H244" s="252" t="s">
        <v>161</v>
      </c>
    </row>
    <row r="245">
      <c r="H245" s="252" t="s">
        <v>161</v>
      </c>
    </row>
    <row r="246">
      <c r="H246" s="252" t="s">
        <v>161</v>
      </c>
    </row>
    <row r="247">
      <c r="H247" s="252" t="s">
        <v>161</v>
      </c>
    </row>
    <row r="248">
      <c r="H248" s="252" t="s">
        <v>161</v>
      </c>
    </row>
    <row r="249">
      <c r="H249" s="252" t="s">
        <v>161</v>
      </c>
    </row>
    <row r="250">
      <c r="H250" s="252" t="s">
        <v>161</v>
      </c>
    </row>
    <row r="251">
      <c r="H251" s="252" t="s">
        <v>161</v>
      </c>
    </row>
    <row r="252">
      <c r="H252" s="252" t="s">
        <v>161</v>
      </c>
    </row>
    <row r="253">
      <c r="H253" s="252" t="s">
        <v>161</v>
      </c>
    </row>
    <row r="254">
      <c r="H254" s="252" t="s">
        <v>161</v>
      </c>
    </row>
    <row r="255">
      <c r="H255" s="252" t="s">
        <v>161</v>
      </c>
    </row>
    <row r="256">
      <c r="H256" s="252" t="s">
        <v>161</v>
      </c>
    </row>
    <row r="257">
      <c r="H257" s="252" t="s">
        <v>161</v>
      </c>
    </row>
    <row r="258">
      <c r="H258" s="252" t="s">
        <v>161</v>
      </c>
    </row>
    <row r="259">
      <c r="H259" s="252" t="s">
        <v>161</v>
      </c>
    </row>
    <row r="260">
      <c r="H260" s="252" t="s">
        <v>161</v>
      </c>
    </row>
    <row r="261">
      <c r="H261" s="252" t="s">
        <v>161</v>
      </c>
    </row>
    <row r="262">
      <c r="H262" s="252" t="s">
        <v>161</v>
      </c>
    </row>
    <row r="263">
      <c r="H263" s="252" t="s">
        <v>161</v>
      </c>
    </row>
    <row r="264">
      <c r="H264" s="252" t="s">
        <v>161</v>
      </c>
    </row>
    <row r="265">
      <c r="H265" s="252" t="s">
        <v>161</v>
      </c>
    </row>
    <row r="266">
      <c r="H266" s="252" t="s">
        <v>161</v>
      </c>
    </row>
    <row r="267">
      <c r="H267" s="252" t="s">
        <v>161</v>
      </c>
    </row>
    <row r="268">
      <c r="H268" s="252" t="s">
        <v>161</v>
      </c>
    </row>
    <row r="269">
      <c r="H269" s="252" t="s">
        <v>161</v>
      </c>
    </row>
    <row r="270">
      <c r="H270" s="252" t="s">
        <v>161</v>
      </c>
    </row>
    <row r="271">
      <c r="H271" s="252" t="s">
        <v>161</v>
      </c>
    </row>
    <row r="272">
      <c r="H272" s="252" t="s">
        <v>161</v>
      </c>
    </row>
    <row r="273">
      <c r="H273" s="252" t="s">
        <v>161</v>
      </c>
    </row>
    <row r="274">
      <c r="H274" s="252" t="s">
        <v>161</v>
      </c>
    </row>
    <row r="275">
      <c r="H275" s="252" t="s">
        <v>161</v>
      </c>
    </row>
    <row r="276">
      <c r="H276" s="252" t="s">
        <v>161</v>
      </c>
    </row>
    <row r="277">
      <c r="H277" s="252" t="s">
        <v>161</v>
      </c>
    </row>
    <row r="278">
      <c r="H278" s="252" t="s">
        <v>161</v>
      </c>
    </row>
    <row r="279">
      <c r="H279" s="252" t="s">
        <v>161</v>
      </c>
    </row>
    <row r="280">
      <c r="H280" s="252" t="s">
        <v>161</v>
      </c>
    </row>
    <row r="281">
      <c r="H281" s="252" t="s">
        <v>161</v>
      </c>
    </row>
    <row r="282">
      <c r="H282" s="252" t="s">
        <v>161</v>
      </c>
    </row>
    <row r="283">
      <c r="H283" s="252" t="s">
        <v>161</v>
      </c>
    </row>
    <row r="284">
      <c r="H284" s="252" t="s">
        <v>161</v>
      </c>
    </row>
    <row r="285">
      <c r="H285" s="252" t="s">
        <v>161</v>
      </c>
    </row>
    <row r="286">
      <c r="H286" s="252" t="s">
        <v>161</v>
      </c>
    </row>
    <row r="287">
      <c r="H287" s="252" t="s">
        <v>161</v>
      </c>
    </row>
    <row r="288">
      <c r="H288" s="252" t="s">
        <v>161</v>
      </c>
    </row>
    <row r="289">
      <c r="H289" s="252" t="s">
        <v>161</v>
      </c>
    </row>
    <row r="290">
      <c r="H290" s="252" t="s">
        <v>161</v>
      </c>
    </row>
    <row r="291">
      <c r="H291" s="252" t="s">
        <v>161</v>
      </c>
    </row>
    <row r="292">
      <c r="H292" s="252" t="s">
        <v>161</v>
      </c>
    </row>
    <row r="293">
      <c r="H293" s="252" t="s">
        <v>161</v>
      </c>
    </row>
    <row r="294">
      <c r="H294" s="252" t="s">
        <v>161</v>
      </c>
    </row>
    <row r="295">
      <c r="H295" s="252" t="s">
        <v>161</v>
      </c>
    </row>
    <row r="296">
      <c r="H296" s="252" t="s">
        <v>161</v>
      </c>
    </row>
    <row r="297">
      <c r="H297" s="252" t="s">
        <v>161</v>
      </c>
    </row>
    <row r="298">
      <c r="H298" s="252" t="s">
        <v>161</v>
      </c>
    </row>
    <row r="299">
      <c r="H299" s="252" t="s">
        <v>161</v>
      </c>
    </row>
    <row r="300">
      <c r="H300" s="252" t="s">
        <v>161</v>
      </c>
    </row>
    <row r="301">
      <c r="H301" s="252" t="s">
        <v>161</v>
      </c>
    </row>
    <row r="302">
      <c r="H302" s="252" t="s">
        <v>161</v>
      </c>
    </row>
    <row r="303">
      <c r="H303" s="252" t="s">
        <v>161</v>
      </c>
    </row>
    <row r="304">
      <c r="H304" s="252" t="s">
        <v>161</v>
      </c>
    </row>
    <row r="305">
      <c r="H305" s="252" t="s">
        <v>161</v>
      </c>
    </row>
    <row r="306">
      <c r="H306" s="252" t="s">
        <v>161</v>
      </c>
    </row>
    <row r="307">
      <c r="H307" s="252" t="s">
        <v>161</v>
      </c>
    </row>
    <row r="308">
      <c r="H308" s="252" t="s">
        <v>161</v>
      </c>
    </row>
    <row r="309">
      <c r="H309" s="252" t="s">
        <v>161</v>
      </c>
    </row>
    <row r="310">
      <c r="H310" s="252" t="s">
        <v>161</v>
      </c>
    </row>
    <row r="311">
      <c r="H311" s="252" t="s">
        <v>161</v>
      </c>
    </row>
    <row r="312">
      <c r="H312" s="252" t="s">
        <v>161</v>
      </c>
    </row>
    <row r="313">
      <c r="H313" s="252" t="s">
        <v>161</v>
      </c>
    </row>
    <row r="314">
      <c r="H314" s="252" t="s">
        <v>161</v>
      </c>
    </row>
    <row r="315">
      <c r="H315" s="252" t="s">
        <v>161</v>
      </c>
    </row>
    <row r="316">
      <c r="H316" s="252" t="s">
        <v>161</v>
      </c>
    </row>
    <row r="317">
      <c r="H317" s="252" t="s">
        <v>161</v>
      </c>
    </row>
    <row r="318">
      <c r="H318" s="252" t="s">
        <v>161</v>
      </c>
    </row>
    <row r="319">
      <c r="H319" s="252" t="s">
        <v>161</v>
      </c>
    </row>
    <row r="320">
      <c r="H320" s="252" t="s">
        <v>161</v>
      </c>
    </row>
    <row r="321">
      <c r="H321" s="252" t="s">
        <v>161</v>
      </c>
    </row>
    <row r="322">
      <c r="H322" s="252" t="s">
        <v>161</v>
      </c>
    </row>
    <row r="323">
      <c r="H323" s="252" t="s">
        <v>161</v>
      </c>
    </row>
    <row r="324">
      <c r="H324" s="252" t="s">
        <v>161</v>
      </c>
    </row>
    <row r="325">
      <c r="H325" s="252" t="s">
        <v>161</v>
      </c>
    </row>
    <row r="326">
      <c r="H326" s="252" t="s">
        <v>161</v>
      </c>
    </row>
    <row r="327">
      <c r="H327" s="252" t="s">
        <v>161</v>
      </c>
    </row>
    <row r="328">
      <c r="H328" s="252" t="s">
        <v>161</v>
      </c>
    </row>
    <row r="329">
      <c r="H329" s="252" t="s">
        <v>161</v>
      </c>
    </row>
    <row r="330">
      <c r="H330" s="252" t="s">
        <v>161</v>
      </c>
    </row>
    <row r="331">
      <c r="H331" s="252" t="s">
        <v>161</v>
      </c>
    </row>
    <row r="332">
      <c r="H332" s="252" t="s">
        <v>161</v>
      </c>
    </row>
    <row r="333">
      <c r="H333" s="252" t="s">
        <v>161</v>
      </c>
    </row>
    <row r="334">
      <c r="H334" s="252" t="s">
        <v>161</v>
      </c>
    </row>
    <row r="335">
      <c r="H335" s="252" t="s">
        <v>161</v>
      </c>
    </row>
    <row r="336">
      <c r="H336" s="252" t="s">
        <v>161</v>
      </c>
    </row>
    <row r="337">
      <c r="H337" s="252" t="s">
        <v>161</v>
      </c>
    </row>
    <row r="338">
      <c r="H338" s="252" t="s">
        <v>161</v>
      </c>
    </row>
    <row r="339">
      <c r="H339" s="252" t="s">
        <v>161</v>
      </c>
    </row>
    <row r="340">
      <c r="H340" s="252" t="s">
        <v>161</v>
      </c>
    </row>
    <row r="341">
      <c r="H341" s="252" t="s">
        <v>161</v>
      </c>
    </row>
    <row r="342">
      <c r="H342" s="252" t="s">
        <v>161</v>
      </c>
    </row>
    <row r="343">
      <c r="H343" s="252" t="s">
        <v>161</v>
      </c>
    </row>
    <row r="344">
      <c r="H344" s="252" t="s">
        <v>161</v>
      </c>
    </row>
    <row r="345">
      <c r="H345" s="252" t="s">
        <v>161</v>
      </c>
    </row>
    <row r="346">
      <c r="H346" s="252" t="s">
        <v>161</v>
      </c>
    </row>
    <row r="347">
      <c r="H347" s="252" t="s">
        <v>161</v>
      </c>
    </row>
    <row r="348">
      <c r="H348" s="252" t="s">
        <v>161</v>
      </c>
    </row>
    <row r="349">
      <c r="H349" s="252" t="s">
        <v>161</v>
      </c>
    </row>
    <row r="350">
      <c r="H350" s="252" t="s">
        <v>161</v>
      </c>
    </row>
    <row r="351">
      <c r="H351" s="252" t="s">
        <v>161</v>
      </c>
    </row>
    <row r="352">
      <c r="H352" s="252" t="s">
        <v>161</v>
      </c>
    </row>
    <row r="353">
      <c r="H353" s="252" t="s">
        <v>161</v>
      </c>
    </row>
    <row r="354">
      <c r="H354" s="252" t="s">
        <v>161</v>
      </c>
    </row>
    <row r="355">
      <c r="H355" s="252" t="s">
        <v>161</v>
      </c>
    </row>
    <row r="356">
      <c r="H356" s="252" t="s">
        <v>161</v>
      </c>
    </row>
    <row r="357">
      <c r="H357" s="252" t="s">
        <v>161</v>
      </c>
    </row>
    <row r="358">
      <c r="H358" s="252" t="s">
        <v>161</v>
      </c>
    </row>
    <row r="359">
      <c r="H359" s="252" t="s">
        <v>161</v>
      </c>
    </row>
    <row r="360">
      <c r="H360" s="252" t="s">
        <v>161</v>
      </c>
    </row>
    <row r="361">
      <c r="H361" s="252" t="s">
        <v>161</v>
      </c>
    </row>
    <row r="362">
      <c r="H362" s="252" t="s">
        <v>161</v>
      </c>
    </row>
    <row r="363">
      <c r="H363" s="252" t="s">
        <v>161</v>
      </c>
    </row>
    <row r="364">
      <c r="H364" s="252" t="s">
        <v>161</v>
      </c>
    </row>
    <row r="365">
      <c r="H365" s="252" t="s">
        <v>161</v>
      </c>
    </row>
    <row r="366">
      <c r="H366" s="252" t="s">
        <v>161</v>
      </c>
    </row>
    <row r="367">
      <c r="H367" s="252" t="s">
        <v>161</v>
      </c>
    </row>
    <row r="368">
      <c r="H368" s="252" t="s">
        <v>161</v>
      </c>
    </row>
    <row r="369">
      <c r="H369" s="252" t="s">
        <v>161</v>
      </c>
    </row>
    <row r="370">
      <c r="H370" s="252" t="s">
        <v>161</v>
      </c>
    </row>
    <row r="371">
      <c r="H371" s="252" t="s">
        <v>161</v>
      </c>
    </row>
    <row r="372">
      <c r="H372" s="252" t="s">
        <v>161</v>
      </c>
    </row>
    <row r="373">
      <c r="H373" s="252" t="s">
        <v>161</v>
      </c>
    </row>
    <row r="374">
      <c r="H374" s="252" t="s">
        <v>161</v>
      </c>
    </row>
    <row r="375">
      <c r="H375" s="252" t="s">
        <v>161</v>
      </c>
    </row>
    <row r="376">
      <c r="H376" s="252" t="s">
        <v>161</v>
      </c>
    </row>
    <row r="377">
      <c r="H377" s="252" t="s">
        <v>161</v>
      </c>
    </row>
    <row r="378">
      <c r="H378" s="252" t="s">
        <v>161</v>
      </c>
    </row>
    <row r="379">
      <c r="H379" s="252" t="s">
        <v>161</v>
      </c>
    </row>
    <row r="380">
      <c r="H380" s="252" t="s">
        <v>161</v>
      </c>
    </row>
    <row r="381">
      <c r="H381" s="252" t="s">
        <v>161</v>
      </c>
    </row>
    <row r="382">
      <c r="H382" s="252" t="s">
        <v>161</v>
      </c>
    </row>
    <row r="383">
      <c r="H383" s="252" t="s">
        <v>161</v>
      </c>
    </row>
    <row r="384">
      <c r="H384" s="252" t="s">
        <v>161</v>
      </c>
    </row>
    <row r="385">
      <c r="H385" s="252" t="s">
        <v>161</v>
      </c>
    </row>
    <row r="386">
      <c r="H386" s="252" t="s">
        <v>161</v>
      </c>
    </row>
    <row r="387">
      <c r="H387" s="252" t="s">
        <v>161</v>
      </c>
    </row>
    <row r="388">
      <c r="H388" s="252" t="s">
        <v>161</v>
      </c>
    </row>
    <row r="389">
      <c r="H389" s="252" t="s">
        <v>161</v>
      </c>
    </row>
    <row r="390">
      <c r="H390" s="252" t="s">
        <v>161</v>
      </c>
    </row>
    <row r="391">
      <c r="H391" s="252" t="s">
        <v>161</v>
      </c>
    </row>
    <row r="392">
      <c r="H392" s="252" t="s">
        <v>161</v>
      </c>
    </row>
    <row r="393">
      <c r="H393" s="252" t="s">
        <v>161</v>
      </c>
    </row>
    <row r="394">
      <c r="H394" s="252" t="s">
        <v>161</v>
      </c>
    </row>
    <row r="395">
      <c r="H395" s="252" t="s">
        <v>161</v>
      </c>
    </row>
    <row r="396">
      <c r="H396" s="252" t="s">
        <v>161</v>
      </c>
    </row>
    <row r="397">
      <c r="H397" s="252" t="s">
        <v>161</v>
      </c>
    </row>
    <row r="398">
      <c r="H398" s="252" t="s">
        <v>161</v>
      </c>
    </row>
    <row r="399">
      <c r="H399" s="252" t="s">
        <v>161</v>
      </c>
    </row>
    <row r="400">
      <c r="H400" s="252" t="s">
        <v>161</v>
      </c>
    </row>
    <row r="401">
      <c r="H401" s="252" t="s">
        <v>161</v>
      </c>
    </row>
    <row r="402">
      <c r="H402" s="252" t="s">
        <v>161</v>
      </c>
    </row>
    <row r="403">
      <c r="H403" s="252" t="s">
        <v>161</v>
      </c>
    </row>
    <row r="404">
      <c r="H404" s="252" t="s">
        <v>161</v>
      </c>
    </row>
    <row r="405">
      <c r="H405" s="252" t="s">
        <v>161</v>
      </c>
    </row>
    <row r="406">
      <c r="H406" s="252" t="s">
        <v>161</v>
      </c>
    </row>
    <row r="407">
      <c r="H407" s="252" t="s">
        <v>161</v>
      </c>
    </row>
    <row r="408">
      <c r="H408" s="252" t="s">
        <v>161</v>
      </c>
    </row>
    <row r="409">
      <c r="H409" s="252" t="s">
        <v>161</v>
      </c>
    </row>
    <row r="410">
      <c r="H410" s="252" t="s">
        <v>161</v>
      </c>
    </row>
    <row r="411">
      <c r="H411" s="252" t="s">
        <v>161</v>
      </c>
    </row>
    <row r="412">
      <c r="H412" s="252" t="s">
        <v>161</v>
      </c>
    </row>
    <row r="413">
      <c r="H413" s="252" t="s">
        <v>161</v>
      </c>
    </row>
    <row r="414">
      <c r="H414" s="252" t="s">
        <v>161</v>
      </c>
    </row>
    <row r="415">
      <c r="H415" s="252" t="s">
        <v>161</v>
      </c>
    </row>
    <row r="416">
      <c r="H416" s="252" t="s">
        <v>161</v>
      </c>
    </row>
    <row r="417">
      <c r="H417" s="252" t="s">
        <v>161</v>
      </c>
    </row>
    <row r="418">
      <c r="H418" s="252" t="s">
        <v>161</v>
      </c>
    </row>
    <row r="419">
      <c r="H419" s="252" t="s">
        <v>161</v>
      </c>
    </row>
    <row r="420">
      <c r="H420" s="252" t="s">
        <v>161</v>
      </c>
    </row>
    <row r="421">
      <c r="H421" s="252" t="s">
        <v>161</v>
      </c>
    </row>
    <row r="422">
      <c r="H422" s="252" t="s">
        <v>161</v>
      </c>
    </row>
    <row r="423">
      <c r="H423" s="252" t="s">
        <v>161</v>
      </c>
    </row>
    <row r="424">
      <c r="H424" s="252" t="s">
        <v>161</v>
      </c>
    </row>
    <row r="425">
      <c r="H425" s="252" t="s">
        <v>161</v>
      </c>
    </row>
    <row r="426">
      <c r="H426" s="252" t="s">
        <v>161</v>
      </c>
    </row>
    <row r="427">
      <c r="H427" s="252" t="s">
        <v>161</v>
      </c>
    </row>
    <row r="428">
      <c r="H428" s="252" t="s">
        <v>161</v>
      </c>
    </row>
    <row r="429">
      <c r="H429" s="252" t="s">
        <v>161</v>
      </c>
    </row>
    <row r="430">
      <c r="H430" s="252" t="s">
        <v>161</v>
      </c>
    </row>
    <row r="431">
      <c r="H431" s="252" t="s">
        <v>161</v>
      </c>
    </row>
    <row r="432">
      <c r="H432" s="252" t="s">
        <v>161</v>
      </c>
    </row>
    <row r="433">
      <c r="H433" s="252" t="s">
        <v>161</v>
      </c>
    </row>
    <row r="434">
      <c r="H434" s="252" t="s">
        <v>161</v>
      </c>
    </row>
    <row r="435">
      <c r="H435" s="252" t="s">
        <v>161</v>
      </c>
    </row>
    <row r="436">
      <c r="H436" s="252" t="s">
        <v>161</v>
      </c>
    </row>
    <row r="437">
      <c r="H437" s="252" t="s">
        <v>161</v>
      </c>
    </row>
    <row r="438">
      <c r="H438" s="252" t="s">
        <v>161</v>
      </c>
    </row>
    <row r="439">
      <c r="H439" s="252" t="s">
        <v>161</v>
      </c>
    </row>
    <row r="440">
      <c r="H440" s="252" t="s">
        <v>161</v>
      </c>
    </row>
    <row r="441">
      <c r="H441" s="252" t="s">
        <v>161</v>
      </c>
    </row>
    <row r="442">
      <c r="H442" s="252" t="s">
        <v>161</v>
      </c>
    </row>
    <row r="443">
      <c r="H443" s="252" t="s">
        <v>161</v>
      </c>
    </row>
    <row r="444">
      <c r="H444" s="252" t="s">
        <v>161</v>
      </c>
    </row>
    <row r="445">
      <c r="H445" s="252" t="s">
        <v>161</v>
      </c>
    </row>
    <row r="446">
      <c r="H446" s="252" t="s">
        <v>161</v>
      </c>
    </row>
    <row r="447">
      <c r="H447" s="252" t="s">
        <v>161</v>
      </c>
    </row>
    <row r="448">
      <c r="H448" s="252" t="s">
        <v>161</v>
      </c>
    </row>
    <row r="449">
      <c r="H449" s="252" t="s">
        <v>161</v>
      </c>
    </row>
    <row r="450">
      <c r="H450" s="252" t="s">
        <v>161</v>
      </c>
    </row>
    <row r="451">
      <c r="H451" s="252" t="s">
        <v>161</v>
      </c>
    </row>
    <row r="452">
      <c r="H452" s="252" t="s">
        <v>161</v>
      </c>
    </row>
    <row r="453">
      <c r="H453" s="252" t="s">
        <v>161</v>
      </c>
    </row>
    <row r="454">
      <c r="H454" s="252" t="s">
        <v>161</v>
      </c>
    </row>
    <row r="455">
      <c r="H455" s="252" t="s">
        <v>161</v>
      </c>
    </row>
    <row r="456">
      <c r="H456" s="252" t="s">
        <v>161</v>
      </c>
    </row>
    <row r="457">
      <c r="H457" s="252" t="s">
        <v>161</v>
      </c>
    </row>
    <row r="458">
      <c r="H458" s="252" t="s">
        <v>161</v>
      </c>
    </row>
    <row r="459">
      <c r="H459" s="252" t="s">
        <v>161</v>
      </c>
    </row>
    <row r="460">
      <c r="H460" s="252" t="s">
        <v>161</v>
      </c>
    </row>
    <row r="461">
      <c r="H461" s="252" t="s">
        <v>161</v>
      </c>
    </row>
    <row r="462">
      <c r="H462" s="252" t="s">
        <v>161</v>
      </c>
    </row>
    <row r="463">
      <c r="H463" s="252" t="s">
        <v>161</v>
      </c>
    </row>
    <row r="464">
      <c r="H464" s="252" t="s">
        <v>161</v>
      </c>
    </row>
    <row r="465">
      <c r="H465" s="252" t="s">
        <v>161</v>
      </c>
    </row>
    <row r="466">
      <c r="H466" s="252" t="s">
        <v>161</v>
      </c>
    </row>
    <row r="467">
      <c r="H467" s="252" t="s">
        <v>161</v>
      </c>
    </row>
    <row r="468">
      <c r="H468" s="252" t="s">
        <v>161</v>
      </c>
    </row>
    <row r="469">
      <c r="H469" s="252" t="s">
        <v>161</v>
      </c>
    </row>
    <row r="470">
      <c r="H470" s="252" t="s">
        <v>161</v>
      </c>
    </row>
    <row r="471">
      <c r="H471" s="252" t="s">
        <v>161</v>
      </c>
    </row>
    <row r="472">
      <c r="H472" s="252" t="s">
        <v>161</v>
      </c>
    </row>
    <row r="473">
      <c r="H473" s="252" t="s">
        <v>161</v>
      </c>
    </row>
    <row r="474">
      <c r="H474" s="252" t="s">
        <v>161</v>
      </c>
    </row>
    <row r="475">
      <c r="H475" s="252" t="s">
        <v>161</v>
      </c>
    </row>
    <row r="476">
      <c r="H476" s="252" t="s">
        <v>161</v>
      </c>
    </row>
    <row r="477">
      <c r="H477" s="252" t="s">
        <v>161</v>
      </c>
    </row>
    <row r="478">
      <c r="H478" s="252" t="s">
        <v>161</v>
      </c>
    </row>
    <row r="479">
      <c r="H479" s="252" t="s">
        <v>161</v>
      </c>
    </row>
    <row r="480">
      <c r="H480" s="252" t="s">
        <v>161</v>
      </c>
    </row>
    <row r="481">
      <c r="H481" s="252" t="s">
        <v>161</v>
      </c>
    </row>
    <row r="482">
      <c r="H482" s="252" t="s">
        <v>161</v>
      </c>
    </row>
    <row r="483">
      <c r="H483" s="252" t="s">
        <v>161</v>
      </c>
    </row>
    <row r="484">
      <c r="H484" s="252" t="s">
        <v>161</v>
      </c>
    </row>
    <row r="485">
      <c r="H485" s="252" t="s">
        <v>161</v>
      </c>
    </row>
    <row r="486">
      <c r="H486" s="252" t="s">
        <v>161</v>
      </c>
    </row>
    <row r="487">
      <c r="H487" s="252" t="s">
        <v>161</v>
      </c>
    </row>
    <row r="488">
      <c r="H488" s="252" t="s">
        <v>161</v>
      </c>
    </row>
    <row r="489">
      <c r="H489" s="252" t="s">
        <v>161</v>
      </c>
    </row>
    <row r="490">
      <c r="H490" s="252" t="s">
        <v>161</v>
      </c>
    </row>
    <row r="491">
      <c r="H491" s="252" t="s">
        <v>161</v>
      </c>
    </row>
    <row r="492">
      <c r="H492" s="252" t="s">
        <v>161</v>
      </c>
    </row>
    <row r="493">
      <c r="H493" s="252" t="s">
        <v>161</v>
      </c>
    </row>
    <row r="494">
      <c r="H494" s="252" t="s">
        <v>161</v>
      </c>
    </row>
    <row r="495">
      <c r="H495" s="252" t="s">
        <v>161</v>
      </c>
    </row>
    <row r="496">
      <c r="H496" s="252" t="s">
        <v>161</v>
      </c>
    </row>
    <row r="497">
      <c r="H497" s="252" t="s">
        <v>161</v>
      </c>
    </row>
    <row r="498">
      <c r="H498" s="252" t="s">
        <v>161</v>
      </c>
    </row>
    <row r="499">
      <c r="H499" s="252" t="s">
        <v>161</v>
      </c>
    </row>
    <row r="500">
      <c r="H500" s="252" t="s">
        <v>161</v>
      </c>
    </row>
    <row r="501">
      <c r="H501" s="252" t="s">
        <v>161</v>
      </c>
    </row>
    <row r="502">
      <c r="H502" s="252" t="s">
        <v>161</v>
      </c>
    </row>
    <row r="503">
      <c r="H503" s="252" t="s">
        <v>161</v>
      </c>
    </row>
    <row r="504">
      <c r="H504" s="252" t="s">
        <v>161</v>
      </c>
    </row>
    <row r="505">
      <c r="H505" s="252" t="s">
        <v>161</v>
      </c>
    </row>
    <row r="506">
      <c r="H506" s="252" t="s">
        <v>161</v>
      </c>
    </row>
    <row r="507">
      <c r="H507" s="252" t="s">
        <v>161</v>
      </c>
    </row>
    <row r="508">
      <c r="H508" s="252" t="s">
        <v>161</v>
      </c>
    </row>
    <row r="509">
      <c r="H509" s="252" t="s">
        <v>161</v>
      </c>
    </row>
    <row r="510">
      <c r="H510" s="252" t="s">
        <v>161</v>
      </c>
    </row>
    <row r="511">
      <c r="H511" s="252" t="s">
        <v>161</v>
      </c>
    </row>
    <row r="512">
      <c r="H512" s="252" t="s">
        <v>161</v>
      </c>
    </row>
    <row r="513">
      <c r="H513" s="252" t="s">
        <v>161</v>
      </c>
    </row>
    <row r="514">
      <c r="H514" s="252" t="s">
        <v>161</v>
      </c>
    </row>
    <row r="515">
      <c r="H515" s="252" t="s">
        <v>161</v>
      </c>
    </row>
    <row r="516">
      <c r="H516" s="252" t="s">
        <v>161</v>
      </c>
    </row>
    <row r="517">
      <c r="H517" s="252" t="s">
        <v>161</v>
      </c>
    </row>
    <row r="518">
      <c r="H518" s="252" t="s">
        <v>161</v>
      </c>
    </row>
    <row r="519">
      <c r="H519" s="252" t="s">
        <v>161</v>
      </c>
    </row>
    <row r="520">
      <c r="H520" s="252" t="s">
        <v>161</v>
      </c>
    </row>
    <row r="521">
      <c r="H521" s="252" t="s">
        <v>161</v>
      </c>
    </row>
    <row r="522">
      <c r="H522" s="252" t="s">
        <v>161</v>
      </c>
    </row>
    <row r="523">
      <c r="H523" s="252" t="s">
        <v>161</v>
      </c>
    </row>
    <row r="524">
      <c r="H524" s="252" t="s">
        <v>161</v>
      </c>
    </row>
    <row r="525">
      <c r="H525" s="252" t="s">
        <v>161</v>
      </c>
    </row>
    <row r="526">
      <c r="H526" s="252" t="s">
        <v>161</v>
      </c>
    </row>
    <row r="527">
      <c r="H527" s="252" t="s">
        <v>161</v>
      </c>
    </row>
    <row r="528">
      <c r="H528" s="252" t="s">
        <v>161</v>
      </c>
    </row>
    <row r="529">
      <c r="H529" s="252" t="s">
        <v>161</v>
      </c>
    </row>
    <row r="530">
      <c r="H530" s="252" t="s">
        <v>161</v>
      </c>
    </row>
    <row r="531">
      <c r="H531" s="252" t="s">
        <v>161</v>
      </c>
    </row>
    <row r="532">
      <c r="H532" s="252" t="s">
        <v>161</v>
      </c>
    </row>
    <row r="533">
      <c r="H533" s="252" t="s">
        <v>161</v>
      </c>
    </row>
    <row r="534">
      <c r="H534" s="252" t="s">
        <v>161</v>
      </c>
    </row>
    <row r="535">
      <c r="H535" s="252" t="s">
        <v>161</v>
      </c>
    </row>
    <row r="536">
      <c r="H536" s="252" t="s">
        <v>161</v>
      </c>
    </row>
    <row r="537">
      <c r="H537" s="252" t="s">
        <v>161</v>
      </c>
    </row>
    <row r="538">
      <c r="H538" s="252" t="s">
        <v>161</v>
      </c>
    </row>
    <row r="539">
      <c r="H539" s="252" t="s">
        <v>161</v>
      </c>
    </row>
    <row r="540">
      <c r="H540" s="252" t="s">
        <v>161</v>
      </c>
    </row>
    <row r="541">
      <c r="H541" s="252" t="s">
        <v>161</v>
      </c>
    </row>
    <row r="542">
      <c r="H542" s="252" t="s">
        <v>161</v>
      </c>
    </row>
    <row r="543">
      <c r="H543" s="252" t="s">
        <v>161</v>
      </c>
    </row>
    <row r="544">
      <c r="H544" s="252" t="s">
        <v>161</v>
      </c>
    </row>
    <row r="545">
      <c r="H545" s="252" t="s">
        <v>161</v>
      </c>
    </row>
    <row r="546">
      <c r="H546" s="252" t="s">
        <v>161</v>
      </c>
    </row>
    <row r="547">
      <c r="H547" s="252" t="s">
        <v>161</v>
      </c>
    </row>
    <row r="548">
      <c r="H548" s="252" t="s">
        <v>161</v>
      </c>
    </row>
    <row r="549">
      <c r="H549" s="252" t="s">
        <v>161</v>
      </c>
    </row>
    <row r="550">
      <c r="H550" s="252" t="s">
        <v>161</v>
      </c>
    </row>
    <row r="551">
      <c r="H551" s="252" t="s">
        <v>161</v>
      </c>
    </row>
    <row r="552">
      <c r="H552" s="252" t="s">
        <v>161</v>
      </c>
    </row>
    <row r="553">
      <c r="H553" s="252" t="s">
        <v>161</v>
      </c>
    </row>
    <row r="554">
      <c r="H554" s="252" t="s">
        <v>161</v>
      </c>
    </row>
    <row r="555">
      <c r="H555" s="252" t="s">
        <v>161</v>
      </c>
    </row>
    <row r="556">
      <c r="H556" s="252" t="s">
        <v>161</v>
      </c>
    </row>
    <row r="557">
      <c r="H557" s="252" t="s">
        <v>161</v>
      </c>
    </row>
    <row r="558">
      <c r="H558" s="252" t="s">
        <v>161</v>
      </c>
    </row>
    <row r="559">
      <c r="H559" s="252" t="s">
        <v>161</v>
      </c>
    </row>
    <row r="560">
      <c r="H560" s="252" t="s">
        <v>161</v>
      </c>
    </row>
    <row r="561">
      <c r="H561" s="252" t="s">
        <v>161</v>
      </c>
    </row>
    <row r="562">
      <c r="H562" s="252" t="s">
        <v>161</v>
      </c>
    </row>
    <row r="563">
      <c r="H563" s="252" t="s">
        <v>161</v>
      </c>
    </row>
    <row r="564">
      <c r="H564" s="252" t="s">
        <v>161</v>
      </c>
    </row>
    <row r="565">
      <c r="H565" s="252" t="s">
        <v>161</v>
      </c>
    </row>
    <row r="566">
      <c r="H566" s="252" t="s">
        <v>161</v>
      </c>
    </row>
    <row r="567">
      <c r="H567" s="252" t="s">
        <v>161</v>
      </c>
    </row>
    <row r="568">
      <c r="H568" s="252" t="s">
        <v>161</v>
      </c>
    </row>
    <row r="569">
      <c r="H569" s="252" t="s">
        <v>161</v>
      </c>
    </row>
    <row r="570">
      <c r="H570" s="252" t="s">
        <v>161</v>
      </c>
    </row>
    <row r="571">
      <c r="H571" s="252" t="s">
        <v>161</v>
      </c>
    </row>
    <row r="572">
      <c r="H572" s="252" t="s">
        <v>161</v>
      </c>
    </row>
    <row r="573">
      <c r="H573" s="252" t="s">
        <v>161</v>
      </c>
    </row>
    <row r="574">
      <c r="H574" s="252" t="s">
        <v>161</v>
      </c>
    </row>
    <row r="575">
      <c r="H575" s="252" t="s">
        <v>161</v>
      </c>
    </row>
    <row r="576">
      <c r="H576" s="252" t="s">
        <v>161</v>
      </c>
    </row>
    <row r="577">
      <c r="H577" s="252" t="s">
        <v>161</v>
      </c>
    </row>
    <row r="578">
      <c r="H578" s="252" t="s">
        <v>161</v>
      </c>
    </row>
    <row r="579">
      <c r="H579" s="252" t="s">
        <v>161</v>
      </c>
    </row>
    <row r="580">
      <c r="H580" s="252" t="s">
        <v>161</v>
      </c>
    </row>
    <row r="581">
      <c r="H581" s="252" t="s">
        <v>161</v>
      </c>
    </row>
    <row r="582">
      <c r="H582" s="252" t="s">
        <v>161</v>
      </c>
    </row>
    <row r="583">
      <c r="H583" s="252" t="s">
        <v>161</v>
      </c>
    </row>
    <row r="584">
      <c r="H584" s="252" t="s">
        <v>161</v>
      </c>
    </row>
    <row r="585">
      <c r="H585" s="252" t="s">
        <v>161</v>
      </c>
    </row>
    <row r="586">
      <c r="H586" s="252" t="s">
        <v>161</v>
      </c>
    </row>
    <row r="587">
      <c r="H587" s="252" t="s">
        <v>161</v>
      </c>
    </row>
    <row r="588">
      <c r="H588" s="252" t="s">
        <v>161</v>
      </c>
    </row>
    <row r="589">
      <c r="H589" s="252" t="s">
        <v>161</v>
      </c>
    </row>
    <row r="590">
      <c r="H590" s="252" t="s">
        <v>161</v>
      </c>
    </row>
    <row r="591">
      <c r="H591" s="252" t="s">
        <v>161</v>
      </c>
    </row>
    <row r="592">
      <c r="H592" s="252" t="s">
        <v>161</v>
      </c>
    </row>
    <row r="593">
      <c r="H593" s="252" t="s">
        <v>161</v>
      </c>
    </row>
    <row r="594">
      <c r="H594" s="252" t="s">
        <v>161</v>
      </c>
    </row>
    <row r="595">
      <c r="H595" s="252" t="s">
        <v>161</v>
      </c>
    </row>
    <row r="596">
      <c r="H596" s="252" t="s">
        <v>161</v>
      </c>
    </row>
    <row r="597">
      <c r="H597" s="252" t="s">
        <v>161</v>
      </c>
    </row>
    <row r="598">
      <c r="H598" s="252" t="s">
        <v>161</v>
      </c>
    </row>
    <row r="599">
      <c r="H599" s="252" t="s">
        <v>161</v>
      </c>
    </row>
    <row r="600">
      <c r="H600" s="252" t="s">
        <v>161</v>
      </c>
    </row>
    <row r="601">
      <c r="H601" s="252" t="s">
        <v>161</v>
      </c>
    </row>
    <row r="602">
      <c r="H602" s="252" t="s">
        <v>161</v>
      </c>
    </row>
    <row r="603">
      <c r="H603" s="252" t="s">
        <v>161</v>
      </c>
    </row>
    <row r="604">
      <c r="H604" s="252" t="s">
        <v>161</v>
      </c>
    </row>
    <row r="605">
      <c r="H605" s="252" t="s">
        <v>161</v>
      </c>
    </row>
    <row r="606">
      <c r="H606" s="252" t="s">
        <v>161</v>
      </c>
    </row>
    <row r="607">
      <c r="H607" s="252" t="s">
        <v>161</v>
      </c>
    </row>
    <row r="608">
      <c r="H608" s="252" t="s">
        <v>161</v>
      </c>
    </row>
    <row r="609">
      <c r="H609" s="252" t="s">
        <v>161</v>
      </c>
    </row>
    <row r="610">
      <c r="H610" s="252" t="s">
        <v>161</v>
      </c>
    </row>
    <row r="611">
      <c r="H611" s="252" t="s">
        <v>161</v>
      </c>
    </row>
    <row r="612">
      <c r="H612" s="252" t="s">
        <v>161</v>
      </c>
    </row>
    <row r="613">
      <c r="H613" s="252" t="s">
        <v>161</v>
      </c>
    </row>
    <row r="614">
      <c r="H614" s="252" t="s">
        <v>161</v>
      </c>
    </row>
    <row r="615">
      <c r="H615" s="252" t="s">
        <v>161</v>
      </c>
    </row>
    <row r="616">
      <c r="H616" s="252" t="s">
        <v>161</v>
      </c>
    </row>
    <row r="617">
      <c r="H617" s="252" t="s">
        <v>161</v>
      </c>
    </row>
    <row r="618">
      <c r="H618" s="252" t="s">
        <v>161</v>
      </c>
    </row>
    <row r="619">
      <c r="H619" s="252" t="s">
        <v>161</v>
      </c>
    </row>
    <row r="620">
      <c r="H620" s="252" t="s">
        <v>161</v>
      </c>
    </row>
    <row r="621">
      <c r="H621" s="252" t="s">
        <v>161</v>
      </c>
    </row>
    <row r="622">
      <c r="H622" s="252" t="s">
        <v>161</v>
      </c>
    </row>
    <row r="623">
      <c r="H623" s="252" t="s">
        <v>161</v>
      </c>
    </row>
    <row r="624">
      <c r="H624" s="252" t="s">
        <v>161</v>
      </c>
    </row>
    <row r="625">
      <c r="H625" s="252" t="s">
        <v>161</v>
      </c>
    </row>
    <row r="626">
      <c r="H626" s="252" t="s">
        <v>161</v>
      </c>
    </row>
    <row r="627">
      <c r="H627" s="252" t="s">
        <v>161</v>
      </c>
    </row>
    <row r="628">
      <c r="H628" s="252" t="s">
        <v>161</v>
      </c>
    </row>
    <row r="629">
      <c r="H629" s="252" t="s">
        <v>161</v>
      </c>
    </row>
    <row r="630">
      <c r="H630" s="252" t="s">
        <v>161</v>
      </c>
    </row>
    <row r="631">
      <c r="H631" s="252" t="s">
        <v>161</v>
      </c>
    </row>
    <row r="632">
      <c r="H632" s="252" t="s">
        <v>161</v>
      </c>
    </row>
    <row r="633">
      <c r="H633" s="252" t="s">
        <v>161</v>
      </c>
    </row>
    <row r="634">
      <c r="H634" s="252" t="s">
        <v>161</v>
      </c>
    </row>
    <row r="635">
      <c r="H635" s="252" t="s">
        <v>161</v>
      </c>
    </row>
    <row r="636">
      <c r="H636" s="252" t="s">
        <v>161</v>
      </c>
    </row>
    <row r="637">
      <c r="H637" s="252" t="s">
        <v>161</v>
      </c>
    </row>
    <row r="638">
      <c r="H638" s="252" t="s">
        <v>161</v>
      </c>
    </row>
    <row r="639">
      <c r="H639" s="252" t="s">
        <v>161</v>
      </c>
    </row>
    <row r="640">
      <c r="H640" s="252" t="s">
        <v>161</v>
      </c>
    </row>
    <row r="641">
      <c r="H641" s="252" t="s">
        <v>161</v>
      </c>
    </row>
    <row r="642">
      <c r="H642" s="252" t="s">
        <v>161</v>
      </c>
    </row>
    <row r="643">
      <c r="H643" s="252" t="s">
        <v>161</v>
      </c>
    </row>
    <row r="644">
      <c r="H644" s="252" t="s">
        <v>161</v>
      </c>
    </row>
    <row r="645">
      <c r="H645" s="252" t="s">
        <v>161</v>
      </c>
    </row>
    <row r="646">
      <c r="H646" s="252" t="s">
        <v>161</v>
      </c>
    </row>
    <row r="647">
      <c r="H647" s="252" t="s">
        <v>161</v>
      </c>
    </row>
    <row r="648">
      <c r="H648" s="252" t="s">
        <v>161</v>
      </c>
    </row>
    <row r="649">
      <c r="H649" s="252" t="s">
        <v>161</v>
      </c>
    </row>
    <row r="650">
      <c r="H650" s="252" t="s">
        <v>161</v>
      </c>
    </row>
    <row r="651">
      <c r="H651" s="252" t="s">
        <v>161</v>
      </c>
    </row>
    <row r="652">
      <c r="H652" s="252" t="s">
        <v>161</v>
      </c>
    </row>
    <row r="653">
      <c r="H653" s="252" t="s">
        <v>161</v>
      </c>
    </row>
    <row r="654">
      <c r="H654" s="252" t="s">
        <v>161</v>
      </c>
    </row>
    <row r="655">
      <c r="H655" s="252" t="s">
        <v>161</v>
      </c>
    </row>
    <row r="656">
      <c r="H656" s="252" t="s">
        <v>161</v>
      </c>
    </row>
    <row r="657">
      <c r="H657" s="252" t="s">
        <v>161</v>
      </c>
    </row>
    <row r="658">
      <c r="H658" s="252" t="s">
        <v>161</v>
      </c>
    </row>
    <row r="659">
      <c r="H659" s="252" t="s">
        <v>161</v>
      </c>
    </row>
    <row r="660">
      <c r="H660" s="252" t="s">
        <v>161</v>
      </c>
    </row>
    <row r="661">
      <c r="H661" s="252" t="s">
        <v>161</v>
      </c>
    </row>
    <row r="662">
      <c r="H662" s="252" t="s">
        <v>161</v>
      </c>
    </row>
    <row r="663">
      <c r="H663" s="252" t="s">
        <v>161</v>
      </c>
    </row>
    <row r="664">
      <c r="H664" s="252" t="s">
        <v>161</v>
      </c>
    </row>
    <row r="665">
      <c r="H665" s="252" t="s">
        <v>161</v>
      </c>
    </row>
    <row r="666">
      <c r="H666" s="252" t="s">
        <v>161</v>
      </c>
    </row>
    <row r="667">
      <c r="H667" s="252" t="s">
        <v>161</v>
      </c>
    </row>
    <row r="668">
      <c r="H668" s="252" t="s">
        <v>161</v>
      </c>
    </row>
    <row r="669">
      <c r="H669" s="252" t="s">
        <v>161</v>
      </c>
    </row>
    <row r="670">
      <c r="H670" s="252" t="s">
        <v>161</v>
      </c>
    </row>
    <row r="671">
      <c r="H671" s="252" t="s">
        <v>161</v>
      </c>
    </row>
    <row r="672">
      <c r="H672" s="252" t="s">
        <v>161</v>
      </c>
    </row>
    <row r="673">
      <c r="H673" s="252" t="s">
        <v>161</v>
      </c>
    </row>
    <row r="674">
      <c r="H674" s="252" t="s">
        <v>161</v>
      </c>
    </row>
    <row r="675">
      <c r="H675" s="252" t="s">
        <v>161</v>
      </c>
    </row>
    <row r="676">
      <c r="H676" s="252" t="s">
        <v>161</v>
      </c>
    </row>
    <row r="677">
      <c r="H677" s="252" t="s">
        <v>161</v>
      </c>
    </row>
    <row r="678">
      <c r="H678" s="252" t="s">
        <v>161</v>
      </c>
    </row>
    <row r="679">
      <c r="H679" s="252" t="s">
        <v>161</v>
      </c>
    </row>
    <row r="680">
      <c r="H680" s="252" t="s">
        <v>161</v>
      </c>
    </row>
    <row r="681">
      <c r="H681" s="252" t="s">
        <v>161</v>
      </c>
    </row>
    <row r="682">
      <c r="H682" s="252" t="s">
        <v>161</v>
      </c>
    </row>
    <row r="683">
      <c r="H683" s="252" t="s">
        <v>161</v>
      </c>
    </row>
    <row r="684">
      <c r="H684" s="252" t="s">
        <v>161</v>
      </c>
    </row>
    <row r="685">
      <c r="H685" s="252" t="s">
        <v>161</v>
      </c>
    </row>
    <row r="686">
      <c r="H686" s="252" t="s">
        <v>161</v>
      </c>
    </row>
    <row r="687">
      <c r="H687" s="252" t="s">
        <v>161</v>
      </c>
    </row>
    <row r="688">
      <c r="H688" s="252" t="s">
        <v>161</v>
      </c>
    </row>
    <row r="689">
      <c r="H689" s="252" t="s">
        <v>161</v>
      </c>
    </row>
    <row r="690">
      <c r="H690" s="252" t="s">
        <v>161</v>
      </c>
    </row>
    <row r="691">
      <c r="H691" s="252" t="s">
        <v>161</v>
      </c>
    </row>
    <row r="692">
      <c r="H692" s="252" t="s">
        <v>161</v>
      </c>
    </row>
    <row r="693">
      <c r="H693" s="252" t="s">
        <v>161</v>
      </c>
    </row>
    <row r="694">
      <c r="H694" s="252" t="s">
        <v>161</v>
      </c>
    </row>
    <row r="695">
      <c r="H695" s="252" t="s">
        <v>161</v>
      </c>
    </row>
    <row r="696">
      <c r="H696" s="252" t="s">
        <v>161</v>
      </c>
    </row>
    <row r="697">
      <c r="H697" s="252" t="s">
        <v>161</v>
      </c>
    </row>
    <row r="698">
      <c r="H698" s="252" t="s">
        <v>161</v>
      </c>
    </row>
    <row r="699">
      <c r="H699" s="252" t="s">
        <v>161</v>
      </c>
    </row>
    <row r="700">
      <c r="H700" s="252" t="s">
        <v>161</v>
      </c>
    </row>
    <row r="701">
      <c r="H701" s="252" t="s">
        <v>161</v>
      </c>
    </row>
    <row r="702">
      <c r="H702" s="252" t="s">
        <v>161</v>
      </c>
    </row>
    <row r="703">
      <c r="H703" s="252" t="s">
        <v>161</v>
      </c>
    </row>
    <row r="704">
      <c r="H704" s="252" t="s">
        <v>161</v>
      </c>
    </row>
    <row r="705">
      <c r="H705" s="252" t="s">
        <v>161</v>
      </c>
    </row>
    <row r="706">
      <c r="H706" s="252" t="s">
        <v>161</v>
      </c>
    </row>
    <row r="707">
      <c r="H707" s="252" t="s">
        <v>161</v>
      </c>
    </row>
    <row r="708">
      <c r="H708" s="252" t="s">
        <v>161</v>
      </c>
    </row>
    <row r="709">
      <c r="H709" s="252" t="s">
        <v>161</v>
      </c>
    </row>
    <row r="710">
      <c r="H710" s="252" t="s">
        <v>161</v>
      </c>
    </row>
    <row r="711">
      <c r="H711" s="252" t="s">
        <v>161</v>
      </c>
    </row>
    <row r="712">
      <c r="H712" s="252" t="s">
        <v>161</v>
      </c>
    </row>
    <row r="713">
      <c r="H713" s="252" t="s">
        <v>161</v>
      </c>
    </row>
    <row r="714">
      <c r="H714" s="252" t="s">
        <v>161</v>
      </c>
    </row>
    <row r="715">
      <c r="H715" s="252" t="s">
        <v>161</v>
      </c>
    </row>
    <row r="716">
      <c r="H716" s="252" t="s">
        <v>161</v>
      </c>
    </row>
    <row r="717">
      <c r="H717" s="252" t="s">
        <v>161</v>
      </c>
    </row>
    <row r="718">
      <c r="H718" s="252" t="s">
        <v>161</v>
      </c>
    </row>
    <row r="719">
      <c r="H719" s="252" t="s">
        <v>161</v>
      </c>
    </row>
    <row r="720">
      <c r="H720" s="252" t="s">
        <v>161</v>
      </c>
    </row>
    <row r="721">
      <c r="H721" s="252" t="s">
        <v>161</v>
      </c>
    </row>
    <row r="722">
      <c r="H722" s="252" t="s">
        <v>161</v>
      </c>
    </row>
    <row r="723">
      <c r="H723" s="252" t="s">
        <v>161</v>
      </c>
    </row>
    <row r="724">
      <c r="H724" s="252" t="s">
        <v>161</v>
      </c>
    </row>
    <row r="725">
      <c r="H725" s="252" t="s">
        <v>161</v>
      </c>
    </row>
    <row r="726">
      <c r="H726" s="252" t="s">
        <v>161</v>
      </c>
    </row>
    <row r="727">
      <c r="H727" s="252" t="s">
        <v>161</v>
      </c>
    </row>
    <row r="728">
      <c r="H728" s="252" t="s">
        <v>161</v>
      </c>
    </row>
    <row r="729">
      <c r="H729" s="252" t="s">
        <v>161</v>
      </c>
    </row>
    <row r="730">
      <c r="H730" s="252" t="s">
        <v>161</v>
      </c>
    </row>
    <row r="731">
      <c r="H731" s="252" t="s">
        <v>161</v>
      </c>
    </row>
    <row r="732">
      <c r="H732" s="252" t="s">
        <v>161</v>
      </c>
    </row>
    <row r="733">
      <c r="H733" s="252" t="s">
        <v>161</v>
      </c>
    </row>
    <row r="734">
      <c r="H734" s="252" t="s">
        <v>161</v>
      </c>
    </row>
    <row r="735">
      <c r="H735" s="252" t="s">
        <v>161</v>
      </c>
    </row>
    <row r="736">
      <c r="H736" s="252" t="s">
        <v>161</v>
      </c>
    </row>
    <row r="737">
      <c r="H737" s="252" t="s">
        <v>161</v>
      </c>
    </row>
    <row r="738">
      <c r="H738" s="252" t="s">
        <v>161</v>
      </c>
    </row>
    <row r="739">
      <c r="H739" s="252" t="s">
        <v>161</v>
      </c>
    </row>
    <row r="740">
      <c r="H740" s="252" t="s">
        <v>161</v>
      </c>
    </row>
    <row r="741">
      <c r="H741" s="252" t="s">
        <v>161</v>
      </c>
    </row>
    <row r="742">
      <c r="H742" s="252" t="s">
        <v>161</v>
      </c>
    </row>
    <row r="743">
      <c r="H743" s="252" t="s">
        <v>161</v>
      </c>
    </row>
    <row r="744">
      <c r="H744" s="252" t="s">
        <v>161</v>
      </c>
    </row>
    <row r="745">
      <c r="H745" s="252" t="s">
        <v>161</v>
      </c>
    </row>
    <row r="746">
      <c r="H746" s="252" t="s">
        <v>161</v>
      </c>
    </row>
    <row r="747">
      <c r="H747" s="252" t="s">
        <v>161</v>
      </c>
    </row>
    <row r="748">
      <c r="H748" s="252" t="s">
        <v>161</v>
      </c>
    </row>
    <row r="749">
      <c r="H749" s="252" t="s">
        <v>161</v>
      </c>
    </row>
    <row r="750">
      <c r="H750" s="252" t="s">
        <v>161</v>
      </c>
    </row>
    <row r="751">
      <c r="H751" s="252" t="s">
        <v>161</v>
      </c>
    </row>
    <row r="752">
      <c r="H752" s="252" t="s">
        <v>161</v>
      </c>
    </row>
    <row r="753">
      <c r="H753" s="252" t="s">
        <v>161</v>
      </c>
    </row>
    <row r="754">
      <c r="H754" s="252" t="s">
        <v>161</v>
      </c>
    </row>
    <row r="755">
      <c r="H755" s="252" t="s">
        <v>161</v>
      </c>
    </row>
    <row r="756">
      <c r="H756" s="252" t="s">
        <v>161</v>
      </c>
    </row>
    <row r="757">
      <c r="H757" s="252" t="s">
        <v>161</v>
      </c>
    </row>
    <row r="758">
      <c r="H758" s="252" t="s">
        <v>161</v>
      </c>
    </row>
    <row r="759">
      <c r="H759" s="252" t="s">
        <v>161</v>
      </c>
    </row>
    <row r="760">
      <c r="H760" s="252" t="s">
        <v>161</v>
      </c>
    </row>
    <row r="761">
      <c r="H761" s="252" t="s">
        <v>161</v>
      </c>
    </row>
    <row r="762">
      <c r="H762" s="252" t="s">
        <v>161</v>
      </c>
    </row>
    <row r="763">
      <c r="H763" s="252" t="s">
        <v>161</v>
      </c>
    </row>
    <row r="764">
      <c r="H764" s="252" t="s">
        <v>161</v>
      </c>
    </row>
    <row r="765">
      <c r="H765" s="252" t="s">
        <v>161</v>
      </c>
    </row>
    <row r="766">
      <c r="H766" s="252" t="s">
        <v>161</v>
      </c>
    </row>
    <row r="767">
      <c r="H767" s="252" t="s">
        <v>161</v>
      </c>
    </row>
    <row r="768">
      <c r="H768" s="252" t="s">
        <v>161</v>
      </c>
    </row>
    <row r="769">
      <c r="H769" s="252" t="s">
        <v>161</v>
      </c>
    </row>
    <row r="770">
      <c r="H770" s="252" t="s">
        <v>161</v>
      </c>
    </row>
    <row r="771">
      <c r="H771" s="252" t="s">
        <v>161</v>
      </c>
    </row>
    <row r="772">
      <c r="H772" s="252" t="s">
        <v>161</v>
      </c>
    </row>
    <row r="773">
      <c r="H773" s="252" t="s">
        <v>161</v>
      </c>
    </row>
    <row r="774">
      <c r="H774" s="252" t="s">
        <v>161</v>
      </c>
    </row>
    <row r="775">
      <c r="H775" s="252" t="s">
        <v>161</v>
      </c>
    </row>
    <row r="776">
      <c r="H776" s="252" t="s">
        <v>161</v>
      </c>
    </row>
    <row r="777">
      <c r="H777" s="252" t="s">
        <v>161</v>
      </c>
    </row>
    <row r="778">
      <c r="H778" s="252" t="s">
        <v>161</v>
      </c>
    </row>
    <row r="779">
      <c r="H779" s="252" t="s">
        <v>161</v>
      </c>
    </row>
    <row r="780">
      <c r="H780" s="252" t="s">
        <v>161</v>
      </c>
    </row>
    <row r="781">
      <c r="H781" s="252" t="s">
        <v>161</v>
      </c>
    </row>
    <row r="782">
      <c r="H782" s="252" t="s">
        <v>161</v>
      </c>
    </row>
    <row r="783">
      <c r="H783" s="252" t="s">
        <v>161</v>
      </c>
    </row>
    <row r="784">
      <c r="H784" s="252" t="s">
        <v>161</v>
      </c>
    </row>
    <row r="785">
      <c r="H785" s="252" t="s">
        <v>161</v>
      </c>
    </row>
    <row r="786">
      <c r="H786" s="252" t="s">
        <v>161</v>
      </c>
    </row>
    <row r="787">
      <c r="H787" s="252" t="s">
        <v>161</v>
      </c>
    </row>
    <row r="788">
      <c r="H788" s="252" t="s">
        <v>161</v>
      </c>
    </row>
    <row r="789">
      <c r="H789" s="252" t="s">
        <v>161</v>
      </c>
    </row>
    <row r="790">
      <c r="H790" s="252" t="s">
        <v>161</v>
      </c>
    </row>
    <row r="791">
      <c r="H791" s="252" t="s">
        <v>161</v>
      </c>
    </row>
    <row r="792">
      <c r="H792" s="252" t="s">
        <v>161</v>
      </c>
    </row>
    <row r="793">
      <c r="H793" s="252" t="s">
        <v>161</v>
      </c>
    </row>
    <row r="794">
      <c r="H794" s="252" t="s">
        <v>161</v>
      </c>
    </row>
    <row r="795">
      <c r="H795" s="252" t="s">
        <v>161</v>
      </c>
    </row>
    <row r="796">
      <c r="H796" s="252" t="s">
        <v>161</v>
      </c>
    </row>
    <row r="797">
      <c r="H797" s="252" t="s">
        <v>161</v>
      </c>
    </row>
    <row r="798">
      <c r="H798" s="252" t="s">
        <v>161</v>
      </c>
    </row>
    <row r="799">
      <c r="H799" s="252" t="s">
        <v>161</v>
      </c>
    </row>
    <row r="800">
      <c r="H800" s="252" t="s">
        <v>161</v>
      </c>
    </row>
    <row r="801">
      <c r="H801" s="252" t="s">
        <v>161</v>
      </c>
    </row>
    <row r="802">
      <c r="H802" s="252" t="s">
        <v>161</v>
      </c>
    </row>
    <row r="803">
      <c r="H803" s="252" t="s">
        <v>161</v>
      </c>
    </row>
    <row r="804">
      <c r="H804" s="252" t="s">
        <v>161</v>
      </c>
    </row>
    <row r="805">
      <c r="H805" s="252" t="s">
        <v>161</v>
      </c>
    </row>
    <row r="806">
      <c r="H806" s="252" t="s">
        <v>161</v>
      </c>
    </row>
    <row r="807">
      <c r="H807" s="252" t="s">
        <v>161</v>
      </c>
    </row>
    <row r="808">
      <c r="H808" s="252" t="s">
        <v>161</v>
      </c>
    </row>
    <row r="809">
      <c r="H809" s="252" t="s">
        <v>161</v>
      </c>
    </row>
    <row r="810">
      <c r="H810" s="252" t="s">
        <v>161</v>
      </c>
    </row>
    <row r="811">
      <c r="H811" s="252" t="s">
        <v>161</v>
      </c>
    </row>
    <row r="812">
      <c r="H812" s="252" t="s">
        <v>161</v>
      </c>
    </row>
    <row r="813">
      <c r="H813" s="252" t="s">
        <v>161</v>
      </c>
    </row>
    <row r="814">
      <c r="H814" s="252" t="s">
        <v>161</v>
      </c>
    </row>
    <row r="815">
      <c r="H815" s="252" t="s">
        <v>161</v>
      </c>
    </row>
    <row r="816">
      <c r="H816" s="252" t="s">
        <v>161</v>
      </c>
    </row>
    <row r="817">
      <c r="H817" s="252" t="s">
        <v>161</v>
      </c>
    </row>
    <row r="818">
      <c r="H818" s="252" t="s">
        <v>161</v>
      </c>
    </row>
    <row r="819">
      <c r="H819" s="252" t="s">
        <v>161</v>
      </c>
    </row>
    <row r="820">
      <c r="H820" s="252" t="s">
        <v>161</v>
      </c>
    </row>
    <row r="821">
      <c r="H821" s="252" t="s">
        <v>161</v>
      </c>
    </row>
    <row r="822">
      <c r="H822" s="252" t="s">
        <v>161</v>
      </c>
    </row>
    <row r="823">
      <c r="H823" s="252" t="s">
        <v>161</v>
      </c>
    </row>
    <row r="824">
      <c r="H824" s="252" t="s">
        <v>161</v>
      </c>
    </row>
    <row r="825">
      <c r="H825" s="252" t="s">
        <v>161</v>
      </c>
    </row>
    <row r="826">
      <c r="H826" s="252" t="s">
        <v>161</v>
      </c>
    </row>
    <row r="827">
      <c r="H827" s="252" t="s">
        <v>161</v>
      </c>
    </row>
    <row r="828">
      <c r="H828" s="252" t="s">
        <v>161</v>
      </c>
    </row>
    <row r="829">
      <c r="H829" s="252" t="s">
        <v>161</v>
      </c>
    </row>
    <row r="830">
      <c r="H830" s="252" t="s">
        <v>161</v>
      </c>
    </row>
    <row r="831">
      <c r="H831" s="252" t="s">
        <v>161</v>
      </c>
    </row>
    <row r="832">
      <c r="H832" s="252" t="s">
        <v>161</v>
      </c>
    </row>
    <row r="833">
      <c r="H833" s="252" t="s">
        <v>161</v>
      </c>
    </row>
    <row r="834">
      <c r="H834" s="252" t="s">
        <v>161</v>
      </c>
    </row>
    <row r="835">
      <c r="H835" s="252" t="s">
        <v>161</v>
      </c>
    </row>
    <row r="836">
      <c r="H836" s="252" t="s">
        <v>161</v>
      </c>
    </row>
    <row r="837">
      <c r="H837" s="252" t="s">
        <v>161</v>
      </c>
    </row>
    <row r="838">
      <c r="H838" s="252" t="s">
        <v>161</v>
      </c>
    </row>
    <row r="839">
      <c r="H839" s="252" t="s">
        <v>161</v>
      </c>
    </row>
    <row r="840">
      <c r="H840" s="252" t="s">
        <v>161</v>
      </c>
    </row>
    <row r="841">
      <c r="H841" s="252" t="s">
        <v>161</v>
      </c>
    </row>
    <row r="842">
      <c r="H842" s="252" t="s">
        <v>161</v>
      </c>
    </row>
    <row r="843">
      <c r="H843" s="252" t="s">
        <v>161</v>
      </c>
    </row>
    <row r="844">
      <c r="H844" s="252" t="s">
        <v>161</v>
      </c>
    </row>
    <row r="845">
      <c r="H845" s="252" t="s">
        <v>161</v>
      </c>
    </row>
    <row r="846">
      <c r="H846" s="252" t="s">
        <v>161</v>
      </c>
    </row>
    <row r="847">
      <c r="H847" s="252" t="s">
        <v>161</v>
      </c>
    </row>
    <row r="848">
      <c r="H848" s="252" t="s">
        <v>161</v>
      </c>
    </row>
    <row r="849">
      <c r="H849" s="252" t="s">
        <v>161</v>
      </c>
    </row>
    <row r="850">
      <c r="H850" s="252" t="s">
        <v>161</v>
      </c>
    </row>
    <row r="851">
      <c r="H851" s="252" t="s">
        <v>161</v>
      </c>
    </row>
    <row r="852">
      <c r="H852" s="252" t="s">
        <v>161</v>
      </c>
    </row>
    <row r="853">
      <c r="H853" s="252" t="s">
        <v>161</v>
      </c>
    </row>
    <row r="854">
      <c r="H854" s="252" t="s">
        <v>161</v>
      </c>
    </row>
    <row r="855">
      <c r="H855" s="252" t="s">
        <v>161</v>
      </c>
    </row>
    <row r="856">
      <c r="H856" s="252" t="s">
        <v>161</v>
      </c>
    </row>
    <row r="857">
      <c r="H857" s="252" t="s">
        <v>161</v>
      </c>
    </row>
    <row r="858">
      <c r="H858" s="252" t="s">
        <v>161</v>
      </c>
    </row>
    <row r="859">
      <c r="H859" s="252" t="s">
        <v>161</v>
      </c>
    </row>
    <row r="860">
      <c r="H860" s="252" t="s">
        <v>161</v>
      </c>
    </row>
    <row r="861">
      <c r="H861" s="252" t="s">
        <v>161</v>
      </c>
    </row>
    <row r="862">
      <c r="H862" s="252" t="s">
        <v>161</v>
      </c>
    </row>
    <row r="863">
      <c r="H863" s="252" t="s">
        <v>161</v>
      </c>
    </row>
    <row r="864">
      <c r="H864" s="252" t="s">
        <v>161</v>
      </c>
    </row>
    <row r="865">
      <c r="H865" s="252" t="s">
        <v>161</v>
      </c>
    </row>
    <row r="866">
      <c r="H866" s="252" t="s">
        <v>161</v>
      </c>
    </row>
    <row r="867">
      <c r="H867" s="252" t="s">
        <v>161</v>
      </c>
    </row>
    <row r="868">
      <c r="H868" s="252" t="s">
        <v>161</v>
      </c>
    </row>
    <row r="869">
      <c r="H869" s="252" t="s">
        <v>161</v>
      </c>
    </row>
    <row r="870">
      <c r="H870" s="252" t="s">
        <v>161</v>
      </c>
    </row>
    <row r="871">
      <c r="H871" s="252" t="s">
        <v>161</v>
      </c>
    </row>
    <row r="872">
      <c r="H872" s="252" t="s">
        <v>161</v>
      </c>
    </row>
    <row r="873">
      <c r="H873" s="252" t="s">
        <v>161</v>
      </c>
    </row>
    <row r="874">
      <c r="H874" s="252" t="s">
        <v>161</v>
      </c>
    </row>
    <row r="875">
      <c r="H875" s="252" t="s">
        <v>161</v>
      </c>
    </row>
    <row r="876">
      <c r="H876" s="252" t="s">
        <v>161</v>
      </c>
    </row>
    <row r="877">
      <c r="H877" s="252" t="s">
        <v>161</v>
      </c>
    </row>
    <row r="878">
      <c r="H878" s="252" t="s">
        <v>161</v>
      </c>
    </row>
    <row r="879">
      <c r="H879" s="252" t="s">
        <v>161</v>
      </c>
    </row>
    <row r="880">
      <c r="H880" s="252" t="s">
        <v>161</v>
      </c>
    </row>
    <row r="881">
      <c r="H881" s="252" t="s">
        <v>161</v>
      </c>
    </row>
    <row r="882">
      <c r="H882" s="252" t="s">
        <v>161</v>
      </c>
    </row>
    <row r="883">
      <c r="H883" s="252" t="s">
        <v>161</v>
      </c>
    </row>
    <row r="884">
      <c r="H884" s="252" t="s">
        <v>161</v>
      </c>
    </row>
    <row r="885">
      <c r="H885" s="252" t="s">
        <v>161</v>
      </c>
    </row>
    <row r="886">
      <c r="H886" s="252" t="s">
        <v>161</v>
      </c>
    </row>
    <row r="887">
      <c r="H887" s="252" t="s">
        <v>161</v>
      </c>
    </row>
    <row r="888">
      <c r="H888" s="252" t="s">
        <v>161</v>
      </c>
    </row>
    <row r="889">
      <c r="H889" s="252" t="s">
        <v>161</v>
      </c>
    </row>
    <row r="890">
      <c r="H890" s="252" t="s">
        <v>161</v>
      </c>
    </row>
    <row r="891">
      <c r="H891" s="252" t="s">
        <v>161</v>
      </c>
    </row>
    <row r="892">
      <c r="H892" s="252" t="s">
        <v>161</v>
      </c>
    </row>
    <row r="893">
      <c r="H893" s="252" t="s">
        <v>161</v>
      </c>
    </row>
    <row r="894">
      <c r="H894" s="252" t="s">
        <v>161</v>
      </c>
    </row>
    <row r="895">
      <c r="H895" s="252" t="s">
        <v>161</v>
      </c>
    </row>
    <row r="896">
      <c r="H896" s="252" t="s">
        <v>161</v>
      </c>
    </row>
    <row r="897">
      <c r="H897" s="252" t="s">
        <v>161</v>
      </c>
    </row>
    <row r="898">
      <c r="H898" s="252" t="s">
        <v>161</v>
      </c>
    </row>
    <row r="899">
      <c r="H899" s="252" t="s">
        <v>161</v>
      </c>
    </row>
    <row r="900">
      <c r="H900" s="252" t="s">
        <v>161</v>
      </c>
    </row>
    <row r="901">
      <c r="H901" s="252" t="s">
        <v>161</v>
      </c>
    </row>
    <row r="902">
      <c r="H902" s="252" t="s">
        <v>161</v>
      </c>
    </row>
    <row r="903">
      <c r="H903" s="252" t="s">
        <v>161</v>
      </c>
    </row>
    <row r="904">
      <c r="H904" s="252" t="s">
        <v>161</v>
      </c>
    </row>
    <row r="905">
      <c r="H905" s="252" t="s">
        <v>161</v>
      </c>
    </row>
    <row r="906">
      <c r="H906" s="252" t="s">
        <v>161</v>
      </c>
    </row>
    <row r="907">
      <c r="H907" s="252" t="s">
        <v>161</v>
      </c>
    </row>
    <row r="908">
      <c r="H908" s="252" t="s">
        <v>161</v>
      </c>
    </row>
    <row r="909">
      <c r="H909" s="252" t="s">
        <v>161</v>
      </c>
    </row>
    <row r="910">
      <c r="H910" s="252" t="s">
        <v>161</v>
      </c>
    </row>
    <row r="911">
      <c r="H911" s="252" t="s">
        <v>161</v>
      </c>
    </row>
    <row r="912">
      <c r="H912" s="252" t="s">
        <v>161</v>
      </c>
    </row>
    <row r="913">
      <c r="H913" s="252" t="s">
        <v>161</v>
      </c>
    </row>
    <row r="914">
      <c r="H914" s="252" t="s">
        <v>161</v>
      </c>
    </row>
    <row r="915">
      <c r="H915" s="252" t="s">
        <v>161</v>
      </c>
    </row>
    <row r="916">
      <c r="H916" s="252" t="s">
        <v>161</v>
      </c>
    </row>
    <row r="917">
      <c r="H917" s="252" t="s">
        <v>161</v>
      </c>
    </row>
    <row r="918">
      <c r="H918" s="252" t="s">
        <v>161</v>
      </c>
    </row>
    <row r="919">
      <c r="H919" s="252" t="s">
        <v>161</v>
      </c>
    </row>
    <row r="920">
      <c r="H920" s="252" t="s">
        <v>161</v>
      </c>
    </row>
    <row r="921">
      <c r="H921" s="252" t="s">
        <v>161</v>
      </c>
    </row>
    <row r="922">
      <c r="H922" s="252" t="s">
        <v>161</v>
      </c>
    </row>
    <row r="923">
      <c r="H923" s="252" t="s">
        <v>161</v>
      </c>
    </row>
    <row r="924">
      <c r="H924" s="252" t="s">
        <v>161</v>
      </c>
    </row>
    <row r="925">
      <c r="H925" s="252" t="s">
        <v>161</v>
      </c>
    </row>
    <row r="926">
      <c r="H926" s="252" t="s">
        <v>161</v>
      </c>
    </row>
    <row r="927">
      <c r="H927" s="252" t="s">
        <v>161</v>
      </c>
    </row>
    <row r="928">
      <c r="H928" s="252" t="s">
        <v>161</v>
      </c>
    </row>
    <row r="929">
      <c r="H929" s="252" t="s">
        <v>161</v>
      </c>
    </row>
    <row r="930">
      <c r="H930" s="252" t="s">
        <v>161</v>
      </c>
    </row>
    <row r="931">
      <c r="H931" s="252" t="s">
        <v>161</v>
      </c>
    </row>
    <row r="932">
      <c r="H932" s="252" t="s">
        <v>161</v>
      </c>
    </row>
    <row r="933">
      <c r="H933" s="252" t="s">
        <v>161</v>
      </c>
    </row>
    <row r="934">
      <c r="H934" s="252" t="s">
        <v>161</v>
      </c>
    </row>
    <row r="935">
      <c r="H935" s="252" t="s">
        <v>161</v>
      </c>
    </row>
    <row r="936">
      <c r="H936" s="252" t="s">
        <v>161</v>
      </c>
    </row>
    <row r="937">
      <c r="H937" s="252" t="s">
        <v>161</v>
      </c>
    </row>
    <row r="938">
      <c r="H938" s="252" t="s">
        <v>161</v>
      </c>
    </row>
    <row r="939">
      <c r="H939" s="252" t="s">
        <v>161</v>
      </c>
    </row>
    <row r="940">
      <c r="H940" s="252" t="s">
        <v>161</v>
      </c>
    </row>
    <row r="941">
      <c r="H941" s="252" t="s">
        <v>161</v>
      </c>
    </row>
    <row r="942">
      <c r="H942" s="252" t="s">
        <v>161</v>
      </c>
    </row>
    <row r="943">
      <c r="H943" s="252" t="s">
        <v>161</v>
      </c>
    </row>
    <row r="944">
      <c r="H944" s="252" t="s">
        <v>161</v>
      </c>
    </row>
    <row r="945">
      <c r="H945" s="252" t="s">
        <v>161</v>
      </c>
    </row>
    <row r="946">
      <c r="H946" s="252" t="s">
        <v>161</v>
      </c>
    </row>
    <row r="947">
      <c r="H947" s="252" t="s">
        <v>161</v>
      </c>
    </row>
    <row r="948">
      <c r="H948" s="252" t="s">
        <v>161</v>
      </c>
    </row>
    <row r="949">
      <c r="H949" s="252" t="s">
        <v>161</v>
      </c>
    </row>
    <row r="950">
      <c r="H950" s="252" t="s">
        <v>161</v>
      </c>
    </row>
    <row r="951">
      <c r="H951" s="252" t="s">
        <v>161</v>
      </c>
    </row>
    <row r="952">
      <c r="H952" s="252" t="s">
        <v>161</v>
      </c>
    </row>
    <row r="953">
      <c r="H953" s="252" t="s">
        <v>161</v>
      </c>
    </row>
    <row r="954">
      <c r="H954" s="252" t="s">
        <v>161</v>
      </c>
    </row>
    <row r="955">
      <c r="H955" s="252" t="s">
        <v>161</v>
      </c>
    </row>
    <row r="956">
      <c r="H956" s="252" t="s">
        <v>161</v>
      </c>
    </row>
    <row r="957">
      <c r="H957" s="252" t="s">
        <v>161</v>
      </c>
    </row>
    <row r="958">
      <c r="H958" s="252" t="s">
        <v>161</v>
      </c>
    </row>
    <row r="959">
      <c r="H959" s="252" t="s">
        <v>161</v>
      </c>
    </row>
    <row r="960">
      <c r="H960" s="252" t="s">
        <v>161</v>
      </c>
    </row>
    <row r="961">
      <c r="H961" s="252" t="s">
        <v>161</v>
      </c>
    </row>
    <row r="962">
      <c r="H962" s="252" t="s">
        <v>161</v>
      </c>
    </row>
    <row r="963">
      <c r="H963" s="252" t="s">
        <v>161</v>
      </c>
    </row>
    <row r="964">
      <c r="H964" s="252" t="s">
        <v>161</v>
      </c>
    </row>
    <row r="965">
      <c r="H965" s="252" t="s">
        <v>161</v>
      </c>
    </row>
    <row r="966">
      <c r="H966" s="252" t="s">
        <v>161</v>
      </c>
    </row>
    <row r="967">
      <c r="H967" s="252" t="s">
        <v>161</v>
      </c>
    </row>
    <row r="968">
      <c r="H968" s="252" t="s">
        <v>161</v>
      </c>
    </row>
    <row r="969">
      <c r="H969" s="252" t="s">
        <v>161</v>
      </c>
    </row>
    <row r="970">
      <c r="H970" s="252" t="s">
        <v>161</v>
      </c>
    </row>
    <row r="971">
      <c r="H971" s="252" t="s">
        <v>161</v>
      </c>
    </row>
    <row r="972">
      <c r="H972" s="252" t="s">
        <v>161</v>
      </c>
    </row>
    <row r="973">
      <c r="H973" s="252" t="s">
        <v>161</v>
      </c>
    </row>
    <row r="974">
      <c r="H974" s="252" t="s">
        <v>161</v>
      </c>
    </row>
    <row r="975">
      <c r="H975" s="252" t="s">
        <v>161</v>
      </c>
    </row>
    <row r="976">
      <c r="H976" s="252" t="s">
        <v>161</v>
      </c>
    </row>
    <row r="977">
      <c r="H977" s="252" t="s">
        <v>161</v>
      </c>
    </row>
    <row r="978">
      <c r="H978" s="252" t="s">
        <v>161</v>
      </c>
    </row>
    <row r="979">
      <c r="H979" s="252" t="s">
        <v>161</v>
      </c>
    </row>
    <row r="980">
      <c r="H980" s="252" t="s">
        <v>161</v>
      </c>
    </row>
    <row r="981">
      <c r="H981" s="252" t="s">
        <v>161</v>
      </c>
    </row>
    <row r="982">
      <c r="H982" s="252" t="s">
        <v>161</v>
      </c>
    </row>
    <row r="983">
      <c r="H983" s="252" t="s">
        <v>161</v>
      </c>
    </row>
    <row r="984">
      <c r="H984" s="252" t="s">
        <v>161</v>
      </c>
    </row>
    <row r="985">
      <c r="H985" s="252" t="s">
        <v>161</v>
      </c>
    </row>
    <row r="986">
      <c r="H986" s="252" t="s">
        <v>161</v>
      </c>
    </row>
    <row r="987">
      <c r="H987" s="252" t="s">
        <v>161</v>
      </c>
    </row>
    <row r="988">
      <c r="H988" s="252" t="s">
        <v>161</v>
      </c>
    </row>
    <row r="989">
      <c r="H989" s="252" t="s">
        <v>161</v>
      </c>
    </row>
    <row r="990">
      <c r="H990" s="252" t="s">
        <v>161</v>
      </c>
    </row>
    <row r="991">
      <c r="H991" s="252" t="s">
        <v>161</v>
      </c>
    </row>
    <row r="992">
      <c r="H992" s="252" t="s">
        <v>161</v>
      </c>
    </row>
    <row r="993">
      <c r="H993" s="252" t="s">
        <v>161</v>
      </c>
    </row>
    <row r="994">
      <c r="H994" s="252" t="s">
        <v>161</v>
      </c>
    </row>
    <row r="995">
      <c r="H995" s="252" t="s">
        <v>161</v>
      </c>
    </row>
    <row r="996">
      <c r="H996" s="252" t="s">
        <v>161</v>
      </c>
    </row>
    <row r="997">
      <c r="H997" s="252" t="s">
        <v>161</v>
      </c>
    </row>
    <row r="998">
      <c r="H998" s="252" t="s">
        <v>161</v>
      </c>
    </row>
    <row r="999">
      <c r="H999" s="252" t="s">
        <v>161</v>
      </c>
    </row>
    <row r="1000">
      <c r="H1000" s="252" t="s">
        <v>161</v>
      </c>
    </row>
  </sheetData>
  <autoFilter ref="$A$2:$T$26"/>
  <mergeCells count="3">
    <mergeCell ref="I1:L1"/>
    <mergeCell ref="M1:P1"/>
    <mergeCell ref="Q1:T1"/>
  </mergeCells>
  <conditionalFormatting sqref="L5 L8:L23 L25:L26">
    <cfRule type="cellIs" dxfId="1" priority="1" operator="lessThan">
      <formula>0</formula>
    </cfRule>
  </conditionalFormatting>
  <conditionalFormatting sqref="P5:P23 P25:P30">
    <cfRule type="cellIs" dxfId="0" priority="2" operator="lessThan">
      <formula>0</formula>
    </cfRule>
  </conditionalFormatting>
  <conditionalFormatting sqref="T5:T27">
    <cfRule type="cellIs" dxfId="0" priority="3" operator="lessThan">
      <formula>0</formula>
    </cfRule>
  </conditionalFormatting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3.0"/>
    <col customWidth="1" min="3" max="3" width="14.5"/>
    <col customWidth="1" min="6" max="6" width="18.0"/>
    <col customWidth="1" min="7" max="7" width="8.38"/>
  </cols>
  <sheetData>
    <row r="1">
      <c r="A1" s="594">
        <v>4.0</v>
      </c>
      <c r="B1" s="595">
        <v>45824.73678238426</v>
      </c>
      <c r="C1" s="596"/>
      <c r="D1" s="596"/>
      <c r="E1" s="596"/>
      <c r="F1" s="594"/>
      <c r="G1" s="596"/>
      <c r="H1" s="596"/>
      <c r="I1" s="597" t="s">
        <v>0</v>
      </c>
      <c r="J1" s="598"/>
      <c r="K1" s="598"/>
      <c r="L1" s="599"/>
      <c r="M1" s="600" t="s">
        <v>348</v>
      </c>
      <c r="Q1" s="600" t="s">
        <v>349</v>
      </c>
      <c r="U1" s="600" t="s">
        <v>429</v>
      </c>
    </row>
    <row r="2">
      <c r="A2" s="557" t="s">
        <v>4</v>
      </c>
      <c r="B2" s="557" t="s">
        <v>351</v>
      </c>
      <c r="C2" s="557" t="s">
        <v>6</v>
      </c>
      <c r="D2" s="557" t="s">
        <v>171</v>
      </c>
      <c r="E2" s="557" t="s">
        <v>170</v>
      </c>
      <c r="F2" s="559" t="s">
        <v>7</v>
      </c>
      <c r="G2" s="13" t="s">
        <v>8</v>
      </c>
      <c r="H2" s="601" t="s">
        <v>9</v>
      </c>
      <c r="I2" s="602" t="s">
        <v>174</v>
      </c>
      <c r="J2" s="603" t="s">
        <v>14</v>
      </c>
      <c r="K2" s="603" t="s">
        <v>492</v>
      </c>
      <c r="L2" s="604" t="s">
        <v>16</v>
      </c>
      <c r="M2" s="605" t="s">
        <v>174</v>
      </c>
      <c r="N2" s="606" t="s">
        <v>14</v>
      </c>
      <c r="O2" s="606" t="s">
        <v>492</v>
      </c>
      <c r="P2" s="273"/>
      <c r="Q2" s="605" t="s">
        <v>174</v>
      </c>
      <c r="R2" s="607" t="s">
        <v>14</v>
      </c>
      <c r="S2" s="607" t="s">
        <v>15</v>
      </c>
      <c r="T2" s="273"/>
      <c r="U2" s="605" t="s">
        <v>174</v>
      </c>
      <c r="V2" s="608" t="s">
        <v>14</v>
      </c>
      <c r="W2" s="608" t="s">
        <v>15</v>
      </c>
      <c r="X2" s="273"/>
      <c r="Z2" s="25" t="s">
        <v>18</v>
      </c>
    </row>
    <row r="3">
      <c r="A3" s="609" t="s">
        <v>493</v>
      </c>
      <c r="B3" s="609" t="s">
        <v>494</v>
      </c>
      <c r="C3" s="609" t="s">
        <v>372</v>
      </c>
      <c r="D3" s="609" t="s">
        <v>495</v>
      </c>
      <c r="E3" s="610"/>
      <c r="F3" s="611" t="s">
        <v>22</v>
      </c>
      <c r="G3" s="611"/>
      <c r="H3" s="612">
        <f t="array" ref="H3:H1000">IF(A3:A1000="", "", 
  IF(G3:G1000="KM", 
    IFERROR(VLOOKUP(A3:A1000, DATA_LIMPIA!A:C, 3, FALSE), "Sin Datos"), 
    IFERROR(VLOOKUP(A3:A1000, DATA_LIMPIA!A:C, 2, FALSE), "Sin Datos")
  )
)</f>
        <v>1753</v>
      </c>
      <c r="I3" s="613">
        <v>45066.0</v>
      </c>
      <c r="J3" s="454">
        <v>1668.0</v>
      </c>
      <c r="K3" s="454">
        <f t="shared" ref="K3:K5" si="1">J3+350</f>
        <v>2018</v>
      </c>
      <c r="L3" s="476">
        <f t="shared" ref="L3:L5" si="2">K3-H3</f>
        <v>265</v>
      </c>
      <c r="M3" s="323"/>
      <c r="N3" s="458">
        <v>10737.0</v>
      </c>
      <c r="O3" s="302"/>
      <c r="P3" s="582">
        <f t="shared" ref="P3:P5" si="3">O3-H3</f>
        <v>-1753</v>
      </c>
      <c r="Q3" s="323"/>
      <c r="R3" s="462">
        <v>10737.0</v>
      </c>
      <c r="S3" s="305"/>
      <c r="T3" s="582">
        <f t="shared" ref="T3:T5" si="4">S3-H3</f>
        <v>-1753</v>
      </c>
      <c r="U3" s="323"/>
      <c r="V3" s="465">
        <v>10737.0</v>
      </c>
      <c r="W3" s="498"/>
      <c r="X3" s="582">
        <f t="shared" ref="X3:X5" si="5">W3-H3</f>
        <v>-1753</v>
      </c>
      <c r="Z3" s="25" t="s">
        <v>23</v>
      </c>
    </row>
    <row r="4">
      <c r="A4" s="614" t="s">
        <v>496</v>
      </c>
      <c r="B4" s="614" t="s">
        <v>494</v>
      </c>
      <c r="C4" s="614" t="s">
        <v>411</v>
      </c>
      <c r="D4" s="614" t="s">
        <v>497</v>
      </c>
      <c r="E4" s="615" t="s">
        <v>498</v>
      </c>
      <c r="F4" s="616" t="s">
        <v>499</v>
      </c>
      <c r="G4" s="616" t="s">
        <v>96</v>
      </c>
      <c r="H4" s="617">
        <v>12396.0</v>
      </c>
      <c r="I4" s="613">
        <v>45400.0</v>
      </c>
      <c r="J4" s="454">
        <v>12132.0</v>
      </c>
      <c r="K4" s="454">
        <f t="shared" si="1"/>
        <v>12482</v>
      </c>
      <c r="L4" s="476">
        <f t="shared" si="2"/>
        <v>86</v>
      </c>
      <c r="M4" s="323"/>
      <c r="N4" s="302"/>
      <c r="O4" s="302"/>
      <c r="P4" s="582">
        <f t="shared" si="3"/>
        <v>-12396</v>
      </c>
      <c r="Q4" s="323"/>
      <c r="R4" s="305"/>
      <c r="S4" s="305"/>
      <c r="T4" s="582">
        <f t="shared" si="4"/>
        <v>-12396</v>
      </c>
      <c r="U4" s="323"/>
      <c r="V4" s="498"/>
      <c r="W4" s="498"/>
      <c r="X4" s="582">
        <f t="shared" si="5"/>
        <v>-12396</v>
      </c>
    </row>
    <row r="5">
      <c r="A5" s="587" t="s">
        <v>500</v>
      </c>
      <c r="B5" s="586" t="s">
        <v>494</v>
      </c>
      <c r="C5" s="586" t="s">
        <v>372</v>
      </c>
      <c r="D5" s="586" t="s">
        <v>501</v>
      </c>
      <c r="E5" s="550" t="s">
        <v>502</v>
      </c>
      <c r="F5" s="278" t="s">
        <v>146</v>
      </c>
      <c r="G5" s="278" t="s">
        <v>96</v>
      </c>
      <c r="H5" s="479">
        <v>11740.0</v>
      </c>
      <c r="I5" s="618">
        <v>46007.0</v>
      </c>
      <c r="J5" s="500">
        <v>11361.0</v>
      </c>
      <c r="K5" s="501">
        <f t="shared" si="1"/>
        <v>11711</v>
      </c>
      <c r="L5" s="619">
        <f t="shared" si="2"/>
        <v>-29</v>
      </c>
      <c r="M5" s="620">
        <v>45817.0</v>
      </c>
      <c r="N5" s="554">
        <v>10600.0</v>
      </c>
      <c r="O5" s="591">
        <f>N5+2000</f>
        <v>12600</v>
      </c>
      <c r="P5" s="621">
        <f t="shared" si="3"/>
        <v>860</v>
      </c>
      <c r="Q5" s="620">
        <v>45817.0</v>
      </c>
      <c r="R5" s="622">
        <v>10600.0</v>
      </c>
      <c r="S5" s="593">
        <f>R5+2000</f>
        <v>12600</v>
      </c>
      <c r="T5" s="621">
        <f t="shared" si="4"/>
        <v>860</v>
      </c>
      <c r="U5" s="620">
        <v>45817.0</v>
      </c>
      <c r="V5" s="623">
        <v>10600.0</v>
      </c>
      <c r="W5" s="624">
        <f>V5+2000</f>
        <v>12600</v>
      </c>
      <c r="X5" s="477">
        <f t="shared" si="5"/>
        <v>860</v>
      </c>
    </row>
    <row r="6">
      <c r="H6" s="252" t="s">
        <v>161</v>
      </c>
    </row>
    <row r="7">
      <c r="H7" s="252" t="s">
        <v>161</v>
      </c>
    </row>
    <row r="8">
      <c r="H8" s="252" t="s">
        <v>161</v>
      </c>
    </row>
    <row r="9">
      <c r="H9" s="252" t="s">
        <v>161</v>
      </c>
    </row>
    <row r="10">
      <c r="H10" s="252" t="s">
        <v>161</v>
      </c>
    </row>
    <row r="11">
      <c r="H11" s="252" t="s">
        <v>161</v>
      </c>
    </row>
    <row r="12">
      <c r="H12" s="252" t="s">
        <v>161</v>
      </c>
    </row>
    <row r="13">
      <c r="H13" s="252" t="s">
        <v>161</v>
      </c>
    </row>
    <row r="14">
      <c r="H14" s="252" t="s">
        <v>161</v>
      </c>
    </row>
    <row r="15">
      <c r="H15" s="252" t="s">
        <v>161</v>
      </c>
    </row>
    <row r="16">
      <c r="H16" s="252" t="s">
        <v>161</v>
      </c>
    </row>
    <row r="17">
      <c r="H17" s="252" t="s">
        <v>161</v>
      </c>
    </row>
    <row r="18">
      <c r="H18" s="252" t="s">
        <v>161</v>
      </c>
    </row>
    <row r="19">
      <c r="H19" s="252" t="s">
        <v>161</v>
      </c>
    </row>
    <row r="20">
      <c r="H20" s="252" t="s">
        <v>161</v>
      </c>
    </row>
    <row r="21">
      <c r="H21" s="252" t="s">
        <v>161</v>
      </c>
    </row>
    <row r="22">
      <c r="H22" s="252" t="s">
        <v>161</v>
      </c>
    </row>
    <row r="23">
      <c r="H23" s="252" t="s">
        <v>161</v>
      </c>
    </row>
    <row r="24">
      <c r="H24" s="252" t="s">
        <v>161</v>
      </c>
    </row>
    <row r="25">
      <c r="H25" s="252" t="s">
        <v>161</v>
      </c>
    </row>
    <row r="26">
      <c r="H26" s="252" t="s">
        <v>161</v>
      </c>
    </row>
    <row r="27">
      <c r="H27" s="252" t="s">
        <v>161</v>
      </c>
    </row>
    <row r="28">
      <c r="H28" s="252" t="s">
        <v>161</v>
      </c>
    </row>
    <row r="29">
      <c r="H29" s="252" t="s">
        <v>161</v>
      </c>
    </row>
    <row r="30">
      <c r="H30" s="252" t="s">
        <v>161</v>
      </c>
    </row>
    <row r="31">
      <c r="H31" s="252" t="s">
        <v>161</v>
      </c>
    </row>
    <row r="32">
      <c r="H32" s="252" t="s">
        <v>161</v>
      </c>
    </row>
    <row r="33">
      <c r="H33" s="252" t="s">
        <v>161</v>
      </c>
    </row>
    <row r="34">
      <c r="H34" s="252" t="s">
        <v>161</v>
      </c>
    </row>
    <row r="35">
      <c r="H35" s="252" t="s">
        <v>161</v>
      </c>
    </row>
    <row r="36">
      <c r="H36" s="252" t="s">
        <v>161</v>
      </c>
    </row>
    <row r="37">
      <c r="H37" s="252" t="s">
        <v>161</v>
      </c>
    </row>
    <row r="38">
      <c r="H38" s="252" t="s">
        <v>161</v>
      </c>
    </row>
    <row r="39">
      <c r="H39" s="252" t="s">
        <v>161</v>
      </c>
    </row>
    <row r="40">
      <c r="H40" s="252" t="s">
        <v>161</v>
      </c>
    </row>
    <row r="41">
      <c r="H41" s="252" t="s">
        <v>161</v>
      </c>
    </row>
    <row r="42">
      <c r="H42" s="252" t="s">
        <v>161</v>
      </c>
    </row>
    <row r="43">
      <c r="H43" s="252" t="s">
        <v>161</v>
      </c>
    </row>
    <row r="44">
      <c r="H44" s="252" t="s">
        <v>161</v>
      </c>
    </row>
    <row r="45">
      <c r="H45" s="252" t="s">
        <v>161</v>
      </c>
    </row>
    <row r="46">
      <c r="H46" s="252" t="s">
        <v>161</v>
      </c>
    </row>
    <row r="47">
      <c r="H47" s="252" t="s">
        <v>161</v>
      </c>
    </row>
    <row r="48">
      <c r="H48" s="252" t="s">
        <v>161</v>
      </c>
    </row>
    <row r="49">
      <c r="H49" s="252" t="s">
        <v>161</v>
      </c>
    </row>
    <row r="50">
      <c r="H50" s="252" t="s">
        <v>161</v>
      </c>
    </row>
    <row r="51">
      <c r="H51" s="252" t="s">
        <v>161</v>
      </c>
    </row>
    <row r="52">
      <c r="H52" s="252" t="s">
        <v>161</v>
      </c>
    </row>
    <row r="53">
      <c r="H53" s="252" t="s">
        <v>161</v>
      </c>
    </row>
    <row r="54">
      <c r="H54" s="252" t="s">
        <v>161</v>
      </c>
    </row>
    <row r="55">
      <c r="H55" s="252" t="s">
        <v>161</v>
      </c>
    </row>
    <row r="56">
      <c r="H56" s="252" t="s">
        <v>161</v>
      </c>
    </row>
    <row r="57">
      <c r="H57" s="252" t="s">
        <v>161</v>
      </c>
    </row>
    <row r="58">
      <c r="H58" s="252" t="s">
        <v>161</v>
      </c>
    </row>
    <row r="59">
      <c r="H59" s="252" t="s">
        <v>161</v>
      </c>
    </row>
    <row r="60">
      <c r="H60" s="252" t="s">
        <v>161</v>
      </c>
    </row>
    <row r="61">
      <c r="H61" s="252" t="s">
        <v>161</v>
      </c>
    </row>
    <row r="62">
      <c r="H62" s="252" t="s">
        <v>161</v>
      </c>
    </row>
    <row r="63">
      <c r="H63" s="252" t="s">
        <v>161</v>
      </c>
    </row>
    <row r="64">
      <c r="H64" s="252" t="s">
        <v>161</v>
      </c>
    </row>
    <row r="65">
      <c r="H65" s="252" t="s">
        <v>161</v>
      </c>
    </row>
    <row r="66">
      <c r="H66" s="252" t="s">
        <v>161</v>
      </c>
    </row>
    <row r="67">
      <c r="H67" s="252" t="s">
        <v>161</v>
      </c>
    </row>
    <row r="68">
      <c r="H68" s="252" t="s">
        <v>161</v>
      </c>
    </row>
    <row r="69">
      <c r="H69" s="252" t="s">
        <v>161</v>
      </c>
    </row>
    <row r="70">
      <c r="H70" s="252" t="s">
        <v>161</v>
      </c>
    </row>
    <row r="71">
      <c r="H71" s="252" t="s">
        <v>161</v>
      </c>
    </row>
    <row r="72">
      <c r="H72" s="252" t="s">
        <v>161</v>
      </c>
    </row>
    <row r="73">
      <c r="H73" s="252" t="s">
        <v>161</v>
      </c>
    </row>
    <row r="74">
      <c r="H74" s="252" t="s">
        <v>161</v>
      </c>
    </row>
    <row r="75">
      <c r="H75" s="252" t="s">
        <v>161</v>
      </c>
    </row>
    <row r="76">
      <c r="H76" s="252" t="s">
        <v>161</v>
      </c>
    </row>
    <row r="77">
      <c r="H77" s="252" t="s">
        <v>161</v>
      </c>
    </row>
    <row r="78">
      <c r="H78" s="252" t="s">
        <v>161</v>
      </c>
    </row>
    <row r="79">
      <c r="H79" s="252" t="s">
        <v>161</v>
      </c>
    </row>
    <row r="80">
      <c r="H80" s="252" t="s">
        <v>161</v>
      </c>
    </row>
    <row r="81">
      <c r="H81" s="252" t="s">
        <v>161</v>
      </c>
    </row>
    <row r="82">
      <c r="H82" s="252" t="s">
        <v>161</v>
      </c>
    </row>
    <row r="83">
      <c r="H83" s="252" t="s">
        <v>161</v>
      </c>
    </row>
    <row r="84">
      <c r="H84" s="252" t="s">
        <v>161</v>
      </c>
    </row>
    <row r="85">
      <c r="H85" s="252" t="s">
        <v>161</v>
      </c>
    </row>
    <row r="86">
      <c r="H86" s="252" t="s">
        <v>161</v>
      </c>
    </row>
    <row r="87">
      <c r="H87" s="252" t="s">
        <v>161</v>
      </c>
    </row>
    <row r="88">
      <c r="H88" s="252" t="s">
        <v>161</v>
      </c>
    </row>
    <row r="89">
      <c r="H89" s="252" t="s">
        <v>161</v>
      </c>
    </row>
    <row r="90">
      <c r="H90" s="252" t="s">
        <v>161</v>
      </c>
    </row>
    <row r="91">
      <c r="H91" s="252" t="s">
        <v>161</v>
      </c>
    </row>
    <row r="92">
      <c r="H92" s="252" t="s">
        <v>161</v>
      </c>
    </row>
    <row r="93">
      <c r="H93" s="252" t="s">
        <v>161</v>
      </c>
    </row>
    <row r="94">
      <c r="H94" s="252" t="s">
        <v>161</v>
      </c>
    </row>
    <row r="95">
      <c r="H95" s="252" t="s">
        <v>161</v>
      </c>
    </row>
    <row r="96">
      <c r="H96" s="252" t="s">
        <v>161</v>
      </c>
    </row>
    <row r="97">
      <c r="H97" s="252" t="s">
        <v>161</v>
      </c>
    </row>
    <row r="98">
      <c r="H98" s="252" t="s">
        <v>161</v>
      </c>
    </row>
    <row r="99">
      <c r="H99" s="252" t="s">
        <v>161</v>
      </c>
    </row>
    <row r="100">
      <c r="H100" s="252" t="s">
        <v>161</v>
      </c>
    </row>
    <row r="101">
      <c r="H101" s="252" t="s">
        <v>161</v>
      </c>
    </row>
    <row r="102">
      <c r="H102" s="252" t="s">
        <v>161</v>
      </c>
    </row>
    <row r="103">
      <c r="H103" s="252" t="s">
        <v>161</v>
      </c>
    </row>
    <row r="104">
      <c r="H104" s="252" t="s">
        <v>161</v>
      </c>
    </row>
    <row r="105">
      <c r="H105" s="252" t="s">
        <v>161</v>
      </c>
    </row>
    <row r="106">
      <c r="H106" s="252" t="s">
        <v>161</v>
      </c>
    </row>
    <row r="107">
      <c r="H107" s="252" t="s">
        <v>161</v>
      </c>
    </row>
    <row r="108">
      <c r="H108" s="252" t="s">
        <v>161</v>
      </c>
    </row>
    <row r="109">
      <c r="H109" s="252" t="s">
        <v>161</v>
      </c>
    </row>
    <row r="110">
      <c r="H110" s="252" t="s">
        <v>161</v>
      </c>
    </row>
    <row r="111">
      <c r="H111" s="252" t="s">
        <v>161</v>
      </c>
    </row>
    <row r="112">
      <c r="H112" s="252" t="s">
        <v>161</v>
      </c>
    </row>
    <row r="113">
      <c r="H113" s="252" t="s">
        <v>161</v>
      </c>
    </row>
    <row r="114">
      <c r="H114" s="252" t="s">
        <v>161</v>
      </c>
    </row>
    <row r="115">
      <c r="H115" s="252" t="s">
        <v>161</v>
      </c>
    </row>
    <row r="116">
      <c r="H116" s="252" t="s">
        <v>161</v>
      </c>
    </row>
    <row r="117">
      <c r="H117" s="252" t="s">
        <v>161</v>
      </c>
    </row>
    <row r="118">
      <c r="H118" s="252" t="s">
        <v>161</v>
      </c>
    </row>
    <row r="119">
      <c r="H119" s="252" t="s">
        <v>161</v>
      </c>
    </row>
    <row r="120">
      <c r="H120" s="252" t="s">
        <v>161</v>
      </c>
    </row>
    <row r="121">
      <c r="H121" s="252" t="s">
        <v>161</v>
      </c>
    </row>
    <row r="122">
      <c r="H122" s="252" t="s">
        <v>161</v>
      </c>
    </row>
    <row r="123">
      <c r="H123" s="252" t="s">
        <v>161</v>
      </c>
    </row>
    <row r="124">
      <c r="H124" s="252" t="s">
        <v>161</v>
      </c>
    </row>
    <row r="125">
      <c r="H125" s="252" t="s">
        <v>161</v>
      </c>
    </row>
    <row r="126">
      <c r="H126" s="252" t="s">
        <v>161</v>
      </c>
    </row>
    <row r="127">
      <c r="H127" s="252" t="s">
        <v>161</v>
      </c>
    </row>
    <row r="128">
      <c r="H128" s="252" t="s">
        <v>161</v>
      </c>
    </row>
    <row r="129">
      <c r="H129" s="252" t="s">
        <v>161</v>
      </c>
    </row>
    <row r="130">
      <c r="H130" s="252" t="s">
        <v>161</v>
      </c>
    </row>
    <row r="131">
      <c r="H131" s="252" t="s">
        <v>161</v>
      </c>
    </row>
    <row r="132">
      <c r="H132" s="252" t="s">
        <v>161</v>
      </c>
    </row>
    <row r="133">
      <c r="H133" s="252" t="s">
        <v>161</v>
      </c>
    </row>
    <row r="134">
      <c r="H134" s="252" t="s">
        <v>161</v>
      </c>
    </row>
    <row r="135">
      <c r="H135" s="252" t="s">
        <v>161</v>
      </c>
    </row>
    <row r="136">
      <c r="H136" s="252" t="s">
        <v>161</v>
      </c>
    </row>
    <row r="137">
      <c r="H137" s="252" t="s">
        <v>161</v>
      </c>
    </row>
    <row r="138">
      <c r="H138" s="252" t="s">
        <v>161</v>
      </c>
    </row>
    <row r="139">
      <c r="H139" s="252" t="s">
        <v>161</v>
      </c>
    </row>
    <row r="140">
      <c r="H140" s="252" t="s">
        <v>161</v>
      </c>
    </row>
    <row r="141">
      <c r="H141" s="252" t="s">
        <v>161</v>
      </c>
    </row>
    <row r="142">
      <c r="H142" s="252" t="s">
        <v>161</v>
      </c>
    </row>
    <row r="143">
      <c r="H143" s="252" t="s">
        <v>161</v>
      </c>
    </row>
    <row r="144">
      <c r="H144" s="252" t="s">
        <v>161</v>
      </c>
    </row>
    <row r="145">
      <c r="H145" s="252" t="s">
        <v>161</v>
      </c>
    </row>
    <row r="146">
      <c r="H146" s="252" t="s">
        <v>161</v>
      </c>
    </row>
    <row r="147">
      <c r="H147" s="252" t="s">
        <v>161</v>
      </c>
    </row>
    <row r="148">
      <c r="H148" s="252" t="s">
        <v>161</v>
      </c>
    </row>
    <row r="149">
      <c r="H149" s="252" t="s">
        <v>161</v>
      </c>
    </row>
    <row r="150">
      <c r="H150" s="252" t="s">
        <v>161</v>
      </c>
    </row>
    <row r="151">
      <c r="H151" s="252" t="s">
        <v>161</v>
      </c>
    </row>
    <row r="152">
      <c r="H152" s="252" t="s">
        <v>161</v>
      </c>
    </row>
    <row r="153">
      <c r="H153" s="252" t="s">
        <v>161</v>
      </c>
    </row>
    <row r="154">
      <c r="H154" s="252" t="s">
        <v>161</v>
      </c>
    </row>
    <row r="155">
      <c r="H155" s="252" t="s">
        <v>161</v>
      </c>
    </row>
    <row r="156">
      <c r="H156" s="252" t="s">
        <v>161</v>
      </c>
    </row>
    <row r="157">
      <c r="H157" s="252" t="s">
        <v>161</v>
      </c>
    </row>
    <row r="158">
      <c r="H158" s="252" t="s">
        <v>161</v>
      </c>
    </row>
    <row r="159">
      <c r="H159" s="252" t="s">
        <v>161</v>
      </c>
    </row>
    <row r="160">
      <c r="H160" s="252" t="s">
        <v>161</v>
      </c>
    </row>
    <row r="161">
      <c r="H161" s="252" t="s">
        <v>161</v>
      </c>
    </row>
    <row r="162">
      <c r="H162" s="252" t="s">
        <v>161</v>
      </c>
    </row>
    <row r="163">
      <c r="H163" s="252" t="s">
        <v>161</v>
      </c>
    </row>
    <row r="164">
      <c r="H164" s="252" t="s">
        <v>161</v>
      </c>
    </row>
    <row r="165">
      <c r="H165" s="252" t="s">
        <v>161</v>
      </c>
    </row>
    <row r="166">
      <c r="H166" s="252" t="s">
        <v>161</v>
      </c>
    </row>
    <row r="167">
      <c r="H167" s="252" t="s">
        <v>161</v>
      </c>
    </row>
    <row r="168">
      <c r="H168" s="252" t="s">
        <v>161</v>
      </c>
    </row>
    <row r="169">
      <c r="H169" s="252" t="s">
        <v>161</v>
      </c>
    </row>
    <row r="170">
      <c r="H170" s="252" t="s">
        <v>161</v>
      </c>
    </row>
    <row r="171">
      <c r="H171" s="252" t="s">
        <v>161</v>
      </c>
    </row>
    <row r="172">
      <c r="H172" s="252" t="s">
        <v>161</v>
      </c>
    </row>
    <row r="173">
      <c r="H173" s="252" t="s">
        <v>161</v>
      </c>
    </row>
    <row r="174">
      <c r="H174" s="252" t="s">
        <v>161</v>
      </c>
    </row>
    <row r="175">
      <c r="H175" s="252" t="s">
        <v>161</v>
      </c>
    </row>
    <row r="176">
      <c r="H176" s="252" t="s">
        <v>161</v>
      </c>
    </row>
    <row r="177">
      <c r="H177" s="252" t="s">
        <v>161</v>
      </c>
    </row>
    <row r="178">
      <c r="H178" s="252" t="s">
        <v>161</v>
      </c>
    </row>
    <row r="179">
      <c r="H179" s="252" t="s">
        <v>161</v>
      </c>
    </row>
    <row r="180">
      <c r="H180" s="252" t="s">
        <v>161</v>
      </c>
    </row>
    <row r="181">
      <c r="H181" s="252" t="s">
        <v>161</v>
      </c>
    </row>
    <row r="182">
      <c r="H182" s="252" t="s">
        <v>161</v>
      </c>
    </row>
    <row r="183">
      <c r="H183" s="252" t="s">
        <v>161</v>
      </c>
    </row>
    <row r="184">
      <c r="H184" s="252" t="s">
        <v>161</v>
      </c>
    </row>
    <row r="185">
      <c r="H185" s="252" t="s">
        <v>161</v>
      </c>
    </row>
    <row r="186">
      <c r="H186" s="252" t="s">
        <v>161</v>
      </c>
    </row>
    <row r="187">
      <c r="H187" s="252" t="s">
        <v>161</v>
      </c>
    </row>
    <row r="188">
      <c r="H188" s="252" t="s">
        <v>161</v>
      </c>
    </row>
    <row r="189">
      <c r="H189" s="252" t="s">
        <v>161</v>
      </c>
    </row>
    <row r="190">
      <c r="H190" s="252" t="s">
        <v>161</v>
      </c>
    </row>
    <row r="191">
      <c r="H191" s="252" t="s">
        <v>161</v>
      </c>
    </row>
    <row r="192">
      <c r="H192" s="252" t="s">
        <v>161</v>
      </c>
    </row>
    <row r="193">
      <c r="H193" s="252" t="s">
        <v>161</v>
      </c>
    </row>
    <row r="194">
      <c r="H194" s="252" t="s">
        <v>161</v>
      </c>
    </row>
    <row r="195">
      <c r="H195" s="252" t="s">
        <v>161</v>
      </c>
    </row>
    <row r="196">
      <c r="H196" s="252" t="s">
        <v>161</v>
      </c>
    </row>
    <row r="197">
      <c r="H197" s="252" t="s">
        <v>161</v>
      </c>
    </row>
    <row r="198">
      <c r="H198" s="252" t="s">
        <v>161</v>
      </c>
    </row>
    <row r="199">
      <c r="H199" s="252" t="s">
        <v>161</v>
      </c>
    </row>
    <row r="200">
      <c r="H200" s="252" t="s">
        <v>161</v>
      </c>
    </row>
    <row r="201">
      <c r="H201" s="252" t="s">
        <v>161</v>
      </c>
    </row>
    <row r="202">
      <c r="H202" s="252" t="s">
        <v>161</v>
      </c>
    </row>
    <row r="203">
      <c r="H203" s="252" t="s">
        <v>161</v>
      </c>
    </row>
    <row r="204">
      <c r="H204" s="252" t="s">
        <v>161</v>
      </c>
    </row>
    <row r="205">
      <c r="H205" s="252" t="s">
        <v>161</v>
      </c>
    </row>
    <row r="206">
      <c r="H206" s="252" t="s">
        <v>161</v>
      </c>
    </row>
    <row r="207">
      <c r="H207" s="252" t="s">
        <v>161</v>
      </c>
    </row>
    <row r="208">
      <c r="H208" s="252" t="s">
        <v>161</v>
      </c>
    </row>
    <row r="209">
      <c r="H209" s="252" t="s">
        <v>161</v>
      </c>
    </row>
    <row r="210">
      <c r="H210" s="252" t="s">
        <v>161</v>
      </c>
    </row>
    <row r="211">
      <c r="H211" s="252" t="s">
        <v>161</v>
      </c>
    </row>
    <row r="212">
      <c r="H212" s="252" t="s">
        <v>161</v>
      </c>
    </row>
    <row r="213">
      <c r="H213" s="252" t="s">
        <v>161</v>
      </c>
    </row>
    <row r="214">
      <c r="H214" s="252" t="s">
        <v>161</v>
      </c>
    </row>
    <row r="215">
      <c r="H215" s="252" t="s">
        <v>161</v>
      </c>
    </row>
    <row r="216">
      <c r="H216" s="252" t="s">
        <v>161</v>
      </c>
    </row>
    <row r="217">
      <c r="H217" s="252" t="s">
        <v>161</v>
      </c>
    </row>
    <row r="218">
      <c r="H218" s="252" t="s">
        <v>161</v>
      </c>
    </row>
    <row r="219">
      <c r="H219" s="252" t="s">
        <v>161</v>
      </c>
    </row>
    <row r="220">
      <c r="H220" s="252" t="s">
        <v>161</v>
      </c>
    </row>
    <row r="221">
      <c r="H221" s="252" t="s">
        <v>161</v>
      </c>
    </row>
    <row r="222">
      <c r="H222" s="252" t="s">
        <v>161</v>
      </c>
    </row>
    <row r="223">
      <c r="H223" s="252" t="s">
        <v>161</v>
      </c>
    </row>
    <row r="224">
      <c r="H224" s="252" t="s">
        <v>161</v>
      </c>
    </row>
    <row r="225">
      <c r="H225" s="252" t="s">
        <v>161</v>
      </c>
    </row>
    <row r="226">
      <c r="H226" s="252" t="s">
        <v>161</v>
      </c>
    </row>
    <row r="227">
      <c r="H227" s="252" t="s">
        <v>161</v>
      </c>
    </row>
    <row r="228">
      <c r="H228" s="252" t="s">
        <v>161</v>
      </c>
    </row>
    <row r="229">
      <c r="H229" s="252" t="s">
        <v>161</v>
      </c>
    </row>
    <row r="230">
      <c r="H230" s="252" t="s">
        <v>161</v>
      </c>
    </row>
    <row r="231">
      <c r="H231" s="252" t="s">
        <v>161</v>
      </c>
    </row>
    <row r="232">
      <c r="H232" s="252" t="s">
        <v>161</v>
      </c>
    </row>
    <row r="233">
      <c r="H233" s="252" t="s">
        <v>161</v>
      </c>
    </row>
    <row r="234">
      <c r="H234" s="252" t="s">
        <v>161</v>
      </c>
    </row>
    <row r="235">
      <c r="H235" s="252" t="s">
        <v>161</v>
      </c>
    </row>
    <row r="236">
      <c r="H236" s="252" t="s">
        <v>161</v>
      </c>
    </row>
    <row r="237">
      <c r="H237" s="252" t="s">
        <v>161</v>
      </c>
    </row>
    <row r="238">
      <c r="H238" s="252" t="s">
        <v>161</v>
      </c>
    </row>
    <row r="239">
      <c r="H239" s="252" t="s">
        <v>161</v>
      </c>
    </row>
    <row r="240">
      <c r="H240" s="252" t="s">
        <v>161</v>
      </c>
    </row>
    <row r="241">
      <c r="H241" s="252" t="s">
        <v>161</v>
      </c>
    </row>
    <row r="242">
      <c r="H242" s="252" t="s">
        <v>161</v>
      </c>
    </row>
    <row r="243">
      <c r="H243" s="252" t="s">
        <v>161</v>
      </c>
    </row>
    <row r="244">
      <c r="H244" s="252" t="s">
        <v>161</v>
      </c>
    </row>
    <row r="245">
      <c r="H245" s="252" t="s">
        <v>161</v>
      </c>
    </row>
    <row r="246">
      <c r="H246" s="252" t="s">
        <v>161</v>
      </c>
    </row>
    <row r="247">
      <c r="H247" s="252" t="s">
        <v>161</v>
      </c>
    </row>
    <row r="248">
      <c r="H248" s="252" t="s">
        <v>161</v>
      </c>
    </row>
    <row r="249">
      <c r="H249" s="252" t="s">
        <v>161</v>
      </c>
    </row>
    <row r="250">
      <c r="H250" s="252" t="s">
        <v>161</v>
      </c>
    </row>
    <row r="251">
      <c r="H251" s="252" t="s">
        <v>161</v>
      </c>
    </row>
    <row r="252">
      <c r="H252" s="252" t="s">
        <v>161</v>
      </c>
    </row>
    <row r="253">
      <c r="H253" s="252" t="s">
        <v>161</v>
      </c>
    </row>
    <row r="254">
      <c r="H254" s="252" t="s">
        <v>161</v>
      </c>
    </row>
    <row r="255">
      <c r="H255" s="252" t="s">
        <v>161</v>
      </c>
    </row>
    <row r="256">
      <c r="H256" s="252" t="s">
        <v>161</v>
      </c>
    </row>
    <row r="257">
      <c r="H257" s="252" t="s">
        <v>161</v>
      </c>
    </row>
    <row r="258">
      <c r="H258" s="252" t="s">
        <v>161</v>
      </c>
    </row>
    <row r="259">
      <c r="H259" s="252" t="s">
        <v>161</v>
      </c>
    </row>
    <row r="260">
      <c r="H260" s="252" t="s">
        <v>161</v>
      </c>
    </row>
    <row r="261">
      <c r="H261" s="252" t="s">
        <v>161</v>
      </c>
    </row>
    <row r="262">
      <c r="H262" s="252" t="s">
        <v>161</v>
      </c>
    </row>
    <row r="263">
      <c r="H263" s="252" t="s">
        <v>161</v>
      </c>
    </row>
    <row r="264">
      <c r="H264" s="252" t="s">
        <v>161</v>
      </c>
    </row>
    <row r="265">
      <c r="H265" s="252" t="s">
        <v>161</v>
      </c>
    </row>
    <row r="266">
      <c r="H266" s="252" t="s">
        <v>161</v>
      </c>
    </row>
    <row r="267">
      <c r="H267" s="252" t="s">
        <v>161</v>
      </c>
    </row>
    <row r="268">
      <c r="H268" s="252" t="s">
        <v>161</v>
      </c>
    </row>
    <row r="269">
      <c r="H269" s="252" t="s">
        <v>161</v>
      </c>
    </row>
    <row r="270">
      <c r="H270" s="252" t="s">
        <v>161</v>
      </c>
    </row>
    <row r="271">
      <c r="H271" s="252" t="s">
        <v>161</v>
      </c>
    </row>
    <row r="272">
      <c r="H272" s="252" t="s">
        <v>161</v>
      </c>
    </row>
    <row r="273">
      <c r="H273" s="252" t="s">
        <v>161</v>
      </c>
    </row>
    <row r="274">
      <c r="H274" s="252" t="s">
        <v>161</v>
      </c>
    </row>
    <row r="275">
      <c r="H275" s="252" t="s">
        <v>161</v>
      </c>
    </row>
    <row r="276">
      <c r="H276" s="252" t="s">
        <v>161</v>
      </c>
    </row>
    <row r="277">
      <c r="H277" s="252" t="s">
        <v>161</v>
      </c>
    </row>
    <row r="278">
      <c r="H278" s="252" t="s">
        <v>161</v>
      </c>
    </row>
    <row r="279">
      <c r="H279" s="252" t="s">
        <v>161</v>
      </c>
    </row>
    <row r="280">
      <c r="H280" s="252" t="s">
        <v>161</v>
      </c>
    </row>
    <row r="281">
      <c r="H281" s="252" t="s">
        <v>161</v>
      </c>
    </row>
    <row r="282">
      <c r="H282" s="252" t="s">
        <v>161</v>
      </c>
    </row>
    <row r="283">
      <c r="H283" s="252" t="s">
        <v>161</v>
      </c>
    </row>
    <row r="284">
      <c r="H284" s="252" t="s">
        <v>161</v>
      </c>
    </row>
    <row r="285">
      <c r="H285" s="252" t="s">
        <v>161</v>
      </c>
    </row>
    <row r="286">
      <c r="H286" s="252" t="s">
        <v>161</v>
      </c>
    </row>
    <row r="287">
      <c r="H287" s="252" t="s">
        <v>161</v>
      </c>
    </row>
    <row r="288">
      <c r="H288" s="252" t="s">
        <v>161</v>
      </c>
    </row>
    <row r="289">
      <c r="H289" s="252" t="s">
        <v>161</v>
      </c>
    </row>
    <row r="290">
      <c r="H290" s="252" t="s">
        <v>161</v>
      </c>
    </row>
    <row r="291">
      <c r="H291" s="252" t="s">
        <v>161</v>
      </c>
    </row>
    <row r="292">
      <c r="H292" s="252" t="s">
        <v>161</v>
      </c>
    </row>
    <row r="293">
      <c r="H293" s="252" t="s">
        <v>161</v>
      </c>
    </row>
    <row r="294">
      <c r="H294" s="252" t="s">
        <v>161</v>
      </c>
    </row>
    <row r="295">
      <c r="H295" s="252" t="s">
        <v>161</v>
      </c>
    </row>
    <row r="296">
      <c r="H296" s="252" t="s">
        <v>161</v>
      </c>
    </row>
    <row r="297">
      <c r="H297" s="252" t="s">
        <v>161</v>
      </c>
    </row>
    <row r="298">
      <c r="H298" s="252" t="s">
        <v>161</v>
      </c>
    </row>
    <row r="299">
      <c r="H299" s="252" t="s">
        <v>161</v>
      </c>
    </row>
    <row r="300">
      <c r="H300" s="252" t="s">
        <v>161</v>
      </c>
    </row>
    <row r="301">
      <c r="H301" s="252" t="s">
        <v>161</v>
      </c>
    </row>
    <row r="302">
      <c r="H302" s="252" t="s">
        <v>161</v>
      </c>
    </row>
    <row r="303">
      <c r="H303" s="252" t="s">
        <v>161</v>
      </c>
    </row>
    <row r="304">
      <c r="H304" s="252" t="s">
        <v>161</v>
      </c>
    </row>
    <row r="305">
      <c r="H305" s="252" t="s">
        <v>161</v>
      </c>
    </row>
    <row r="306">
      <c r="H306" s="252" t="s">
        <v>161</v>
      </c>
    </row>
    <row r="307">
      <c r="H307" s="252" t="s">
        <v>161</v>
      </c>
    </row>
    <row r="308">
      <c r="H308" s="252" t="s">
        <v>161</v>
      </c>
    </row>
    <row r="309">
      <c r="H309" s="252" t="s">
        <v>161</v>
      </c>
    </row>
    <row r="310">
      <c r="H310" s="252" t="s">
        <v>161</v>
      </c>
    </row>
    <row r="311">
      <c r="H311" s="252" t="s">
        <v>161</v>
      </c>
    </row>
    <row r="312">
      <c r="H312" s="252" t="s">
        <v>161</v>
      </c>
    </row>
    <row r="313">
      <c r="H313" s="252" t="s">
        <v>161</v>
      </c>
    </row>
    <row r="314">
      <c r="H314" s="252" t="s">
        <v>161</v>
      </c>
    </row>
    <row r="315">
      <c r="H315" s="252" t="s">
        <v>161</v>
      </c>
    </row>
    <row r="316">
      <c r="H316" s="252" t="s">
        <v>161</v>
      </c>
    </row>
    <row r="317">
      <c r="H317" s="252" t="s">
        <v>161</v>
      </c>
    </row>
    <row r="318">
      <c r="H318" s="252" t="s">
        <v>161</v>
      </c>
    </row>
    <row r="319">
      <c r="H319" s="252" t="s">
        <v>161</v>
      </c>
    </row>
    <row r="320">
      <c r="H320" s="252" t="s">
        <v>161</v>
      </c>
    </row>
    <row r="321">
      <c r="H321" s="252" t="s">
        <v>161</v>
      </c>
    </row>
    <row r="322">
      <c r="H322" s="252" t="s">
        <v>161</v>
      </c>
    </row>
    <row r="323">
      <c r="H323" s="252" t="s">
        <v>161</v>
      </c>
    </row>
    <row r="324">
      <c r="H324" s="252" t="s">
        <v>161</v>
      </c>
    </row>
    <row r="325">
      <c r="H325" s="252" t="s">
        <v>161</v>
      </c>
    </row>
    <row r="326">
      <c r="H326" s="252" t="s">
        <v>161</v>
      </c>
    </row>
    <row r="327">
      <c r="H327" s="252" t="s">
        <v>161</v>
      </c>
    </row>
    <row r="328">
      <c r="H328" s="252" t="s">
        <v>161</v>
      </c>
    </row>
    <row r="329">
      <c r="H329" s="252" t="s">
        <v>161</v>
      </c>
    </row>
    <row r="330">
      <c r="H330" s="252" t="s">
        <v>161</v>
      </c>
    </row>
    <row r="331">
      <c r="H331" s="252" t="s">
        <v>161</v>
      </c>
    </row>
    <row r="332">
      <c r="H332" s="252" t="s">
        <v>161</v>
      </c>
    </row>
    <row r="333">
      <c r="H333" s="252" t="s">
        <v>161</v>
      </c>
    </row>
    <row r="334">
      <c r="H334" s="252" t="s">
        <v>161</v>
      </c>
    </row>
    <row r="335">
      <c r="H335" s="252" t="s">
        <v>161</v>
      </c>
    </row>
    <row r="336">
      <c r="H336" s="252" t="s">
        <v>161</v>
      </c>
    </row>
    <row r="337">
      <c r="H337" s="252" t="s">
        <v>161</v>
      </c>
    </row>
    <row r="338">
      <c r="H338" s="252" t="s">
        <v>161</v>
      </c>
    </row>
    <row r="339">
      <c r="H339" s="252" t="s">
        <v>161</v>
      </c>
    </row>
    <row r="340">
      <c r="H340" s="252" t="s">
        <v>161</v>
      </c>
    </row>
    <row r="341">
      <c r="H341" s="252" t="s">
        <v>161</v>
      </c>
    </row>
    <row r="342">
      <c r="H342" s="252" t="s">
        <v>161</v>
      </c>
    </row>
    <row r="343">
      <c r="H343" s="252" t="s">
        <v>161</v>
      </c>
    </row>
    <row r="344">
      <c r="H344" s="252" t="s">
        <v>161</v>
      </c>
    </row>
    <row r="345">
      <c r="H345" s="252" t="s">
        <v>161</v>
      </c>
    </row>
    <row r="346">
      <c r="H346" s="252" t="s">
        <v>161</v>
      </c>
    </row>
    <row r="347">
      <c r="H347" s="252" t="s">
        <v>161</v>
      </c>
    </row>
    <row r="348">
      <c r="H348" s="252" t="s">
        <v>161</v>
      </c>
    </row>
    <row r="349">
      <c r="H349" s="252" t="s">
        <v>161</v>
      </c>
    </row>
    <row r="350">
      <c r="H350" s="252" t="s">
        <v>161</v>
      </c>
    </row>
    <row r="351">
      <c r="H351" s="252" t="s">
        <v>161</v>
      </c>
    </row>
    <row r="352">
      <c r="H352" s="252" t="s">
        <v>161</v>
      </c>
    </row>
    <row r="353">
      <c r="H353" s="252" t="s">
        <v>161</v>
      </c>
    </row>
    <row r="354">
      <c r="H354" s="252" t="s">
        <v>161</v>
      </c>
    </row>
    <row r="355">
      <c r="H355" s="252" t="s">
        <v>161</v>
      </c>
    </row>
    <row r="356">
      <c r="H356" s="252" t="s">
        <v>161</v>
      </c>
    </row>
    <row r="357">
      <c r="H357" s="252" t="s">
        <v>161</v>
      </c>
    </row>
    <row r="358">
      <c r="H358" s="252" t="s">
        <v>161</v>
      </c>
    </row>
    <row r="359">
      <c r="H359" s="252" t="s">
        <v>161</v>
      </c>
    </row>
    <row r="360">
      <c r="H360" s="252" t="s">
        <v>161</v>
      </c>
    </row>
    <row r="361">
      <c r="H361" s="252" t="s">
        <v>161</v>
      </c>
    </row>
    <row r="362">
      <c r="H362" s="252" t="s">
        <v>161</v>
      </c>
    </row>
    <row r="363">
      <c r="H363" s="252" t="s">
        <v>161</v>
      </c>
    </row>
    <row r="364">
      <c r="H364" s="252" t="s">
        <v>161</v>
      </c>
    </row>
    <row r="365">
      <c r="H365" s="252" t="s">
        <v>161</v>
      </c>
    </row>
    <row r="366">
      <c r="H366" s="252" t="s">
        <v>161</v>
      </c>
    </row>
    <row r="367">
      <c r="H367" s="252" t="s">
        <v>161</v>
      </c>
    </row>
    <row r="368">
      <c r="H368" s="252" t="s">
        <v>161</v>
      </c>
    </row>
    <row r="369">
      <c r="H369" s="252" t="s">
        <v>161</v>
      </c>
    </row>
    <row r="370">
      <c r="H370" s="252" t="s">
        <v>161</v>
      </c>
    </row>
    <row r="371">
      <c r="H371" s="252" t="s">
        <v>161</v>
      </c>
    </row>
    <row r="372">
      <c r="H372" s="252" t="s">
        <v>161</v>
      </c>
    </row>
    <row r="373">
      <c r="H373" s="252" t="s">
        <v>161</v>
      </c>
    </row>
    <row r="374">
      <c r="H374" s="252" t="s">
        <v>161</v>
      </c>
    </row>
    <row r="375">
      <c r="H375" s="252" t="s">
        <v>161</v>
      </c>
    </row>
    <row r="376">
      <c r="H376" s="252" t="s">
        <v>161</v>
      </c>
    </row>
    <row r="377">
      <c r="H377" s="252" t="s">
        <v>161</v>
      </c>
    </row>
    <row r="378">
      <c r="H378" s="252" t="s">
        <v>161</v>
      </c>
    </row>
    <row r="379">
      <c r="H379" s="252" t="s">
        <v>161</v>
      </c>
    </row>
    <row r="380">
      <c r="H380" s="252" t="s">
        <v>161</v>
      </c>
    </row>
    <row r="381">
      <c r="H381" s="252" t="s">
        <v>161</v>
      </c>
    </row>
    <row r="382">
      <c r="H382" s="252" t="s">
        <v>161</v>
      </c>
    </row>
    <row r="383">
      <c r="H383" s="252" t="s">
        <v>161</v>
      </c>
    </row>
    <row r="384">
      <c r="H384" s="252" t="s">
        <v>161</v>
      </c>
    </row>
    <row r="385">
      <c r="H385" s="252" t="s">
        <v>161</v>
      </c>
    </row>
    <row r="386">
      <c r="H386" s="252" t="s">
        <v>161</v>
      </c>
    </row>
    <row r="387">
      <c r="H387" s="252" t="s">
        <v>161</v>
      </c>
    </row>
    <row r="388">
      <c r="H388" s="252" t="s">
        <v>161</v>
      </c>
    </row>
    <row r="389">
      <c r="H389" s="252" t="s">
        <v>161</v>
      </c>
    </row>
    <row r="390">
      <c r="H390" s="252" t="s">
        <v>161</v>
      </c>
    </row>
    <row r="391">
      <c r="H391" s="252" t="s">
        <v>161</v>
      </c>
    </row>
    <row r="392">
      <c r="H392" s="252" t="s">
        <v>161</v>
      </c>
    </row>
    <row r="393">
      <c r="H393" s="252" t="s">
        <v>161</v>
      </c>
    </row>
    <row r="394">
      <c r="H394" s="252" t="s">
        <v>161</v>
      </c>
    </row>
    <row r="395">
      <c r="H395" s="252" t="s">
        <v>161</v>
      </c>
    </row>
    <row r="396">
      <c r="H396" s="252" t="s">
        <v>161</v>
      </c>
    </row>
    <row r="397">
      <c r="H397" s="252" t="s">
        <v>161</v>
      </c>
    </row>
    <row r="398">
      <c r="H398" s="252" t="s">
        <v>161</v>
      </c>
    </row>
    <row r="399">
      <c r="H399" s="252" t="s">
        <v>161</v>
      </c>
    </row>
    <row r="400">
      <c r="H400" s="252" t="s">
        <v>161</v>
      </c>
    </row>
    <row r="401">
      <c r="H401" s="252" t="s">
        <v>161</v>
      </c>
    </row>
    <row r="402">
      <c r="H402" s="252" t="s">
        <v>161</v>
      </c>
    </row>
    <row r="403">
      <c r="H403" s="252" t="s">
        <v>161</v>
      </c>
    </row>
    <row r="404">
      <c r="H404" s="252" t="s">
        <v>161</v>
      </c>
    </row>
    <row r="405">
      <c r="H405" s="252" t="s">
        <v>161</v>
      </c>
    </row>
    <row r="406">
      <c r="H406" s="252" t="s">
        <v>161</v>
      </c>
    </row>
    <row r="407">
      <c r="H407" s="252" t="s">
        <v>161</v>
      </c>
    </row>
    <row r="408">
      <c r="H408" s="252" t="s">
        <v>161</v>
      </c>
    </row>
    <row r="409">
      <c r="H409" s="252" t="s">
        <v>161</v>
      </c>
    </row>
    <row r="410">
      <c r="H410" s="252" t="s">
        <v>161</v>
      </c>
    </row>
    <row r="411">
      <c r="H411" s="252" t="s">
        <v>161</v>
      </c>
    </row>
    <row r="412">
      <c r="H412" s="252" t="s">
        <v>161</v>
      </c>
    </row>
    <row r="413">
      <c r="H413" s="252" t="s">
        <v>161</v>
      </c>
    </row>
    <row r="414">
      <c r="H414" s="252" t="s">
        <v>161</v>
      </c>
    </row>
    <row r="415">
      <c r="H415" s="252" t="s">
        <v>161</v>
      </c>
    </row>
    <row r="416">
      <c r="H416" s="252" t="s">
        <v>161</v>
      </c>
    </row>
    <row r="417">
      <c r="H417" s="252" t="s">
        <v>161</v>
      </c>
    </row>
    <row r="418">
      <c r="H418" s="252" t="s">
        <v>161</v>
      </c>
    </row>
    <row r="419">
      <c r="H419" s="252" t="s">
        <v>161</v>
      </c>
    </row>
    <row r="420">
      <c r="H420" s="252" t="s">
        <v>161</v>
      </c>
    </row>
    <row r="421">
      <c r="H421" s="252" t="s">
        <v>161</v>
      </c>
    </row>
    <row r="422">
      <c r="H422" s="252" t="s">
        <v>161</v>
      </c>
    </row>
    <row r="423">
      <c r="H423" s="252" t="s">
        <v>161</v>
      </c>
    </row>
    <row r="424">
      <c r="H424" s="252" t="s">
        <v>161</v>
      </c>
    </row>
    <row r="425">
      <c r="H425" s="252" t="s">
        <v>161</v>
      </c>
    </row>
    <row r="426">
      <c r="H426" s="252" t="s">
        <v>161</v>
      </c>
    </row>
    <row r="427">
      <c r="H427" s="252" t="s">
        <v>161</v>
      </c>
    </row>
    <row r="428">
      <c r="H428" s="252" t="s">
        <v>161</v>
      </c>
    </row>
    <row r="429">
      <c r="H429" s="252" t="s">
        <v>161</v>
      </c>
    </row>
    <row r="430">
      <c r="H430" s="252" t="s">
        <v>161</v>
      </c>
    </row>
    <row r="431">
      <c r="H431" s="252" t="s">
        <v>161</v>
      </c>
    </row>
    <row r="432">
      <c r="H432" s="252" t="s">
        <v>161</v>
      </c>
    </row>
    <row r="433">
      <c r="H433" s="252" t="s">
        <v>161</v>
      </c>
    </row>
    <row r="434">
      <c r="H434" s="252" t="s">
        <v>161</v>
      </c>
    </row>
    <row r="435">
      <c r="H435" s="252" t="s">
        <v>161</v>
      </c>
    </row>
    <row r="436">
      <c r="H436" s="252" t="s">
        <v>161</v>
      </c>
    </row>
    <row r="437">
      <c r="H437" s="252" t="s">
        <v>161</v>
      </c>
    </row>
    <row r="438">
      <c r="H438" s="252" t="s">
        <v>161</v>
      </c>
    </row>
    <row r="439">
      <c r="H439" s="252" t="s">
        <v>161</v>
      </c>
    </row>
    <row r="440">
      <c r="H440" s="252" t="s">
        <v>161</v>
      </c>
    </row>
    <row r="441">
      <c r="H441" s="252" t="s">
        <v>161</v>
      </c>
    </row>
    <row r="442">
      <c r="H442" s="252" t="s">
        <v>161</v>
      </c>
    </row>
    <row r="443">
      <c r="H443" s="252" t="s">
        <v>161</v>
      </c>
    </row>
    <row r="444">
      <c r="H444" s="252" t="s">
        <v>161</v>
      </c>
    </row>
    <row r="445">
      <c r="H445" s="252" t="s">
        <v>161</v>
      </c>
    </row>
    <row r="446">
      <c r="H446" s="252" t="s">
        <v>161</v>
      </c>
    </row>
    <row r="447">
      <c r="H447" s="252" t="s">
        <v>161</v>
      </c>
    </row>
    <row r="448">
      <c r="H448" s="252" t="s">
        <v>161</v>
      </c>
    </row>
    <row r="449">
      <c r="H449" s="252" t="s">
        <v>161</v>
      </c>
    </row>
    <row r="450">
      <c r="H450" s="252" t="s">
        <v>161</v>
      </c>
    </row>
    <row r="451">
      <c r="H451" s="252" t="s">
        <v>161</v>
      </c>
    </row>
    <row r="452">
      <c r="H452" s="252" t="s">
        <v>161</v>
      </c>
    </row>
    <row r="453">
      <c r="H453" s="252" t="s">
        <v>161</v>
      </c>
    </row>
    <row r="454">
      <c r="H454" s="252" t="s">
        <v>161</v>
      </c>
    </row>
    <row r="455">
      <c r="H455" s="252" t="s">
        <v>161</v>
      </c>
    </row>
    <row r="456">
      <c r="H456" s="252" t="s">
        <v>161</v>
      </c>
    </row>
    <row r="457">
      <c r="H457" s="252" t="s">
        <v>161</v>
      </c>
    </row>
    <row r="458">
      <c r="H458" s="252" t="s">
        <v>161</v>
      </c>
    </row>
    <row r="459">
      <c r="H459" s="252" t="s">
        <v>161</v>
      </c>
    </row>
    <row r="460">
      <c r="H460" s="252" t="s">
        <v>161</v>
      </c>
    </row>
    <row r="461">
      <c r="H461" s="252" t="s">
        <v>161</v>
      </c>
    </row>
    <row r="462">
      <c r="H462" s="252" t="s">
        <v>161</v>
      </c>
    </row>
    <row r="463">
      <c r="H463" s="252" t="s">
        <v>161</v>
      </c>
    </row>
    <row r="464">
      <c r="H464" s="252" t="s">
        <v>161</v>
      </c>
    </row>
    <row r="465">
      <c r="H465" s="252" t="s">
        <v>161</v>
      </c>
    </row>
    <row r="466">
      <c r="H466" s="252" t="s">
        <v>161</v>
      </c>
    </row>
    <row r="467">
      <c r="H467" s="252" t="s">
        <v>161</v>
      </c>
    </row>
    <row r="468">
      <c r="H468" s="252" t="s">
        <v>161</v>
      </c>
    </row>
    <row r="469">
      <c r="H469" s="252" t="s">
        <v>161</v>
      </c>
    </row>
    <row r="470">
      <c r="H470" s="252" t="s">
        <v>161</v>
      </c>
    </row>
    <row r="471">
      <c r="H471" s="252" t="s">
        <v>161</v>
      </c>
    </row>
    <row r="472">
      <c r="H472" s="252" t="s">
        <v>161</v>
      </c>
    </row>
    <row r="473">
      <c r="H473" s="252" t="s">
        <v>161</v>
      </c>
    </row>
    <row r="474">
      <c r="H474" s="252" t="s">
        <v>161</v>
      </c>
    </row>
    <row r="475">
      <c r="H475" s="252" t="s">
        <v>161</v>
      </c>
    </row>
    <row r="476">
      <c r="H476" s="252" t="s">
        <v>161</v>
      </c>
    </row>
    <row r="477">
      <c r="H477" s="252" t="s">
        <v>161</v>
      </c>
    </row>
    <row r="478">
      <c r="H478" s="252" t="s">
        <v>161</v>
      </c>
    </row>
    <row r="479">
      <c r="H479" s="252" t="s">
        <v>161</v>
      </c>
    </row>
    <row r="480">
      <c r="H480" s="252" t="s">
        <v>161</v>
      </c>
    </row>
    <row r="481">
      <c r="H481" s="252" t="s">
        <v>161</v>
      </c>
    </row>
    <row r="482">
      <c r="H482" s="252" t="s">
        <v>161</v>
      </c>
    </row>
    <row r="483">
      <c r="H483" s="252" t="s">
        <v>161</v>
      </c>
    </row>
    <row r="484">
      <c r="H484" s="252" t="s">
        <v>161</v>
      </c>
    </row>
    <row r="485">
      <c r="H485" s="252" t="s">
        <v>161</v>
      </c>
    </row>
    <row r="486">
      <c r="H486" s="252" t="s">
        <v>161</v>
      </c>
    </row>
    <row r="487">
      <c r="H487" s="252" t="s">
        <v>161</v>
      </c>
    </row>
    <row r="488">
      <c r="H488" s="252" t="s">
        <v>161</v>
      </c>
    </row>
    <row r="489">
      <c r="H489" s="252" t="s">
        <v>161</v>
      </c>
    </row>
    <row r="490">
      <c r="H490" s="252" t="s">
        <v>161</v>
      </c>
    </row>
    <row r="491">
      <c r="H491" s="252" t="s">
        <v>161</v>
      </c>
    </row>
    <row r="492">
      <c r="H492" s="252" t="s">
        <v>161</v>
      </c>
    </row>
    <row r="493">
      <c r="H493" s="252" t="s">
        <v>161</v>
      </c>
    </row>
    <row r="494">
      <c r="H494" s="252" t="s">
        <v>161</v>
      </c>
    </row>
    <row r="495">
      <c r="H495" s="252" t="s">
        <v>161</v>
      </c>
    </row>
    <row r="496">
      <c r="H496" s="252" t="s">
        <v>161</v>
      </c>
    </row>
    <row r="497">
      <c r="H497" s="252" t="s">
        <v>161</v>
      </c>
    </row>
    <row r="498">
      <c r="H498" s="252" t="s">
        <v>161</v>
      </c>
    </row>
    <row r="499">
      <c r="H499" s="252" t="s">
        <v>161</v>
      </c>
    </row>
    <row r="500">
      <c r="H500" s="252" t="s">
        <v>161</v>
      </c>
    </row>
    <row r="501">
      <c r="H501" s="252" t="s">
        <v>161</v>
      </c>
    </row>
    <row r="502">
      <c r="H502" s="252" t="s">
        <v>161</v>
      </c>
    </row>
    <row r="503">
      <c r="H503" s="252" t="s">
        <v>161</v>
      </c>
    </row>
    <row r="504">
      <c r="H504" s="252" t="s">
        <v>161</v>
      </c>
    </row>
    <row r="505">
      <c r="H505" s="252" t="s">
        <v>161</v>
      </c>
    </row>
    <row r="506">
      <c r="H506" s="252" t="s">
        <v>161</v>
      </c>
    </row>
    <row r="507">
      <c r="H507" s="252" t="s">
        <v>161</v>
      </c>
    </row>
    <row r="508">
      <c r="H508" s="252" t="s">
        <v>161</v>
      </c>
    </row>
    <row r="509">
      <c r="H509" s="252" t="s">
        <v>161</v>
      </c>
    </row>
    <row r="510">
      <c r="H510" s="252" t="s">
        <v>161</v>
      </c>
    </row>
    <row r="511">
      <c r="H511" s="252" t="s">
        <v>161</v>
      </c>
    </row>
    <row r="512">
      <c r="H512" s="252" t="s">
        <v>161</v>
      </c>
    </row>
    <row r="513">
      <c r="H513" s="252" t="s">
        <v>161</v>
      </c>
    </row>
    <row r="514">
      <c r="H514" s="252" t="s">
        <v>161</v>
      </c>
    </row>
    <row r="515">
      <c r="H515" s="252" t="s">
        <v>161</v>
      </c>
    </row>
    <row r="516">
      <c r="H516" s="252" t="s">
        <v>161</v>
      </c>
    </row>
    <row r="517">
      <c r="H517" s="252" t="s">
        <v>161</v>
      </c>
    </row>
    <row r="518">
      <c r="H518" s="252" t="s">
        <v>161</v>
      </c>
    </row>
    <row r="519">
      <c r="H519" s="252" t="s">
        <v>161</v>
      </c>
    </row>
    <row r="520">
      <c r="H520" s="252" t="s">
        <v>161</v>
      </c>
    </row>
    <row r="521">
      <c r="H521" s="252" t="s">
        <v>161</v>
      </c>
    </row>
    <row r="522">
      <c r="H522" s="252" t="s">
        <v>161</v>
      </c>
    </row>
    <row r="523">
      <c r="H523" s="252" t="s">
        <v>161</v>
      </c>
    </row>
    <row r="524">
      <c r="H524" s="252" t="s">
        <v>161</v>
      </c>
    </row>
    <row r="525">
      <c r="H525" s="252" t="s">
        <v>161</v>
      </c>
    </row>
    <row r="526">
      <c r="H526" s="252" t="s">
        <v>161</v>
      </c>
    </row>
    <row r="527">
      <c r="H527" s="252" t="s">
        <v>161</v>
      </c>
    </row>
    <row r="528">
      <c r="H528" s="252" t="s">
        <v>161</v>
      </c>
    </row>
    <row r="529">
      <c r="H529" s="252" t="s">
        <v>161</v>
      </c>
    </row>
    <row r="530">
      <c r="H530" s="252" t="s">
        <v>161</v>
      </c>
    </row>
    <row r="531">
      <c r="H531" s="252" t="s">
        <v>161</v>
      </c>
    </row>
    <row r="532">
      <c r="H532" s="252" t="s">
        <v>161</v>
      </c>
    </row>
    <row r="533">
      <c r="H533" s="252" t="s">
        <v>161</v>
      </c>
    </row>
    <row r="534">
      <c r="H534" s="252" t="s">
        <v>161</v>
      </c>
    </row>
    <row r="535">
      <c r="H535" s="252" t="s">
        <v>161</v>
      </c>
    </row>
    <row r="536">
      <c r="H536" s="252" t="s">
        <v>161</v>
      </c>
    </row>
    <row r="537">
      <c r="H537" s="252" t="s">
        <v>161</v>
      </c>
    </row>
    <row r="538">
      <c r="H538" s="252" t="s">
        <v>161</v>
      </c>
    </row>
    <row r="539">
      <c r="H539" s="252" t="s">
        <v>161</v>
      </c>
    </row>
    <row r="540">
      <c r="H540" s="252" t="s">
        <v>161</v>
      </c>
    </row>
    <row r="541">
      <c r="H541" s="252" t="s">
        <v>161</v>
      </c>
    </row>
    <row r="542">
      <c r="H542" s="252" t="s">
        <v>161</v>
      </c>
    </row>
    <row r="543">
      <c r="H543" s="252" t="s">
        <v>161</v>
      </c>
    </row>
    <row r="544">
      <c r="H544" s="252" t="s">
        <v>161</v>
      </c>
    </row>
    <row r="545">
      <c r="H545" s="252" t="s">
        <v>161</v>
      </c>
    </row>
    <row r="546">
      <c r="H546" s="252" t="s">
        <v>161</v>
      </c>
    </row>
    <row r="547">
      <c r="H547" s="252" t="s">
        <v>161</v>
      </c>
    </row>
    <row r="548">
      <c r="H548" s="252" t="s">
        <v>161</v>
      </c>
    </row>
    <row r="549">
      <c r="H549" s="252" t="s">
        <v>161</v>
      </c>
    </row>
    <row r="550">
      <c r="H550" s="252" t="s">
        <v>161</v>
      </c>
    </row>
    <row r="551">
      <c r="H551" s="252" t="s">
        <v>161</v>
      </c>
    </row>
    <row r="552">
      <c r="H552" s="252" t="s">
        <v>161</v>
      </c>
    </row>
    <row r="553">
      <c r="H553" s="252" t="s">
        <v>161</v>
      </c>
    </row>
    <row r="554">
      <c r="H554" s="252" t="s">
        <v>161</v>
      </c>
    </row>
    <row r="555">
      <c r="H555" s="252" t="s">
        <v>161</v>
      </c>
    </row>
    <row r="556">
      <c r="H556" s="252" t="s">
        <v>161</v>
      </c>
    </row>
    <row r="557">
      <c r="H557" s="252" t="s">
        <v>161</v>
      </c>
    </row>
    <row r="558">
      <c r="H558" s="252" t="s">
        <v>161</v>
      </c>
    </row>
    <row r="559">
      <c r="H559" s="252" t="s">
        <v>161</v>
      </c>
    </row>
    <row r="560">
      <c r="H560" s="252" t="s">
        <v>161</v>
      </c>
    </row>
    <row r="561">
      <c r="H561" s="252" t="s">
        <v>161</v>
      </c>
    </row>
    <row r="562">
      <c r="H562" s="252" t="s">
        <v>161</v>
      </c>
    </row>
    <row r="563">
      <c r="H563" s="252" t="s">
        <v>161</v>
      </c>
    </row>
    <row r="564">
      <c r="H564" s="252" t="s">
        <v>161</v>
      </c>
    </row>
    <row r="565">
      <c r="H565" s="252" t="s">
        <v>161</v>
      </c>
    </row>
    <row r="566">
      <c r="H566" s="252" t="s">
        <v>161</v>
      </c>
    </row>
    <row r="567">
      <c r="H567" s="252" t="s">
        <v>161</v>
      </c>
    </row>
    <row r="568">
      <c r="H568" s="252" t="s">
        <v>161</v>
      </c>
    </row>
    <row r="569">
      <c r="H569" s="252" t="s">
        <v>161</v>
      </c>
    </row>
    <row r="570">
      <c r="H570" s="252" t="s">
        <v>161</v>
      </c>
    </row>
    <row r="571">
      <c r="H571" s="252" t="s">
        <v>161</v>
      </c>
    </row>
    <row r="572">
      <c r="H572" s="252" t="s">
        <v>161</v>
      </c>
    </row>
    <row r="573">
      <c r="H573" s="252" t="s">
        <v>161</v>
      </c>
    </row>
    <row r="574">
      <c r="H574" s="252" t="s">
        <v>161</v>
      </c>
    </row>
    <row r="575">
      <c r="H575" s="252" t="s">
        <v>161</v>
      </c>
    </row>
    <row r="576">
      <c r="H576" s="252" t="s">
        <v>161</v>
      </c>
    </row>
    <row r="577">
      <c r="H577" s="252" t="s">
        <v>161</v>
      </c>
    </row>
    <row r="578">
      <c r="H578" s="252" t="s">
        <v>161</v>
      </c>
    </row>
    <row r="579">
      <c r="H579" s="252" t="s">
        <v>161</v>
      </c>
    </row>
    <row r="580">
      <c r="H580" s="252" t="s">
        <v>161</v>
      </c>
    </row>
    <row r="581">
      <c r="H581" s="252" t="s">
        <v>161</v>
      </c>
    </row>
    <row r="582">
      <c r="H582" s="252" t="s">
        <v>161</v>
      </c>
    </row>
    <row r="583">
      <c r="H583" s="252" t="s">
        <v>161</v>
      </c>
    </row>
    <row r="584">
      <c r="H584" s="252" t="s">
        <v>161</v>
      </c>
    </row>
    <row r="585">
      <c r="H585" s="252" t="s">
        <v>161</v>
      </c>
    </row>
    <row r="586">
      <c r="H586" s="252" t="s">
        <v>161</v>
      </c>
    </row>
    <row r="587">
      <c r="H587" s="252" t="s">
        <v>161</v>
      </c>
    </row>
    <row r="588">
      <c r="H588" s="252" t="s">
        <v>161</v>
      </c>
    </row>
    <row r="589">
      <c r="H589" s="252" t="s">
        <v>161</v>
      </c>
    </row>
    <row r="590">
      <c r="H590" s="252" t="s">
        <v>161</v>
      </c>
    </row>
    <row r="591">
      <c r="H591" s="252" t="s">
        <v>161</v>
      </c>
    </row>
    <row r="592">
      <c r="H592" s="252" t="s">
        <v>161</v>
      </c>
    </row>
    <row r="593">
      <c r="H593" s="252" t="s">
        <v>161</v>
      </c>
    </row>
    <row r="594">
      <c r="H594" s="252" t="s">
        <v>161</v>
      </c>
    </row>
    <row r="595">
      <c r="H595" s="252" t="s">
        <v>161</v>
      </c>
    </row>
    <row r="596">
      <c r="H596" s="252" t="s">
        <v>161</v>
      </c>
    </row>
    <row r="597">
      <c r="H597" s="252" t="s">
        <v>161</v>
      </c>
    </row>
    <row r="598">
      <c r="H598" s="252" t="s">
        <v>161</v>
      </c>
    </row>
    <row r="599">
      <c r="H599" s="252" t="s">
        <v>161</v>
      </c>
    </row>
    <row r="600">
      <c r="H600" s="252" t="s">
        <v>161</v>
      </c>
    </row>
    <row r="601">
      <c r="H601" s="252" t="s">
        <v>161</v>
      </c>
    </row>
    <row r="602">
      <c r="H602" s="252" t="s">
        <v>161</v>
      </c>
    </row>
    <row r="603">
      <c r="H603" s="252" t="s">
        <v>161</v>
      </c>
    </row>
    <row r="604">
      <c r="H604" s="252" t="s">
        <v>161</v>
      </c>
    </row>
    <row r="605">
      <c r="H605" s="252" t="s">
        <v>161</v>
      </c>
    </row>
    <row r="606">
      <c r="H606" s="252" t="s">
        <v>161</v>
      </c>
    </row>
    <row r="607">
      <c r="H607" s="252" t="s">
        <v>161</v>
      </c>
    </row>
    <row r="608">
      <c r="H608" s="252" t="s">
        <v>161</v>
      </c>
    </row>
    <row r="609">
      <c r="H609" s="252" t="s">
        <v>161</v>
      </c>
    </row>
    <row r="610">
      <c r="H610" s="252" t="s">
        <v>161</v>
      </c>
    </row>
    <row r="611">
      <c r="H611" s="252" t="s">
        <v>161</v>
      </c>
    </row>
    <row r="612">
      <c r="H612" s="252" t="s">
        <v>161</v>
      </c>
    </row>
    <row r="613">
      <c r="H613" s="252" t="s">
        <v>161</v>
      </c>
    </row>
    <row r="614">
      <c r="H614" s="252" t="s">
        <v>161</v>
      </c>
    </row>
    <row r="615">
      <c r="H615" s="252" t="s">
        <v>161</v>
      </c>
    </row>
    <row r="616">
      <c r="H616" s="252" t="s">
        <v>161</v>
      </c>
    </row>
    <row r="617">
      <c r="H617" s="252" t="s">
        <v>161</v>
      </c>
    </row>
    <row r="618">
      <c r="H618" s="252" t="s">
        <v>161</v>
      </c>
    </row>
    <row r="619">
      <c r="H619" s="252" t="s">
        <v>161</v>
      </c>
    </row>
    <row r="620">
      <c r="H620" s="252" t="s">
        <v>161</v>
      </c>
    </row>
    <row r="621">
      <c r="H621" s="252" t="s">
        <v>161</v>
      </c>
    </row>
    <row r="622">
      <c r="H622" s="252" t="s">
        <v>161</v>
      </c>
    </row>
    <row r="623">
      <c r="H623" s="252" t="s">
        <v>161</v>
      </c>
    </row>
    <row r="624">
      <c r="H624" s="252" t="s">
        <v>161</v>
      </c>
    </row>
    <row r="625">
      <c r="H625" s="252" t="s">
        <v>161</v>
      </c>
    </row>
    <row r="626">
      <c r="H626" s="252" t="s">
        <v>161</v>
      </c>
    </row>
    <row r="627">
      <c r="H627" s="252" t="s">
        <v>161</v>
      </c>
    </row>
    <row r="628">
      <c r="H628" s="252" t="s">
        <v>161</v>
      </c>
    </row>
    <row r="629">
      <c r="H629" s="252" t="s">
        <v>161</v>
      </c>
    </row>
    <row r="630">
      <c r="H630" s="252" t="s">
        <v>161</v>
      </c>
    </row>
    <row r="631">
      <c r="H631" s="252" t="s">
        <v>161</v>
      </c>
    </row>
    <row r="632">
      <c r="H632" s="252" t="s">
        <v>161</v>
      </c>
    </row>
    <row r="633">
      <c r="H633" s="252" t="s">
        <v>161</v>
      </c>
    </row>
    <row r="634">
      <c r="H634" s="252" t="s">
        <v>161</v>
      </c>
    </row>
    <row r="635">
      <c r="H635" s="252" t="s">
        <v>161</v>
      </c>
    </row>
    <row r="636">
      <c r="H636" s="252" t="s">
        <v>161</v>
      </c>
    </row>
    <row r="637">
      <c r="H637" s="252" t="s">
        <v>161</v>
      </c>
    </row>
    <row r="638">
      <c r="H638" s="252" t="s">
        <v>161</v>
      </c>
    </row>
    <row r="639">
      <c r="H639" s="252" t="s">
        <v>161</v>
      </c>
    </row>
    <row r="640">
      <c r="H640" s="252" t="s">
        <v>161</v>
      </c>
    </row>
    <row r="641">
      <c r="H641" s="252" t="s">
        <v>161</v>
      </c>
    </row>
    <row r="642">
      <c r="H642" s="252" t="s">
        <v>161</v>
      </c>
    </row>
    <row r="643">
      <c r="H643" s="252" t="s">
        <v>161</v>
      </c>
    </row>
    <row r="644">
      <c r="H644" s="252" t="s">
        <v>161</v>
      </c>
    </row>
    <row r="645">
      <c r="H645" s="252" t="s">
        <v>161</v>
      </c>
    </row>
    <row r="646">
      <c r="H646" s="252" t="s">
        <v>161</v>
      </c>
    </row>
    <row r="647">
      <c r="H647" s="252" t="s">
        <v>161</v>
      </c>
    </row>
    <row r="648">
      <c r="H648" s="252" t="s">
        <v>161</v>
      </c>
    </row>
    <row r="649">
      <c r="H649" s="252" t="s">
        <v>161</v>
      </c>
    </row>
    <row r="650">
      <c r="H650" s="252" t="s">
        <v>161</v>
      </c>
    </row>
    <row r="651">
      <c r="H651" s="252" t="s">
        <v>161</v>
      </c>
    </row>
    <row r="652">
      <c r="H652" s="252" t="s">
        <v>161</v>
      </c>
    </row>
    <row r="653">
      <c r="H653" s="252" t="s">
        <v>161</v>
      </c>
    </row>
    <row r="654">
      <c r="H654" s="252" t="s">
        <v>161</v>
      </c>
    </row>
    <row r="655">
      <c r="H655" s="252" t="s">
        <v>161</v>
      </c>
    </row>
    <row r="656">
      <c r="H656" s="252" t="s">
        <v>161</v>
      </c>
    </row>
    <row r="657">
      <c r="H657" s="252" t="s">
        <v>161</v>
      </c>
    </row>
    <row r="658">
      <c r="H658" s="252" t="s">
        <v>161</v>
      </c>
    </row>
    <row r="659">
      <c r="H659" s="252" t="s">
        <v>161</v>
      </c>
    </row>
    <row r="660">
      <c r="H660" s="252" t="s">
        <v>161</v>
      </c>
    </row>
    <row r="661">
      <c r="H661" s="252" t="s">
        <v>161</v>
      </c>
    </row>
    <row r="662">
      <c r="H662" s="252" t="s">
        <v>161</v>
      </c>
    </row>
    <row r="663">
      <c r="H663" s="252" t="s">
        <v>161</v>
      </c>
    </row>
    <row r="664">
      <c r="H664" s="252" t="s">
        <v>161</v>
      </c>
    </row>
    <row r="665">
      <c r="H665" s="252" t="s">
        <v>161</v>
      </c>
    </row>
    <row r="666">
      <c r="H666" s="252" t="s">
        <v>161</v>
      </c>
    </row>
    <row r="667">
      <c r="H667" s="252" t="s">
        <v>161</v>
      </c>
    </row>
    <row r="668">
      <c r="H668" s="252" t="s">
        <v>161</v>
      </c>
    </row>
    <row r="669">
      <c r="H669" s="252" t="s">
        <v>161</v>
      </c>
    </row>
    <row r="670">
      <c r="H670" s="252" t="s">
        <v>161</v>
      </c>
    </row>
    <row r="671">
      <c r="H671" s="252" t="s">
        <v>161</v>
      </c>
    </row>
    <row r="672">
      <c r="H672" s="252" t="s">
        <v>161</v>
      </c>
    </row>
    <row r="673">
      <c r="H673" s="252" t="s">
        <v>161</v>
      </c>
    </row>
    <row r="674">
      <c r="H674" s="252" t="s">
        <v>161</v>
      </c>
    </row>
    <row r="675">
      <c r="H675" s="252" t="s">
        <v>161</v>
      </c>
    </row>
    <row r="676">
      <c r="H676" s="252" t="s">
        <v>161</v>
      </c>
    </row>
    <row r="677">
      <c r="H677" s="252" t="s">
        <v>161</v>
      </c>
    </row>
    <row r="678">
      <c r="H678" s="252" t="s">
        <v>161</v>
      </c>
    </row>
    <row r="679">
      <c r="H679" s="252" t="s">
        <v>161</v>
      </c>
    </row>
    <row r="680">
      <c r="H680" s="252" t="s">
        <v>161</v>
      </c>
    </row>
    <row r="681">
      <c r="H681" s="252" t="s">
        <v>161</v>
      </c>
    </row>
    <row r="682">
      <c r="H682" s="252" t="s">
        <v>161</v>
      </c>
    </row>
    <row r="683">
      <c r="H683" s="252" t="s">
        <v>161</v>
      </c>
    </row>
    <row r="684">
      <c r="H684" s="252" t="s">
        <v>161</v>
      </c>
    </row>
    <row r="685">
      <c r="H685" s="252" t="s">
        <v>161</v>
      </c>
    </row>
    <row r="686">
      <c r="H686" s="252" t="s">
        <v>161</v>
      </c>
    </row>
    <row r="687">
      <c r="H687" s="252" t="s">
        <v>161</v>
      </c>
    </row>
    <row r="688">
      <c r="H688" s="252" t="s">
        <v>161</v>
      </c>
    </row>
    <row r="689">
      <c r="H689" s="252" t="s">
        <v>161</v>
      </c>
    </row>
    <row r="690">
      <c r="H690" s="252" t="s">
        <v>161</v>
      </c>
    </row>
    <row r="691">
      <c r="H691" s="252" t="s">
        <v>161</v>
      </c>
    </row>
    <row r="692">
      <c r="H692" s="252" t="s">
        <v>161</v>
      </c>
    </row>
    <row r="693">
      <c r="H693" s="252" t="s">
        <v>161</v>
      </c>
    </row>
    <row r="694">
      <c r="H694" s="252" t="s">
        <v>161</v>
      </c>
    </row>
    <row r="695">
      <c r="H695" s="252" t="s">
        <v>161</v>
      </c>
    </row>
    <row r="696">
      <c r="H696" s="252" t="s">
        <v>161</v>
      </c>
    </row>
    <row r="697">
      <c r="H697" s="252" t="s">
        <v>161</v>
      </c>
    </row>
    <row r="698">
      <c r="H698" s="252" t="s">
        <v>161</v>
      </c>
    </row>
    <row r="699">
      <c r="H699" s="252" t="s">
        <v>161</v>
      </c>
    </row>
    <row r="700">
      <c r="H700" s="252" t="s">
        <v>161</v>
      </c>
    </row>
    <row r="701">
      <c r="H701" s="252" t="s">
        <v>161</v>
      </c>
    </row>
    <row r="702">
      <c r="H702" s="252" t="s">
        <v>161</v>
      </c>
    </row>
    <row r="703">
      <c r="H703" s="252" t="s">
        <v>161</v>
      </c>
    </row>
    <row r="704">
      <c r="H704" s="252" t="s">
        <v>161</v>
      </c>
    </row>
    <row r="705">
      <c r="H705" s="252" t="s">
        <v>161</v>
      </c>
    </row>
    <row r="706">
      <c r="H706" s="252" t="s">
        <v>161</v>
      </c>
    </row>
    <row r="707">
      <c r="H707" s="252" t="s">
        <v>161</v>
      </c>
    </row>
    <row r="708">
      <c r="H708" s="252" t="s">
        <v>161</v>
      </c>
    </row>
    <row r="709">
      <c r="H709" s="252" t="s">
        <v>161</v>
      </c>
    </row>
    <row r="710">
      <c r="H710" s="252" t="s">
        <v>161</v>
      </c>
    </row>
    <row r="711">
      <c r="H711" s="252" t="s">
        <v>161</v>
      </c>
    </row>
    <row r="712">
      <c r="H712" s="252" t="s">
        <v>161</v>
      </c>
    </row>
    <row r="713">
      <c r="H713" s="252" t="s">
        <v>161</v>
      </c>
    </row>
    <row r="714">
      <c r="H714" s="252" t="s">
        <v>161</v>
      </c>
    </row>
    <row r="715">
      <c r="H715" s="252" t="s">
        <v>161</v>
      </c>
    </row>
    <row r="716">
      <c r="H716" s="252" t="s">
        <v>161</v>
      </c>
    </row>
    <row r="717">
      <c r="H717" s="252" t="s">
        <v>161</v>
      </c>
    </row>
    <row r="718">
      <c r="H718" s="252" t="s">
        <v>161</v>
      </c>
    </row>
    <row r="719">
      <c r="H719" s="252" t="s">
        <v>161</v>
      </c>
    </row>
    <row r="720">
      <c r="H720" s="252" t="s">
        <v>161</v>
      </c>
    </row>
    <row r="721">
      <c r="H721" s="252" t="s">
        <v>161</v>
      </c>
    </row>
    <row r="722">
      <c r="H722" s="252" t="s">
        <v>161</v>
      </c>
    </row>
    <row r="723">
      <c r="H723" s="252" t="s">
        <v>161</v>
      </c>
    </row>
    <row r="724">
      <c r="H724" s="252" t="s">
        <v>161</v>
      </c>
    </row>
    <row r="725">
      <c r="H725" s="252" t="s">
        <v>161</v>
      </c>
    </row>
    <row r="726">
      <c r="H726" s="252" t="s">
        <v>161</v>
      </c>
    </row>
    <row r="727">
      <c r="H727" s="252" t="s">
        <v>161</v>
      </c>
    </row>
    <row r="728">
      <c r="H728" s="252" t="s">
        <v>161</v>
      </c>
    </row>
    <row r="729">
      <c r="H729" s="252" t="s">
        <v>161</v>
      </c>
    </row>
    <row r="730">
      <c r="H730" s="252" t="s">
        <v>161</v>
      </c>
    </row>
    <row r="731">
      <c r="H731" s="252" t="s">
        <v>161</v>
      </c>
    </row>
    <row r="732">
      <c r="H732" s="252" t="s">
        <v>161</v>
      </c>
    </row>
    <row r="733">
      <c r="H733" s="252" t="s">
        <v>161</v>
      </c>
    </row>
    <row r="734">
      <c r="H734" s="252" t="s">
        <v>161</v>
      </c>
    </row>
    <row r="735">
      <c r="H735" s="252" t="s">
        <v>161</v>
      </c>
    </row>
    <row r="736">
      <c r="H736" s="252" t="s">
        <v>161</v>
      </c>
    </row>
    <row r="737">
      <c r="H737" s="252" t="s">
        <v>161</v>
      </c>
    </row>
    <row r="738">
      <c r="H738" s="252" t="s">
        <v>161</v>
      </c>
    </row>
    <row r="739">
      <c r="H739" s="252" t="s">
        <v>161</v>
      </c>
    </row>
    <row r="740">
      <c r="H740" s="252" t="s">
        <v>161</v>
      </c>
    </row>
    <row r="741">
      <c r="H741" s="252" t="s">
        <v>161</v>
      </c>
    </row>
    <row r="742">
      <c r="H742" s="252" t="s">
        <v>161</v>
      </c>
    </row>
    <row r="743">
      <c r="H743" s="252" t="s">
        <v>161</v>
      </c>
    </row>
    <row r="744">
      <c r="H744" s="252" t="s">
        <v>161</v>
      </c>
    </row>
    <row r="745">
      <c r="H745" s="252" t="s">
        <v>161</v>
      </c>
    </row>
    <row r="746">
      <c r="H746" s="252" t="s">
        <v>161</v>
      </c>
    </row>
    <row r="747">
      <c r="H747" s="252" t="s">
        <v>161</v>
      </c>
    </row>
    <row r="748">
      <c r="H748" s="252" t="s">
        <v>161</v>
      </c>
    </row>
    <row r="749">
      <c r="H749" s="252" t="s">
        <v>161</v>
      </c>
    </row>
    <row r="750">
      <c r="H750" s="252" t="s">
        <v>161</v>
      </c>
    </row>
    <row r="751">
      <c r="H751" s="252" t="s">
        <v>161</v>
      </c>
    </row>
    <row r="752">
      <c r="H752" s="252" t="s">
        <v>161</v>
      </c>
    </row>
    <row r="753">
      <c r="H753" s="252" t="s">
        <v>161</v>
      </c>
    </row>
    <row r="754">
      <c r="H754" s="252" t="s">
        <v>161</v>
      </c>
    </row>
    <row r="755">
      <c r="H755" s="252" t="s">
        <v>161</v>
      </c>
    </row>
    <row r="756">
      <c r="H756" s="252" t="s">
        <v>161</v>
      </c>
    </row>
    <row r="757">
      <c r="H757" s="252" t="s">
        <v>161</v>
      </c>
    </row>
    <row r="758">
      <c r="H758" s="252" t="s">
        <v>161</v>
      </c>
    </row>
    <row r="759">
      <c r="H759" s="252" t="s">
        <v>161</v>
      </c>
    </row>
    <row r="760">
      <c r="H760" s="252" t="s">
        <v>161</v>
      </c>
    </row>
    <row r="761">
      <c r="H761" s="252" t="s">
        <v>161</v>
      </c>
    </row>
    <row r="762">
      <c r="H762" s="252" t="s">
        <v>161</v>
      </c>
    </row>
    <row r="763">
      <c r="H763" s="252" t="s">
        <v>161</v>
      </c>
    </row>
    <row r="764">
      <c r="H764" s="252" t="s">
        <v>161</v>
      </c>
    </row>
    <row r="765">
      <c r="H765" s="252" t="s">
        <v>161</v>
      </c>
    </row>
    <row r="766">
      <c r="H766" s="252" t="s">
        <v>161</v>
      </c>
    </row>
    <row r="767">
      <c r="H767" s="252" t="s">
        <v>161</v>
      </c>
    </row>
    <row r="768">
      <c r="H768" s="252" t="s">
        <v>161</v>
      </c>
    </row>
    <row r="769">
      <c r="H769" s="252" t="s">
        <v>161</v>
      </c>
    </row>
    <row r="770">
      <c r="H770" s="252" t="s">
        <v>161</v>
      </c>
    </row>
    <row r="771">
      <c r="H771" s="252" t="s">
        <v>161</v>
      </c>
    </row>
    <row r="772">
      <c r="H772" s="252" t="s">
        <v>161</v>
      </c>
    </row>
    <row r="773">
      <c r="H773" s="252" t="s">
        <v>161</v>
      </c>
    </row>
    <row r="774">
      <c r="H774" s="252" t="s">
        <v>161</v>
      </c>
    </row>
    <row r="775">
      <c r="H775" s="252" t="s">
        <v>161</v>
      </c>
    </row>
    <row r="776">
      <c r="H776" s="252" t="s">
        <v>161</v>
      </c>
    </row>
    <row r="777">
      <c r="H777" s="252" t="s">
        <v>161</v>
      </c>
    </row>
    <row r="778">
      <c r="H778" s="252" t="s">
        <v>161</v>
      </c>
    </row>
    <row r="779">
      <c r="H779" s="252" t="s">
        <v>161</v>
      </c>
    </row>
    <row r="780">
      <c r="H780" s="252" t="s">
        <v>161</v>
      </c>
    </row>
    <row r="781">
      <c r="H781" s="252" t="s">
        <v>161</v>
      </c>
    </row>
    <row r="782">
      <c r="H782" s="252" t="s">
        <v>161</v>
      </c>
    </row>
    <row r="783">
      <c r="H783" s="252" t="s">
        <v>161</v>
      </c>
    </row>
    <row r="784">
      <c r="H784" s="252" t="s">
        <v>161</v>
      </c>
    </row>
    <row r="785">
      <c r="H785" s="252" t="s">
        <v>161</v>
      </c>
    </row>
    <row r="786">
      <c r="H786" s="252" t="s">
        <v>161</v>
      </c>
    </row>
    <row r="787">
      <c r="H787" s="252" t="s">
        <v>161</v>
      </c>
    </row>
    <row r="788">
      <c r="H788" s="252" t="s">
        <v>161</v>
      </c>
    </row>
    <row r="789">
      <c r="H789" s="252" t="s">
        <v>161</v>
      </c>
    </row>
    <row r="790">
      <c r="H790" s="252" t="s">
        <v>161</v>
      </c>
    </row>
    <row r="791">
      <c r="H791" s="252" t="s">
        <v>161</v>
      </c>
    </row>
    <row r="792">
      <c r="H792" s="252" t="s">
        <v>161</v>
      </c>
    </row>
    <row r="793">
      <c r="H793" s="252" t="s">
        <v>161</v>
      </c>
    </row>
    <row r="794">
      <c r="H794" s="252" t="s">
        <v>161</v>
      </c>
    </row>
    <row r="795">
      <c r="H795" s="252" t="s">
        <v>161</v>
      </c>
    </row>
    <row r="796">
      <c r="H796" s="252" t="s">
        <v>161</v>
      </c>
    </row>
    <row r="797">
      <c r="H797" s="252" t="s">
        <v>161</v>
      </c>
    </row>
    <row r="798">
      <c r="H798" s="252" t="s">
        <v>161</v>
      </c>
    </row>
    <row r="799">
      <c r="H799" s="252" t="s">
        <v>161</v>
      </c>
    </row>
    <row r="800">
      <c r="H800" s="252" t="s">
        <v>161</v>
      </c>
    </row>
    <row r="801">
      <c r="H801" s="252" t="s">
        <v>161</v>
      </c>
    </row>
    <row r="802">
      <c r="H802" s="252" t="s">
        <v>161</v>
      </c>
    </row>
    <row r="803">
      <c r="H803" s="252" t="s">
        <v>161</v>
      </c>
    </row>
    <row r="804">
      <c r="H804" s="252" t="s">
        <v>161</v>
      </c>
    </row>
    <row r="805">
      <c r="H805" s="252" t="s">
        <v>161</v>
      </c>
    </row>
    <row r="806">
      <c r="H806" s="252" t="s">
        <v>161</v>
      </c>
    </row>
    <row r="807">
      <c r="H807" s="252" t="s">
        <v>161</v>
      </c>
    </row>
    <row r="808">
      <c r="H808" s="252" t="s">
        <v>161</v>
      </c>
    </row>
    <row r="809">
      <c r="H809" s="252" t="s">
        <v>161</v>
      </c>
    </row>
    <row r="810">
      <c r="H810" s="252" t="s">
        <v>161</v>
      </c>
    </row>
    <row r="811">
      <c r="H811" s="252" t="s">
        <v>161</v>
      </c>
    </row>
    <row r="812">
      <c r="H812" s="252" t="s">
        <v>161</v>
      </c>
    </row>
    <row r="813">
      <c r="H813" s="252" t="s">
        <v>161</v>
      </c>
    </row>
    <row r="814">
      <c r="H814" s="252" t="s">
        <v>161</v>
      </c>
    </row>
    <row r="815">
      <c r="H815" s="252" t="s">
        <v>161</v>
      </c>
    </row>
    <row r="816">
      <c r="H816" s="252" t="s">
        <v>161</v>
      </c>
    </row>
    <row r="817">
      <c r="H817" s="252" t="s">
        <v>161</v>
      </c>
    </row>
    <row r="818">
      <c r="H818" s="252" t="s">
        <v>161</v>
      </c>
    </row>
    <row r="819">
      <c r="H819" s="252" t="s">
        <v>161</v>
      </c>
    </row>
    <row r="820">
      <c r="H820" s="252" t="s">
        <v>161</v>
      </c>
    </row>
    <row r="821">
      <c r="H821" s="252" t="s">
        <v>161</v>
      </c>
    </row>
    <row r="822">
      <c r="H822" s="252" t="s">
        <v>161</v>
      </c>
    </row>
    <row r="823">
      <c r="H823" s="252" t="s">
        <v>161</v>
      </c>
    </row>
    <row r="824">
      <c r="H824" s="252" t="s">
        <v>161</v>
      </c>
    </row>
    <row r="825">
      <c r="H825" s="252" t="s">
        <v>161</v>
      </c>
    </row>
    <row r="826">
      <c r="H826" s="252" t="s">
        <v>161</v>
      </c>
    </row>
    <row r="827">
      <c r="H827" s="252" t="s">
        <v>161</v>
      </c>
    </row>
    <row r="828">
      <c r="H828" s="252" t="s">
        <v>161</v>
      </c>
    </row>
    <row r="829">
      <c r="H829" s="252" t="s">
        <v>161</v>
      </c>
    </row>
    <row r="830">
      <c r="H830" s="252" t="s">
        <v>161</v>
      </c>
    </row>
    <row r="831">
      <c r="H831" s="252" t="s">
        <v>161</v>
      </c>
    </row>
    <row r="832">
      <c r="H832" s="252" t="s">
        <v>161</v>
      </c>
    </row>
    <row r="833">
      <c r="H833" s="252" t="s">
        <v>161</v>
      </c>
    </row>
    <row r="834">
      <c r="H834" s="252" t="s">
        <v>161</v>
      </c>
    </row>
    <row r="835">
      <c r="H835" s="252" t="s">
        <v>161</v>
      </c>
    </row>
    <row r="836">
      <c r="H836" s="252" t="s">
        <v>161</v>
      </c>
    </row>
    <row r="837">
      <c r="H837" s="252" t="s">
        <v>161</v>
      </c>
    </row>
    <row r="838">
      <c r="H838" s="252" t="s">
        <v>161</v>
      </c>
    </row>
    <row r="839">
      <c r="H839" s="252" t="s">
        <v>161</v>
      </c>
    </row>
    <row r="840">
      <c r="H840" s="252" t="s">
        <v>161</v>
      </c>
    </row>
    <row r="841">
      <c r="H841" s="252" t="s">
        <v>161</v>
      </c>
    </row>
    <row r="842">
      <c r="H842" s="252" t="s">
        <v>161</v>
      </c>
    </row>
    <row r="843">
      <c r="H843" s="252" t="s">
        <v>161</v>
      </c>
    </row>
    <row r="844">
      <c r="H844" s="252" t="s">
        <v>161</v>
      </c>
    </row>
    <row r="845">
      <c r="H845" s="252" t="s">
        <v>161</v>
      </c>
    </row>
    <row r="846">
      <c r="H846" s="252" t="s">
        <v>161</v>
      </c>
    </row>
    <row r="847">
      <c r="H847" s="252" t="s">
        <v>161</v>
      </c>
    </row>
    <row r="848">
      <c r="H848" s="252" t="s">
        <v>161</v>
      </c>
    </row>
    <row r="849">
      <c r="H849" s="252" t="s">
        <v>161</v>
      </c>
    </row>
    <row r="850">
      <c r="H850" s="252" t="s">
        <v>161</v>
      </c>
    </row>
    <row r="851">
      <c r="H851" s="252" t="s">
        <v>161</v>
      </c>
    </row>
    <row r="852">
      <c r="H852" s="252" t="s">
        <v>161</v>
      </c>
    </row>
    <row r="853">
      <c r="H853" s="252" t="s">
        <v>161</v>
      </c>
    </row>
    <row r="854">
      <c r="H854" s="252" t="s">
        <v>161</v>
      </c>
    </row>
    <row r="855">
      <c r="H855" s="252" t="s">
        <v>161</v>
      </c>
    </row>
    <row r="856">
      <c r="H856" s="252" t="s">
        <v>161</v>
      </c>
    </row>
    <row r="857">
      <c r="H857" s="252" t="s">
        <v>161</v>
      </c>
    </row>
    <row r="858">
      <c r="H858" s="252" t="s">
        <v>161</v>
      </c>
    </row>
    <row r="859">
      <c r="H859" s="252" t="s">
        <v>161</v>
      </c>
    </row>
    <row r="860">
      <c r="H860" s="252" t="s">
        <v>161</v>
      </c>
    </row>
    <row r="861">
      <c r="H861" s="252" t="s">
        <v>161</v>
      </c>
    </row>
    <row r="862">
      <c r="H862" s="252" t="s">
        <v>161</v>
      </c>
    </row>
    <row r="863">
      <c r="H863" s="252" t="s">
        <v>161</v>
      </c>
    </row>
    <row r="864">
      <c r="H864" s="252" t="s">
        <v>161</v>
      </c>
    </row>
    <row r="865">
      <c r="H865" s="252" t="s">
        <v>161</v>
      </c>
    </row>
    <row r="866">
      <c r="H866" s="252" t="s">
        <v>161</v>
      </c>
    </row>
    <row r="867">
      <c r="H867" s="252" t="s">
        <v>161</v>
      </c>
    </row>
    <row r="868">
      <c r="H868" s="252" t="s">
        <v>161</v>
      </c>
    </row>
    <row r="869">
      <c r="H869" s="252" t="s">
        <v>161</v>
      </c>
    </row>
    <row r="870">
      <c r="H870" s="252" t="s">
        <v>161</v>
      </c>
    </row>
    <row r="871">
      <c r="H871" s="252" t="s">
        <v>161</v>
      </c>
    </row>
    <row r="872">
      <c r="H872" s="252" t="s">
        <v>161</v>
      </c>
    </row>
    <row r="873">
      <c r="H873" s="252" t="s">
        <v>161</v>
      </c>
    </row>
    <row r="874">
      <c r="H874" s="252" t="s">
        <v>161</v>
      </c>
    </row>
    <row r="875">
      <c r="H875" s="252" t="s">
        <v>161</v>
      </c>
    </row>
    <row r="876">
      <c r="H876" s="252" t="s">
        <v>161</v>
      </c>
    </row>
    <row r="877">
      <c r="H877" s="252" t="s">
        <v>161</v>
      </c>
    </row>
    <row r="878">
      <c r="H878" s="252" t="s">
        <v>161</v>
      </c>
    </row>
    <row r="879">
      <c r="H879" s="252" t="s">
        <v>161</v>
      </c>
    </row>
    <row r="880">
      <c r="H880" s="252" t="s">
        <v>161</v>
      </c>
    </row>
    <row r="881">
      <c r="H881" s="252" t="s">
        <v>161</v>
      </c>
    </row>
    <row r="882">
      <c r="H882" s="252" t="s">
        <v>161</v>
      </c>
    </row>
    <row r="883">
      <c r="H883" s="252" t="s">
        <v>161</v>
      </c>
    </row>
    <row r="884">
      <c r="H884" s="252" t="s">
        <v>161</v>
      </c>
    </row>
    <row r="885">
      <c r="H885" s="252" t="s">
        <v>161</v>
      </c>
    </row>
    <row r="886">
      <c r="H886" s="252" t="s">
        <v>161</v>
      </c>
    </row>
    <row r="887">
      <c r="H887" s="252" t="s">
        <v>161</v>
      </c>
    </row>
    <row r="888">
      <c r="H888" s="252" t="s">
        <v>161</v>
      </c>
    </row>
    <row r="889">
      <c r="H889" s="252" t="s">
        <v>161</v>
      </c>
    </row>
    <row r="890">
      <c r="H890" s="252" t="s">
        <v>161</v>
      </c>
    </row>
    <row r="891">
      <c r="H891" s="252" t="s">
        <v>161</v>
      </c>
    </row>
    <row r="892">
      <c r="H892" s="252" t="s">
        <v>161</v>
      </c>
    </row>
    <row r="893">
      <c r="H893" s="252" t="s">
        <v>161</v>
      </c>
    </row>
    <row r="894">
      <c r="H894" s="252" t="s">
        <v>161</v>
      </c>
    </row>
    <row r="895">
      <c r="H895" s="252" t="s">
        <v>161</v>
      </c>
    </row>
    <row r="896">
      <c r="H896" s="252" t="s">
        <v>161</v>
      </c>
    </row>
    <row r="897">
      <c r="H897" s="252" t="s">
        <v>161</v>
      </c>
    </row>
    <row r="898">
      <c r="H898" s="252" t="s">
        <v>161</v>
      </c>
    </row>
    <row r="899">
      <c r="H899" s="252" t="s">
        <v>161</v>
      </c>
    </row>
    <row r="900">
      <c r="H900" s="252" t="s">
        <v>161</v>
      </c>
    </row>
    <row r="901">
      <c r="H901" s="252" t="s">
        <v>161</v>
      </c>
    </row>
    <row r="902">
      <c r="H902" s="252" t="s">
        <v>161</v>
      </c>
    </row>
    <row r="903">
      <c r="H903" s="252" t="s">
        <v>161</v>
      </c>
    </row>
    <row r="904">
      <c r="H904" s="252" t="s">
        <v>161</v>
      </c>
    </row>
    <row r="905">
      <c r="H905" s="252" t="s">
        <v>161</v>
      </c>
    </row>
    <row r="906">
      <c r="H906" s="252" t="s">
        <v>161</v>
      </c>
    </row>
    <row r="907">
      <c r="H907" s="252" t="s">
        <v>161</v>
      </c>
    </row>
    <row r="908">
      <c r="H908" s="252" t="s">
        <v>161</v>
      </c>
    </row>
    <row r="909">
      <c r="H909" s="252" t="s">
        <v>161</v>
      </c>
    </row>
    <row r="910">
      <c r="H910" s="252" t="s">
        <v>161</v>
      </c>
    </row>
    <row r="911">
      <c r="H911" s="252" t="s">
        <v>161</v>
      </c>
    </row>
    <row r="912">
      <c r="H912" s="252" t="s">
        <v>161</v>
      </c>
    </row>
    <row r="913">
      <c r="H913" s="252" t="s">
        <v>161</v>
      </c>
    </row>
    <row r="914">
      <c r="H914" s="252" t="s">
        <v>161</v>
      </c>
    </row>
    <row r="915">
      <c r="H915" s="252" t="s">
        <v>161</v>
      </c>
    </row>
    <row r="916">
      <c r="H916" s="252" t="s">
        <v>161</v>
      </c>
    </row>
    <row r="917">
      <c r="H917" s="252" t="s">
        <v>161</v>
      </c>
    </row>
    <row r="918">
      <c r="H918" s="252" t="s">
        <v>161</v>
      </c>
    </row>
    <row r="919">
      <c r="H919" s="252" t="s">
        <v>161</v>
      </c>
    </row>
    <row r="920">
      <c r="H920" s="252" t="s">
        <v>161</v>
      </c>
    </row>
    <row r="921">
      <c r="H921" s="252" t="s">
        <v>161</v>
      </c>
    </row>
    <row r="922">
      <c r="H922" s="252" t="s">
        <v>161</v>
      </c>
    </row>
    <row r="923">
      <c r="H923" s="252" t="s">
        <v>161</v>
      </c>
    </row>
    <row r="924">
      <c r="H924" s="252" t="s">
        <v>161</v>
      </c>
    </row>
    <row r="925">
      <c r="H925" s="252" t="s">
        <v>161</v>
      </c>
    </row>
    <row r="926">
      <c r="H926" s="252" t="s">
        <v>161</v>
      </c>
    </row>
    <row r="927">
      <c r="H927" s="252" t="s">
        <v>161</v>
      </c>
    </row>
    <row r="928">
      <c r="H928" s="252" t="s">
        <v>161</v>
      </c>
    </row>
    <row r="929">
      <c r="H929" s="252" t="s">
        <v>161</v>
      </c>
    </row>
    <row r="930">
      <c r="H930" s="252" t="s">
        <v>161</v>
      </c>
    </row>
    <row r="931">
      <c r="H931" s="252" t="s">
        <v>161</v>
      </c>
    </row>
    <row r="932">
      <c r="H932" s="252" t="s">
        <v>161</v>
      </c>
    </row>
    <row r="933">
      <c r="H933" s="252" t="s">
        <v>161</v>
      </c>
    </row>
    <row r="934">
      <c r="H934" s="252" t="s">
        <v>161</v>
      </c>
    </row>
    <row r="935">
      <c r="H935" s="252" t="s">
        <v>161</v>
      </c>
    </row>
    <row r="936">
      <c r="H936" s="252" t="s">
        <v>161</v>
      </c>
    </row>
    <row r="937">
      <c r="H937" s="252" t="s">
        <v>161</v>
      </c>
    </row>
    <row r="938">
      <c r="H938" s="252" t="s">
        <v>161</v>
      </c>
    </row>
    <row r="939">
      <c r="H939" s="252" t="s">
        <v>161</v>
      </c>
    </row>
    <row r="940">
      <c r="H940" s="252" t="s">
        <v>161</v>
      </c>
    </row>
    <row r="941">
      <c r="H941" s="252" t="s">
        <v>161</v>
      </c>
    </row>
    <row r="942">
      <c r="H942" s="252" t="s">
        <v>161</v>
      </c>
    </row>
    <row r="943">
      <c r="H943" s="252" t="s">
        <v>161</v>
      </c>
    </row>
    <row r="944">
      <c r="H944" s="252" t="s">
        <v>161</v>
      </c>
    </row>
    <row r="945">
      <c r="H945" s="252" t="s">
        <v>161</v>
      </c>
    </row>
    <row r="946">
      <c r="H946" s="252" t="s">
        <v>161</v>
      </c>
    </row>
    <row r="947">
      <c r="H947" s="252" t="s">
        <v>161</v>
      </c>
    </row>
    <row r="948">
      <c r="H948" s="252" t="s">
        <v>161</v>
      </c>
    </row>
    <row r="949">
      <c r="H949" s="252" t="s">
        <v>161</v>
      </c>
    </row>
    <row r="950">
      <c r="H950" s="252" t="s">
        <v>161</v>
      </c>
    </row>
    <row r="951">
      <c r="H951" s="252" t="s">
        <v>161</v>
      </c>
    </row>
    <row r="952">
      <c r="H952" s="252" t="s">
        <v>161</v>
      </c>
    </row>
    <row r="953">
      <c r="H953" s="252" t="s">
        <v>161</v>
      </c>
    </row>
    <row r="954">
      <c r="H954" s="252" t="s">
        <v>161</v>
      </c>
    </row>
    <row r="955">
      <c r="H955" s="252" t="s">
        <v>161</v>
      </c>
    </row>
    <row r="956">
      <c r="H956" s="252" t="s">
        <v>161</v>
      </c>
    </row>
    <row r="957">
      <c r="H957" s="252" t="s">
        <v>161</v>
      </c>
    </row>
    <row r="958">
      <c r="H958" s="252" t="s">
        <v>161</v>
      </c>
    </row>
    <row r="959">
      <c r="H959" s="252" t="s">
        <v>161</v>
      </c>
    </row>
    <row r="960">
      <c r="H960" s="252" t="s">
        <v>161</v>
      </c>
    </row>
    <row r="961">
      <c r="H961" s="252" t="s">
        <v>161</v>
      </c>
    </row>
    <row r="962">
      <c r="H962" s="252" t="s">
        <v>161</v>
      </c>
    </row>
    <row r="963">
      <c r="H963" s="252" t="s">
        <v>161</v>
      </c>
    </row>
    <row r="964">
      <c r="H964" s="252" t="s">
        <v>161</v>
      </c>
    </row>
    <row r="965">
      <c r="H965" s="252" t="s">
        <v>161</v>
      </c>
    </row>
    <row r="966">
      <c r="H966" s="252" t="s">
        <v>161</v>
      </c>
    </row>
    <row r="967">
      <c r="H967" s="252" t="s">
        <v>161</v>
      </c>
    </row>
    <row r="968">
      <c r="H968" s="252" t="s">
        <v>161</v>
      </c>
    </row>
    <row r="969">
      <c r="H969" s="252" t="s">
        <v>161</v>
      </c>
    </row>
    <row r="970">
      <c r="H970" s="252" t="s">
        <v>161</v>
      </c>
    </row>
    <row r="971">
      <c r="H971" s="252" t="s">
        <v>161</v>
      </c>
    </row>
    <row r="972">
      <c r="H972" s="252" t="s">
        <v>161</v>
      </c>
    </row>
    <row r="973">
      <c r="H973" s="252" t="s">
        <v>161</v>
      </c>
    </row>
    <row r="974">
      <c r="H974" s="252" t="s">
        <v>161</v>
      </c>
    </row>
    <row r="975">
      <c r="H975" s="252" t="s">
        <v>161</v>
      </c>
    </row>
    <row r="976">
      <c r="H976" s="252" t="s">
        <v>161</v>
      </c>
    </row>
    <row r="977">
      <c r="H977" s="252" t="s">
        <v>161</v>
      </c>
    </row>
    <row r="978">
      <c r="H978" s="252" t="s">
        <v>161</v>
      </c>
    </row>
    <row r="979">
      <c r="H979" s="252" t="s">
        <v>161</v>
      </c>
    </row>
    <row r="980">
      <c r="H980" s="252" t="s">
        <v>161</v>
      </c>
    </row>
    <row r="981">
      <c r="H981" s="252" t="s">
        <v>161</v>
      </c>
    </row>
    <row r="982">
      <c r="H982" s="252" t="s">
        <v>161</v>
      </c>
    </row>
    <row r="983">
      <c r="H983" s="252" t="s">
        <v>161</v>
      </c>
    </row>
    <row r="984">
      <c r="H984" s="252" t="s">
        <v>161</v>
      </c>
    </row>
    <row r="985">
      <c r="H985" s="252" t="s">
        <v>161</v>
      </c>
    </row>
    <row r="986">
      <c r="H986" s="252" t="s">
        <v>161</v>
      </c>
    </row>
    <row r="987">
      <c r="H987" s="252" t="s">
        <v>161</v>
      </c>
    </row>
    <row r="988">
      <c r="H988" s="252" t="s">
        <v>161</v>
      </c>
    </row>
    <row r="989">
      <c r="H989" s="252" t="s">
        <v>161</v>
      </c>
    </row>
    <row r="990">
      <c r="H990" s="252" t="s">
        <v>161</v>
      </c>
    </row>
    <row r="991">
      <c r="H991" s="252" t="s">
        <v>161</v>
      </c>
    </row>
    <row r="992">
      <c r="H992" s="252" t="s">
        <v>161</v>
      </c>
    </row>
    <row r="993">
      <c r="H993" s="252" t="s">
        <v>161</v>
      </c>
    </row>
    <row r="994">
      <c r="H994" s="252" t="s">
        <v>161</v>
      </c>
    </row>
    <row r="995">
      <c r="H995" s="252" t="s">
        <v>161</v>
      </c>
    </row>
    <row r="996">
      <c r="H996" s="252" t="s">
        <v>161</v>
      </c>
    </row>
    <row r="997">
      <c r="H997" s="252" t="s">
        <v>161</v>
      </c>
    </row>
    <row r="998">
      <c r="H998" s="252" t="s">
        <v>161</v>
      </c>
    </row>
    <row r="999">
      <c r="H999" s="252" t="s">
        <v>161</v>
      </c>
    </row>
    <row r="1000">
      <c r="H1000" s="252" t="s">
        <v>161</v>
      </c>
    </row>
  </sheetData>
  <autoFilter ref="$A$2:$AA$5"/>
  <mergeCells count="4">
    <mergeCell ref="I1:L1"/>
    <mergeCell ref="M1:P1"/>
    <mergeCell ref="Q1:T1"/>
    <mergeCell ref="U1:X1"/>
  </mergeCells>
  <conditionalFormatting sqref="L3 L5">
    <cfRule type="cellIs" dxfId="0" priority="1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3" max="3" width="21.25"/>
    <col customWidth="1" min="6" max="6" width="12.88"/>
    <col customWidth="1" min="7" max="7" width="9.88"/>
    <col customWidth="1" min="8" max="8" width="17.25"/>
    <col customWidth="1" min="9" max="9" width="14.25"/>
  </cols>
  <sheetData>
    <row r="1">
      <c r="A1" s="426">
        <v>5.0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524" t="s">
        <v>0</v>
      </c>
      <c r="O1" s="258"/>
      <c r="P1" s="258"/>
      <c r="Q1" s="524" t="s">
        <v>348</v>
      </c>
      <c r="S1" s="258"/>
      <c r="T1" s="258"/>
      <c r="U1" s="524" t="s">
        <v>349</v>
      </c>
      <c r="W1" s="258"/>
      <c r="X1" s="258"/>
      <c r="Y1" s="524" t="s">
        <v>503</v>
      </c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8"/>
      <c r="AP1" s="258"/>
      <c r="AQ1" s="258"/>
      <c r="AR1" s="258"/>
      <c r="AS1" s="258"/>
      <c r="AT1" s="258"/>
      <c r="AU1" s="258"/>
      <c r="AV1" s="258"/>
    </row>
    <row r="2">
      <c r="A2" s="625" t="s">
        <v>4</v>
      </c>
      <c r="B2" s="626" t="s">
        <v>351</v>
      </c>
      <c r="C2" s="627" t="s">
        <v>6</v>
      </c>
      <c r="D2" s="627" t="s">
        <v>171</v>
      </c>
      <c r="E2" s="628" t="s">
        <v>170</v>
      </c>
      <c r="F2" s="629" t="s">
        <v>7</v>
      </c>
      <c r="G2" s="13" t="s">
        <v>8</v>
      </c>
      <c r="H2" s="630" t="s">
        <v>504</v>
      </c>
      <c r="I2" s="631" t="s">
        <v>10</v>
      </c>
      <c r="J2" s="632" t="s">
        <v>11</v>
      </c>
      <c r="K2" s="633" t="s">
        <v>12</v>
      </c>
      <c r="L2" s="561" t="s">
        <v>174</v>
      </c>
      <c r="M2" s="562" t="s">
        <v>14</v>
      </c>
      <c r="N2" s="634" t="s">
        <v>15</v>
      </c>
      <c r="O2" s="563" t="s">
        <v>16</v>
      </c>
      <c r="P2" s="635" t="s">
        <v>174</v>
      </c>
      <c r="Q2" s="636" t="s">
        <v>14</v>
      </c>
      <c r="R2" s="637" t="s">
        <v>15</v>
      </c>
      <c r="S2" s="638"/>
      <c r="T2" s="628" t="s">
        <v>174</v>
      </c>
      <c r="U2" s="639" t="s">
        <v>14</v>
      </c>
      <c r="V2" s="640" t="s">
        <v>15</v>
      </c>
      <c r="W2" s="638"/>
      <c r="X2" s="628" t="s">
        <v>174</v>
      </c>
      <c r="Y2" s="641" t="s">
        <v>14</v>
      </c>
      <c r="Z2" s="642" t="s">
        <v>15</v>
      </c>
      <c r="AA2" s="643"/>
      <c r="AB2" s="644"/>
      <c r="AC2" s="645" t="s">
        <v>18</v>
      </c>
      <c r="AD2" s="644"/>
      <c r="AE2" s="644"/>
      <c r="AF2" s="644"/>
      <c r="AG2" s="644"/>
      <c r="AH2" s="644"/>
      <c r="AI2" s="644"/>
      <c r="AJ2" s="644"/>
      <c r="AK2" s="644"/>
      <c r="AL2" s="644"/>
      <c r="AM2" s="644"/>
      <c r="AN2" s="644"/>
      <c r="AO2" s="644"/>
      <c r="AP2" s="644"/>
      <c r="AQ2" s="644"/>
      <c r="AR2" s="644"/>
      <c r="AS2" s="644"/>
      <c r="AT2" s="644"/>
      <c r="AU2" s="644"/>
      <c r="AV2" s="644"/>
    </row>
    <row r="3">
      <c r="A3" s="474" t="s">
        <v>505</v>
      </c>
      <c r="B3" s="450" t="s">
        <v>506</v>
      </c>
      <c r="C3" s="450" t="s">
        <v>507</v>
      </c>
      <c r="D3" s="646">
        <v>299.0</v>
      </c>
      <c r="E3" s="474"/>
      <c r="F3" s="278"/>
      <c r="G3" s="278" t="s">
        <v>96</v>
      </c>
      <c r="H3" s="578">
        <f t="array" ref="H3:H1000">IF(A3:A1000="", "", 
  IF(G3:G1000="KM", 
    IFERROR(VLOOKUP(A3:A1000, DATA_LIMPIA!A:C, 3, FALSE), "Sin Datos"), 
    IFERROR(VLOOKUP(A3:A1000, DATA_LIMPIA!A:C, 2, FALSE), "Sin Datos")
  )
)</f>
        <v>7649</v>
      </c>
      <c r="I3" s="550"/>
      <c r="J3" s="550"/>
      <c r="K3" s="550"/>
      <c r="L3" s="483">
        <v>45643.0</v>
      </c>
      <c r="M3" s="453">
        <v>7350.0</v>
      </c>
      <c r="N3" s="454">
        <f t="shared" ref="N3:N8" si="1">M3+350</f>
        <v>7700</v>
      </c>
      <c r="O3" s="252">
        <f t="shared" ref="O3:O8" si="2">N3-H3</f>
        <v>51</v>
      </c>
      <c r="P3" s="456">
        <v>45301.0</v>
      </c>
      <c r="Q3" s="457">
        <v>7350.0</v>
      </c>
      <c r="R3" s="458">
        <f t="shared" ref="R3:R8" si="3">Q3+600</f>
        <v>7950</v>
      </c>
      <c r="S3" s="540">
        <f t="shared" ref="S3:S8" si="4">R3-H3</f>
        <v>301</v>
      </c>
      <c r="T3" s="456">
        <v>45301.0</v>
      </c>
      <c r="U3" s="461">
        <v>7350.0</v>
      </c>
      <c r="V3" s="462">
        <f t="shared" ref="V3:V5" si="5">U3+1500</f>
        <v>8850</v>
      </c>
      <c r="W3" s="455">
        <f t="shared" ref="W3:W8" si="6">V3-H3</f>
        <v>1201</v>
      </c>
      <c r="X3" s="456">
        <v>45392.0</v>
      </c>
      <c r="Y3" s="472">
        <v>7350.0</v>
      </c>
      <c r="Z3" s="465">
        <f t="shared" ref="Z3:Z8" si="7">Y3+600</f>
        <v>7950</v>
      </c>
      <c r="AA3" s="455">
        <f t="shared" ref="AA3:AA8" si="8">Z3-H3</f>
        <v>301</v>
      </c>
      <c r="AB3" s="647"/>
      <c r="AC3" s="647"/>
      <c r="AD3" s="647"/>
      <c r="AE3" s="647"/>
      <c r="AF3" s="647"/>
      <c r="AG3" s="647"/>
      <c r="AH3" s="647"/>
      <c r="AI3" s="647"/>
      <c r="AJ3" s="647"/>
      <c r="AK3" s="647"/>
      <c r="AL3" s="647"/>
      <c r="AM3" s="647"/>
      <c r="AN3" s="647"/>
      <c r="AO3" s="647"/>
      <c r="AP3" s="647"/>
      <c r="AQ3" s="647"/>
      <c r="AR3" s="647"/>
      <c r="AS3" s="647"/>
      <c r="AT3" s="647"/>
      <c r="AU3" s="647"/>
      <c r="AV3" s="647"/>
    </row>
    <row r="4">
      <c r="A4" s="474" t="s">
        <v>508</v>
      </c>
      <c r="B4" s="450" t="s">
        <v>506</v>
      </c>
      <c r="C4" s="450" t="s">
        <v>509</v>
      </c>
      <c r="D4" s="450" t="s">
        <v>510</v>
      </c>
      <c r="E4" s="550" t="s">
        <v>511</v>
      </c>
      <c r="F4" s="278" t="s">
        <v>110</v>
      </c>
      <c r="G4" s="278" t="s">
        <v>96</v>
      </c>
      <c r="H4" s="578">
        <v>7777.0</v>
      </c>
      <c r="J4" s="550"/>
      <c r="K4" s="550"/>
      <c r="L4" s="452">
        <v>45974.0</v>
      </c>
      <c r="M4" s="453">
        <v>7613.0</v>
      </c>
      <c r="N4" s="454">
        <f t="shared" si="1"/>
        <v>7963</v>
      </c>
      <c r="O4" s="455">
        <f t="shared" si="2"/>
        <v>186</v>
      </c>
      <c r="P4" s="456">
        <v>45301.0</v>
      </c>
      <c r="Q4" s="458">
        <v>7246.0</v>
      </c>
      <c r="R4" s="458">
        <f t="shared" si="3"/>
        <v>7846</v>
      </c>
      <c r="S4" s="540">
        <f t="shared" si="4"/>
        <v>69</v>
      </c>
      <c r="T4" s="456">
        <v>45301.0</v>
      </c>
      <c r="U4" s="462">
        <v>6507.0</v>
      </c>
      <c r="V4" s="462">
        <f t="shared" si="5"/>
        <v>8007</v>
      </c>
      <c r="W4" s="455">
        <f t="shared" si="6"/>
        <v>230</v>
      </c>
      <c r="X4" s="456">
        <v>45301.0</v>
      </c>
      <c r="Y4" s="465">
        <v>7246.0</v>
      </c>
      <c r="Z4" s="465">
        <f t="shared" si="7"/>
        <v>7846</v>
      </c>
      <c r="AA4" s="455">
        <f t="shared" si="8"/>
        <v>69</v>
      </c>
      <c r="AB4" s="647"/>
      <c r="AC4" s="647"/>
      <c r="AD4" s="647"/>
      <c r="AE4" s="647"/>
      <c r="AF4" s="647"/>
      <c r="AG4" s="647"/>
      <c r="AH4" s="647"/>
      <c r="AI4" s="647"/>
      <c r="AJ4" s="647"/>
      <c r="AK4" s="647"/>
      <c r="AL4" s="647"/>
      <c r="AM4" s="647"/>
      <c r="AN4" s="647"/>
      <c r="AO4" s="647"/>
      <c r="AP4" s="647"/>
      <c r="AQ4" s="647"/>
      <c r="AR4" s="647"/>
      <c r="AS4" s="647"/>
      <c r="AT4" s="647"/>
      <c r="AU4" s="647"/>
      <c r="AV4" s="647"/>
    </row>
    <row r="5">
      <c r="A5" s="474" t="s">
        <v>512</v>
      </c>
      <c r="B5" s="450" t="s">
        <v>506</v>
      </c>
      <c r="C5" s="450" t="s">
        <v>507</v>
      </c>
      <c r="D5" s="646">
        <v>4292.0</v>
      </c>
      <c r="E5" s="485" t="s">
        <v>513</v>
      </c>
      <c r="F5" s="278" t="s">
        <v>514</v>
      </c>
      <c r="G5" s="278" t="s">
        <v>96</v>
      </c>
      <c r="H5" s="468">
        <v>5779.0</v>
      </c>
      <c r="I5" s="550"/>
      <c r="J5" s="550"/>
      <c r="K5" s="550"/>
      <c r="L5" s="452">
        <v>46079.0</v>
      </c>
      <c r="M5" s="453">
        <v>5773.0</v>
      </c>
      <c r="N5" s="454">
        <f t="shared" si="1"/>
        <v>6123</v>
      </c>
      <c r="O5" s="455">
        <f t="shared" si="2"/>
        <v>344</v>
      </c>
      <c r="P5" s="460">
        <v>46079.0</v>
      </c>
      <c r="Q5" s="457">
        <v>5773.0</v>
      </c>
      <c r="R5" s="458">
        <f t="shared" si="3"/>
        <v>6373</v>
      </c>
      <c r="S5" s="540">
        <f t="shared" si="4"/>
        <v>594</v>
      </c>
      <c r="T5" s="460">
        <v>46079.0</v>
      </c>
      <c r="U5" s="461">
        <v>5773.0</v>
      </c>
      <c r="V5" s="462">
        <f t="shared" si="5"/>
        <v>7273</v>
      </c>
      <c r="W5" s="455">
        <f t="shared" si="6"/>
        <v>1494</v>
      </c>
      <c r="X5" s="648">
        <v>46079.0</v>
      </c>
      <c r="Y5" s="472">
        <v>5773.0</v>
      </c>
      <c r="Z5" s="465">
        <f t="shared" si="7"/>
        <v>6373</v>
      </c>
      <c r="AA5" s="455">
        <f t="shared" si="8"/>
        <v>594</v>
      </c>
      <c r="AB5" s="647"/>
      <c r="AC5" s="647"/>
      <c r="AD5" s="647"/>
      <c r="AE5" s="647"/>
      <c r="AF5" s="647"/>
      <c r="AG5" s="647"/>
      <c r="AH5" s="647"/>
      <c r="AI5" s="647"/>
      <c r="AJ5" s="647"/>
      <c r="AK5" s="647"/>
      <c r="AL5" s="647"/>
      <c r="AM5" s="647"/>
      <c r="AN5" s="647"/>
      <c r="AO5" s="647"/>
      <c r="AP5" s="647"/>
      <c r="AQ5" s="647"/>
      <c r="AR5" s="647"/>
      <c r="AS5" s="647"/>
      <c r="AT5" s="647"/>
      <c r="AU5" s="647"/>
      <c r="AV5" s="647"/>
    </row>
    <row r="6">
      <c r="A6" s="474" t="s">
        <v>515</v>
      </c>
      <c r="B6" s="450" t="s">
        <v>506</v>
      </c>
      <c r="C6" s="450" t="s">
        <v>516</v>
      </c>
      <c r="D6" s="646">
        <v>125.0</v>
      </c>
      <c r="E6" s="467" t="s">
        <v>517</v>
      </c>
      <c r="F6" s="278" t="s">
        <v>78</v>
      </c>
      <c r="G6" s="278" t="s">
        <v>96</v>
      </c>
      <c r="H6" s="468">
        <v>4545.0</v>
      </c>
      <c r="I6" s="550"/>
      <c r="J6" s="550"/>
      <c r="K6" s="550"/>
      <c r="L6" s="452">
        <v>45978.0</v>
      </c>
      <c r="M6" s="453">
        <v>4279.0</v>
      </c>
      <c r="N6" s="454">
        <f t="shared" si="1"/>
        <v>4629</v>
      </c>
      <c r="O6" s="455">
        <f t="shared" si="2"/>
        <v>84</v>
      </c>
      <c r="P6" s="456">
        <v>45622.0</v>
      </c>
      <c r="Q6" s="458">
        <v>2698.0</v>
      </c>
      <c r="R6" s="458">
        <f t="shared" si="3"/>
        <v>3298</v>
      </c>
      <c r="S6" s="540">
        <f t="shared" si="4"/>
        <v>-1247</v>
      </c>
      <c r="T6" s="456">
        <v>45622.0</v>
      </c>
      <c r="U6" s="462">
        <v>2698.0</v>
      </c>
      <c r="V6" s="462">
        <f>U6+1000</f>
        <v>3698</v>
      </c>
      <c r="W6" s="455">
        <f t="shared" si="6"/>
        <v>-847</v>
      </c>
      <c r="X6" s="456">
        <v>45622.0</v>
      </c>
      <c r="Y6" s="465">
        <v>2698.0</v>
      </c>
      <c r="Z6" s="465">
        <f t="shared" si="7"/>
        <v>3298</v>
      </c>
      <c r="AA6" s="455">
        <f t="shared" si="8"/>
        <v>-1247</v>
      </c>
      <c r="AB6" s="647"/>
      <c r="AC6" s="647"/>
      <c r="AD6" s="647"/>
      <c r="AE6" s="647"/>
      <c r="AF6" s="647"/>
      <c r="AG6" s="647"/>
      <c r="AH6" s="647"/>
      <c r="AI6" s="647"/>
      <c r="AJ6" s="647"/>
      <c r="AK6" s="647"/>
      <c r="AL6" s="647"/>
      <c r="AM6" s="647"/>
      <c r="AN6" s="647"/>
      <c r="AO6" s="647"/>
      <c r="AP6" s="647"/>
      <c r="AQ6" s="647"/>
      <c r="AR6" s="647"/>
      <c r="AS6" s="647"/>
      <c r="AT6" s="647"/>
      <c r="AU6" s="647"/>
      <c r="AV6" s="647"/>
    </row>
    <row r="7">
      <c r="A7" s="474" t="s">
        <v>518</v>
      </c>
      <c r="B7" s="450" t="s">
        <v>506</v>
      </c>
      <c r="C7" s="450" t="s">
        <v>519</v>
      </c>
      <c r="D7" s="646" t="s">
        <v>520</v>
      </c>
      <c r="E7" s="474"/>
      <c r="F7" s="278"/>
      <c r="G7" s="278" t="s">
        <v>96</v>
      </c>
      <c r="H7" s="578">
        <v>1641.0</v>
      </c>
      <c r="I7" s="550"/>
      <c r="J7" s="550"/>
      <c r="K7" s="550"/>
      <c r="L7" s="649">
        <v>45568.0</v>
      </c>
      <c r="M7" s="501">
        <v>1304.0</v>
      </c>
      <c r="N7" s="501">
        <f t="shared" si="1"/>
        <v>1654</v>
      </c>
      <c r="O7" s="592">
        <f t="shared" si="2"/>
        <v>13</v>
      </c>
      <c r="P7" s="650"/>
      <c r="Q7" s="651"/>
      <c r="R7" s="591">
        <f t="shared" si="3"/>
        <v>600</v>
      </c>
      <c r="S7" s="540">
        <f t="shared" si="4"/>
        <v>-1041</v>
      </c>
      <c r="T7" s="650"/>
      <c r="U7" s="652"/>
      <c r="V7" s="593">
        <f t="shared" ref="V7:V8" si="9">U7+1500</f>
        <v>1500</v>
      </c>
      <c r="W7" s="455">
        <f t="shared" si="6"/>
        <v>-141</v>
      </c>
      <c r="X7" s="650"/>
      <c r="Y7" s="653"/>
      <c r="Z7" s="624">
        <f t="shared" si="7"/>
        <v>600</v>
      </c>
      <c r="AA7" s="455">
        <f t="shared" si="8"/>
        <v>-1041</v>
      </c>
      <c r="AB7" s="647"/>
      <c r="AC7" s="647"/>
      <c r="AD7" s="647"/>
      <c r="AE7" s="647"/>
      <c r="AF7" s="647"/>
      <c r="AG7" s="647"/>
      <c r="AH7" s="647"/>
      <c r="AI7" s="647"/>
      <c r="AJ7" s="647"/>
      <c r="AK7" s="647"/>
      <c r="AL7" s="647"/>
      <c r="AM7" s="647"/>
      <c r="AN7" s="647"/>
      <c r="AO7" s="647"/>
      <c r="AP7" s="647"/>
      <c r="AQ7" s="647"/>
      <c r="AR7" s="647"/>
      <c r="AS7" s="647"/>
      <c r="AT7" s="647"/>
      <c r="AU7" s="647"/>
      <c r="AV7" s="647"/>
    </row>
    <row r="8">
      <c r="A8" s="485" t="s">
        <v>521</v>
      </c>
      <c r="B8" s="450" t="s">
        <v>506</v>
      </c>
      <c r="C8" s="449" t="s">
        <v>516</v>
      </c>
      <c r="D8" s="654">
        <v>155.0</v>
      </c>
      <c r="E8" s="485" t="s">
        <v>522</v>
      </c>
      <c r="F8" s="278"/>
      <c r="G8" s="278" t="s">
        <v>96</v>
      </c>
      <c r="H8" s="576">
        <v>1195.0</v>
      </c>
      <c r="I8" s="550"/>
      <c r="J8" s="550"/>
      <c r="K8" s="550"/>
      <c r="L8" s="655">
        <v>46009.0</v>
      </c>
      <c r="M8" s="500">
        <v>900.0</v>
      </c>
      <c r="N8" s="500">
        <f t="shared" si="1"/>
        <v>1250</v>
      </c>
      <c r="O8" s="592">
        <f t="shared" si="2"/>
        <v>55</v>
      </c>
      <c r="P8" s="656">
        <v>45952.0</v>
      </c>
      <c r="Q8" s="657">
        <v>642.0</v>
      </c>
      <c r="R8" s="591">
        <f t="shared" si="3"/>
        <v>1242</v>
      </c>
      <c r="S8" s="540">
        <f t="shared" si="4"/>
        <v>47</v>
      </c>
      <c r="T8" s="656">
        <v>45952.0</v>
      </c>
      <c r="U8" s="658">
        <v>642.0</v>
      </c>
      <c r="V8" s="593">
        <f t="shared" si="9"/>
        <v>2142</v>
      </c>
      <c r="W8" s="455">
        <f t="shared" si="6"/>
        <v>947</v>
      </c>
      <c r="X8" s="656">
        <v>45955.0</v>
      </c>
      <c r="Y8" s="659">
        <v>642.0</v>
      </c>
      <c r="Z8" s="624">
        <f t="shared" si="7"/>
        <v>1242</v>
      </c>
      <c r="AA8" s="455">
        <f t="shared" si="8"/>
        <v>47</v>
      </c>
      <c r="AB8" s="647"/>
      <c r="AC8" s="647"/>
      <c r="AD8" s="647"/>
      <c r="AE8" s="647"/>
      <c r="AF8" s="647"/>
      <c r="AG8" s="647"/>
      <c r="AH8" s="647"/>
      <c r="AI8" s="647"/>
      <c r="AJ8" s="647"/>
      <c r="AK8" s="647"/>
      <c r="AL8" s="647"/>
      <c r="AM8" s="647"/>
      <c r="AN8" s="647"/>
      <c r="AO8" s="647"/>
      <c r="AP8" s="647"/>
      <c r="AQ8" s="647"/>
      <c r="AR8" s="647"/>
      <c r="AS8" s="647"/>
      <c r="AT8" s="647"/>
      <c r="AU8" s="647"/>
      <c r="AV8" s="647"/>
    </row>
    <row r="9">
      <c r="A9" s="660"/>
      <c r="B9" s="661"/>
      <c r="C9" s="661"/>
      <c r="D9" s="662"/>
      <c r="E9" s="660"/>
      <c r="F9" s="663"/>
      <c r="G9" s="663"/>
      <c r="H9" s="664" t="s">
        <v>161</v>
      </c>
      <c r="I9" s="665"/>
      <c r="J9" s="665"/>
      <c r="K9" s="665"/>
      <c r="L9" s="666"/>
      <c r="M9" s="667"/>
      <c r="N9" s="667"/>
      <c r="O9" s="647"/>
      <c r="P9" s="668"/>
      <c r="Q9" s="669"/>
      <c r="R9" s="670"/>
      <c r="S9" s="671"/>
      <c r="T9" s="668"/>
      <c r="U9" s="672"/>
      <c r="V9" s="673"/>
      <c r="W9" s="647"/>
      <c r="X9" s="668"/>
      <c r="Y9" s="674"/>
      <c r="Z9" s="675"/>
      <c r="AA9" s="647"/>
      <c r="AB9" s="647"/>
      <c r="AC9" s="647"/>
      <c r="AD9" s="647"/>
      <c r="AE9" s="647"/>
      <c r="AF9" s="647"/>
      <c r="AG9" s="647"/>
      <c r="AH9" s="647"/>
      <c r="AI9" s="647"/>
      <c r="AJ9" s="647"/>
      <c r="AK9" s="647"/>
      <c r="AL9" s="647"/>
      <c r="AM9" s="647"/>
      <c r="AN9" s="647"/>
      <c r="AO9" s="647"/>
      <c r="AP9" s="647"/>
      <c r="AQ9" s="647"/>
      <c r="AR9" s="647"/>
      <c r="AS9" s="647"/>
      <c r="AT9" s="647"/>
      <c r="AU9" s="647"/>
      <c r="AV9" s="647"/>
    </row>
    <row r="10">
      <c r="A10" s="660"/>
      <c r="B10" s="661"/>
      <c r="C10" s="661"/>
      <c r="D10" s="662"/>
      <c r="E10" s="660"/>
      <c r="F10" s="663"/>
      <c r="G10" s="663"/>
      <c r="H10" s="664" t="s">
        <v>161</v>
      </c>
      <c r="I10" s="665"/>
      <c r="J10" s="665"/>
      <c r="K10" s="665"/>
      <c r="L10" s="666"/>
      <c r="M10" s="667"/>
      <c r="N10" s="667"/>
      <c r="O10" s="647"/>
      <c r="P10" s="668"/>
      <c r="Q10" s="669"/>
      <c r="R10" s="670"/>
      <c r="S10" s="671"/>
      <c r="T10" s="668"/>
      <c r="U10" s="672"/>
      <c r="V10" s="673"/>
      <c r="W10" s="647"/>
      <c r="X10" s="668"/>
      <c r="Y10" s="674"/>
      <c r="Z10" s="675"/>
      <c r="AA10" s="647"/>
      <c r="AB10" s="647"/>
      <c r="AC10" s="647"/>
      <c r="AD10" s="647"/>
      <c r="AE10" s="647"/>
      <c r="AF10" s="647"/>
      <c r="AG10" s="647"/>
      <c r="AH10" s="647"/>
      <c r="AI10" s="647"/>
      <c r="AJ10" s="647"/>
      <c r="AK10" s="647"/>
      <c r="AL10" s="647"/>
      <c r="AM10" s="647"/>
      <c r="AN10" s="647"/>
      <c r="AO10" s="647"/>
      <c r="AP10" s="647"/>
      <c r="AQ10" s="647"/>
      <c r="AR10" s="647"/>
      <c r="AS10" s="647"/>
      <c r="AT10" s="647"/>
      <c r="AU10" s="647"/>
      <c r="AV10" s="647"/>
    </row>
    <row r="11">
      <c r="H11" s="252" t="s">
        <v>161</v>
      </c>
    </row>
    <row r="12">
      <c r="H12" s="252" t="s">
        <v>161</v>
      </c>
    </row>
    <row r="13">
      <c r="H13" s="252" t="s">
        <v>161</v>
      </c>
    </row>
    <row r="14">
      <c r="H14" s="252" t="s">
        <v>161</v>
      </c>
    </row>
    <row r="15">
      <c r="H15" s="252" t="s">
        <v>161</v>
      </c>
    </row>
    <row r="16">
      <c r="H16" s="252" t="s">
        <v>161</v>
      </c>
    </row>
    <row r="17">
      <c r="H17" s="252" t="s">
        <v>161</v>
      </c>
    </row>
    <row r="18">
      <c r="H18" s="252" t="s">
        <v>161</v>
      </c>
    </row>
    <row r="19">
      <c r="H19" s="252" t="s">
        <v>161</v>
      </c>
    </row>
    <row r="20">
      <c r="H20" s="252" t="s">
        <v>161</v>
      </c>
    </row>
    <row r="21">
      <c r="H21" s="252" t="s">
        <v>161</v>
      </c>
    </row>
    <row r="22">
      <c r="H22" s="252" t="s">
        <v>161</v>
      </c>
    </row>
    <row r="23">
      <c r="H23" s="252" t="s">
        <v>161</v>
      </c>
    </row>
    <row r="24">
      <c r="H24" s="252" t="s">
        <v>161</v>
      </c>
    </row>
    <row r="25">
      <c r="H25" s="252" t="s">
        <v>161</v>
      </c>
    </row>
    <row r="26">
      <c r="H26" s="252" t="s">
        <v>161</v>
      </c>
    </row>
    <row r="27">
      <c r="H27" s="252" t="s">
        <v>161</v>
      </c>
    </row>
    <row r="28">
      <c r="H28" s="252" t="s">
        <v>161</v>
      </c>
    </row>
    <row r="29">
      <c r="H29" s="252" t="s">
        <v>161</v>
      </c>
    </row>
    <row r="30">
      <c r="H30" s="252" t="s">
        <v>161</v>
      </c>
    </row>
    <row r="31">
      <c r="H31" s="252" t="s">
        <v>161</v>
      </c>
    </row>
    <row r="32">
      <c r="H32" s="252" t="s">
        <v>161</v>
      </c>
    </row>
    <row r="33">
      <c r="H33" s="252" t="s">
        <v>161</v>
      </c>
    </row>
    <row r="34">
      <c r="H34" s="252" t="s">
        <v>161</v>
      </c>
    </row>
    <row r="35">
      <c r="H35" s="252" t="s">
        <v>161</v>
      </c>
    </row>
    <row r="36">
      <c r="H36" s="252" t="s">
        <v>161</v>
      </c>
    </row>
    <row r="37">
      <c r="H37" s="252" t="s">
        <v>161</v>
      </c>
    </row>
    <row r="38">
      <c r="H38" s="252" t="s">
        <v>161</v>
      </c>
    </row>
    <row r="39">
      <c r="H39" s="252" t="s">
        <v>161</v>
      </c>
    </row>
    <row r="40">
      <c r="H40" s="252" t="s">
        <v>161</v>
      </c>
    </row>
    <row r="41">
      <c r="H41" s="252" t="s">
        <v>161</v>
      </c>
    </row>
    <row r="42">
      <c r="H42" s="252" t="s">
        <v>161</v>
      </c>
    </row>
    <row r="43">
      <c r="H43" s="252" t="s">
        <v>161</v>
      </c>
    </row>
    <row r="44">
      <c r="H44" s="252" t="s">
        <v>161</v>
      </c>
    </row>
    <row r="45">
      <c r="H45" s="252" t="s">
        <v>161</v>
      </c>
    </row>
    <row r="46">
      <c r="H46" s="252" t="s">
        <v>161</v>
      </c>
    </row>
    <row r="47">
      <c r="H47" s="252" t="s">
        <v>161</v>
      </c>
    </row>
    <row r="48">
      <c r="H48" s="252" t="s">
        <v>161</v>
      </c>
    </row>
    <row r="49">
      <c r="H49" s="252" t="s">
        <v>161</v>
      </c>
    </row>
    <row r="50">
      <c r="H50" s="252" t="s">
        <v>161</v>
      </c>
    </row>
    <row r="51">
      <c r="H51" s="252" t="s">
        <v>161</v>
      </c>
    </row>
    <row r="52">
      <c r="H52" s="252" t="s">
        <v>161</v>
      </c>
    </row>
    <row r="53">
      <c r="H53" s="252" t="s">
        <v>161</v>
      </c>
    </row>
    <row r="54">
      <c r="H54" s="252" t="s">
        <v>161</v>
      </c>
    </row>
    <row r="55">
      <c r="H55" s="252" t="s">
        <v>161</v>
      </c>
    </row>
    <row r="56">
      <c r="H56" s="252" t="s">
        <v>161</v>
      </c>
    </row>
    <row r="57">
      <c r="H57" s="252" t="s">
        <v>161</v>
      </c>
    </row>
    <row r="58">
      <c r="H58" s="252" t="s">
        <v>161</v>
      </c>
    </row>
    <row r="59">
      <c r="H59" s="252" t="s">
        <v>161</v>
      </c>
    </row>
    <row r="60">
      <c r="H60" s="252" t="s">
        <v>161</v>
      </c>
    </row>
    <row r="61">
      <c r="H61" s="252" t="s">
        <v>161</v>
      </c>
    </row>
    <row r="62">
      <c r="H62" s="252" t="s">
        <v>161</v>
      </c>
    </row>
    <row r="63">
      <c r="H63" s="252" t="s">
        <v>161</v>
      </c>
    </row>
    <row r="64">
      <c r="H64" s="252" t="s">
        <v>161</v>
      </c>
    </row>
    <row r="65">
      <c r="H65" s="252" t="s">
        <v>161</v>
      </c>
    </row>
    <row r="66">
      <c r="H66" s="252" t="s">
        <v>161</v>
      </c>
    </row>
    <row r="67">
      <c r="H67" s="252" t="s">
        <v>161</v>
      </c>
    </row>
    <row r="68">
      <c r="H68" s="252" t="s">
        <v>161</v>
      </c>
    </row>
    <row r="69">
      <c r="H69" s="252" t="s">
        <v>161</v>
      </c>
    </row>
    <row r="70">
      <c r="H70" s="252" t="s">
        <v>161</v>
      </c>
    </row>
    <row r="71">
      <c r="H71" s="252" t="s">
        <v>161</v>
      </c>
    </row>
    <row r="72">
      <c r="H72" s="252" t="s">
        <v>161</v>
      </c>
    </row>
    <row r="73">
      <c r="H73" s="252" t="s">
        <v>161</v>
      </c>
    </row>
    <row r="74">
      <c r="H74" s="252" t="s">
        <v>161</v>
      </c>
    </row>
    <row r="75">
      <c r="H75" s="252" t="s">
        <v>161</v>
      </c>
    </row>
    <row r="76">
      <c r="H76" s="252" t="s">
        <v>161</v>
      </c>
    </row>
    <row r="77">
      <c r="H77" s="252" t="s">
        <v>161</v>
      </c>
    </row>
    <row r="78">
      <c r="H78" s="252" t="s">
        <v>161</v>
      </c>
    </row>
    <row r="79">
      <c r="H79" s="252" t="s">
        <v>161</v>
      </c>
    </row>
    <row r="80">
      <c r="H80" s="252" t="s">
        <v>161</v>
      </c>
    </row>
    <row r="81">
      <c r="H81" s="252" t="s">
        <v>161</v>
      </c>
    </row>
    <row r="82">
      <c r="H82" s="252" t="s">
        <v>161</v>
      </c>
    </row>
    <row r="83">
      <c r="H83" s="252" t="s">
        <v>161</v>
      </c>
    </row>
    <row r="84">
      <c r="H84" s="252" t="s">
        <v>161</v>
      </c>
    </row>
    <row r="85">
      <c r="H85" s="252" t="s">
        <v>161</v>
      </c>
    </row>
    <row r="86">
      <c r="H86" s="252" t="s">
        <v>161</v>
      </c>
    </row>
    <row r="87">
      <c r="H87" s="252" t="s">
        <v>161</v>
      </c>
    </row>
    <row r="88">
      <c r="H88" s="252" t="s">
        <v>161</v>
      </c>
    </row>
    <row r="89">
      <c r="H89" s="252" t="s">
        <v>161</v>
      </c>
    </row>
    <row r="90">
      <c r="H90" s="252" t="s">
        <v>161</v>
      </c>
    </row>
    <row r="91">
      <c r="H91" s="252" t="s">
        <v>161</v>
      </c>
    </row>
    <row r="92">
      <c r="H92" s="252" t="s">
        <v>161</v>
      </c>
    </row>
    <row r="93">
      <c r="H93" s="252" t="s">
        <v>161</v>
      </c>
    </row>
    <row r="94">
      <c r="H94" s="252" t="s">
        <v>161</v>
      </c>
    </row>
    <row r="95">
      <c r="H95" s="252" t="s">
        <v>161</v>
      </c>
    </row>
    <row r="96">
      <c r="H96" s="252" t="s">
        <v>161</v>
      </c>
    </row>
    <row r="97">
      <c r="H97" s="252" t="s">
        <v>161</v>
      </c>
    </row>
    <row r="98">
      <c r="H98" s="252" t="s">
        <v>161</v>
      </c>
    </row>
    <row r="99">
      <c r="H99" s="252" t="s">
        <v>161</v>
      </c>
    </row>
    <row r="100">
      <c r="H100" s="252" t="s">
        <v>161</v>
      </c>
    </row>
    <row r="101">
      <c r="H101" s="252" t="s">
        <v>161</v>
      </c>
    </row>
    <row r="102">
      <c r="H102" s="252" t="s">
        <v>161</v>
      </c>
    </row>
    <row r="103">
      <c r="H103" s="252" t="s">
        <v>161</v>
      </c>
    </row>
    <row r="104">
      <c r="H104" s="252" t="s">
        <v>161</v>
      </c>
    </row>
    <row r="105">
      <c r="H105" s="252" t="s">
        <v>161</v>
      </c>
    </row>
    <row r="106">
      <c r="H106" s="252" t="s">
        <v>161</v>
      </c>
    </row>
    <row r="107">
      <c r="H107" s="252" t="s">
        <v>161</v>
      </c>
    </row>
    <row r="108">
      <c r="H108" s="252" t="s">
        <v>161</v>
      </c>
    </row>
    <row r="109">
      <c r="H109" s="252" t="s">
        <v>161</v>
      </c>
    </row>
    <row r="110">
      <c r="H110" s="252" t="s">
        <v>161</v>
      </c>
    </row>
    <row r="111">
      <c r="H111" s="252" t="s">
        <v>161</v>
      </c>
    </row>
    <row r="112">
      <c r="H112" s="252" t="s">
        <v>161</v>
      </c>
    </row>
    <row r="113">
      <c r="H113" s="252" t="s">
        <v>161</v>
      </c>
    </row>
    <row r="114">
      <c r="H114" s="252" t="s">
        <v>161</v>
      </c>
    </row>
    <row r="115">
      <c r="H115" s="252" t="s">
        <v>161</v>
      </c>
    </row>
    <row r="116">
      <c r="H116" s="252" t="s">
        <v>161</v>
      </c>
    </row>
    <row r="117">
      <c r="H117" s="252" t="s">
        <v>161</v>
      </c>
    </row>
    <row r="118">
      <c r="H118" s="252" t="s">
        <v>161</v>
      </c>
    </row>
    <row r="119">
      <c r="H119" s="252" t="s">
        <v>161</v>
      </c>
    </row>
    <row r="120">
      <c r="H120" s="252" t="s">
        <v>161</v>
      </c>
    </row>
    <row r="121">
      <c r="H121" s="252" t="s">
        <v>161</v>
      </c>
    </row>
    <row r="122">
      <c r="H122" s="252" t="s">
        <v>161</v>
      </c>
    </row>
    <row r="123">
      <c r="H123" s="252" t="s">
        <v>161</v>
      </c>
    </row>
    <row r="124">
      <c r="H124" s="252" t="s">
        <v>161</v>
      </c>
    </row>
    <row r="125">
      <c r="H125" s="252" t="s">
        <v>161</v>
      </c>
    </row>
    <row r="126">
      <c r="H126" s="252" t="s">
        <v>161</v>
      </c>
    </row>
    <row r="127">
      <c r="H127" s="252" t="s">
        <v>161</v>
      </c>
    </row>
    <row r="128">
      <c r="H128" s="252" t="s">
        <v>161</v>
      </c>
    </row>
    <row r="129">
      <c r="H129" s="252" t="s">
        <v>161</v>
      </c>
    </row>
    <row r="130">
      <c r="H130" s="252" t="s">
        <v>161</v>
      </c>
    </row>
    <row r="131">
      <c r="H131" s="252" t="s">
        <v>161</v>
      </c>
    </row>
    <row r="132">
      <c r="H132" s="252" t="s">
        <v>161</v>
      </c>
    </row>
    <row r="133">
      <c r="H133" s="252" t="s">
        <v>161</v>
      </c>
    </row>
    <row r="134">
      <c r="H134" s="252" t="s">
        <v>161</v>
      </c>
    </row>
    <row r="135">
      <c r="H135" s="252" t="s">
        <v>161</v>
      </c>
    </row>
    <row r="136">
      <c r="H136" s="252" t="s">
        <v>161</v>
      </c>
    </row>
    <row r="137">
      <c r="H137" s="252" t="s">
        <v>161</v>
      </c>
    </row>
    <row r="138">
      <c r="H138" s="252" t="s">
        <v>161</v>
      </c>
    </row>
    <row r="139">
      <c r="H139" s="252" t="s">
        <v>161</v>
      </c>
    </row>
    <row r="140">
      <c r="H140" s="252" t="s">
        <v>161</v>
      </c>
    </row>
    <row r="141">
      <c r="H141" s="252" t="s">
        <v>161</v>
      </c>
    </row>
    <row r="142">
      <c r="H142" s="252" t="s">
        <v>161</v>
      </c>
    </row>
    <row r="143">
      <c r="H143" s="252" t="s">
        <v>161</v>
      </c>
    </row>
    <row r="144">
      <c r="H144" s="252" t="s">
        <v>161</v>
      </c>
    </row>
    <row r="145">
      <c r="H145" s="252" t="s">
        <v>161</v>
      </c>
    </row>
    <row r="146">
      <c r="H146" s="252" t="s">
        <v>161</v>
      </c>
    </row>
    <row r="147">
      <c r="H147" s="252" t="s">
        <v>161</v>
      </c>
    </row>
    <row r="148">
      <c r="H148" s="252" t="s">
        <v>161</v>
      </c>
    </row>
    <row r="149">
      <c r="H149" s="252" t="s">
        <v>161</v>
      </c>
    </row>
    <row r="150">
      <c r="H150" s="252" t="s">
        <v>161</v>
      </c>
    </row>
    <row r="151">
      <c r="H151" s="252" t="s">
        <v>161</v>
      </c>
    </row>
    <row r="152">
      <c r="H152" s="252" t="s">
        <v>161</v>
      </c>
    </row>
    <row r="153">
      <c r="H153" s="252" t="s">
        <v>161</v>
      </c>
    </row>
    <row r="154">
      <c r="H154" s="252" t="s">
        <v>161</v>
      </c>
    </row>
    <row r="155">
      <c r="H155" s="252" t="s">
        <v>161</v>
      </c>
    </row>
    <row r="156">
      <c r="H156" s="252" t="s">
        <v>161</v>
      </c>
    </row>
    <row r="157">
      <c r="H157" s="252" t="s">
        <v>161</v>
      </c>
    </row>
    <row r="158">
      <c r="H158" s="252" t="s">
        <v>161</v>
      </c>
    </row>
    <row r="159">
      <c r="H159" s="252" t="s">
        <v>161</v>
      </c>
    </row>
    <row r="160">
      <c r="H160" s="252" t="s">
        <v>161</v>
      </c>
    </row>
    <row r="161">
      <c r="H161" s="252" t="s">
        <v>161</v>
      </c>
    </row>
    <row r="162">
      <c r="H162" s="252" t="s">
        <v>161</v>
      </c>
    </row>
    <row r="163">
      <c r="H163" s="252" t="s">
        <v>161</v>
      </c>
    </row>
    <row r="164">
      <c r="H164" s="252" t="s">
        <v>161</v>
      </c>
    </row>
    <row r="165">
      <c r="H165" s="252" t="s">
        <v>161</v>
      </c>
    </row>
    <row r="166">
      <c r="H166" s="252" t="s">
        <v>161</v>
      </c>
    </row>
    <row r="167">
      <c r="H167" s="252" t="s">
        <v>161</v>
      </c>
    </row>
    <row r="168">
      <c r="H168" s="252" t="s">
        <v>161</v>
      </c>
    </row>
    <row r="169">
      <c r="H169" s="252" t="s">
        <v>161</v>
      </c>
    </row>
    <row r="170">
      <c r="H170" s="252" t="s">
        <v>161</v>
      </c>
    </row>
    <row r="171">
      <c r="H171" s="252" t="s">
        <v>161</v>
      </c>
    </row>
    <row r="172">
      <c r="H172" s="252" t="s">
        <v>161</v>
      </c>
    </row>
    <row r="173">
      <c r="H173" s="252" t="s">
        <v>161</v>
      </c>
    </row>
    <row r="174">
      <c r="H174" s="252" t="s">
        <v>161</v>
      </c>
    </row>
    <row r="175">
      <c r="H175" s="252" t="s">
        <v>161</v>
      </c>
    </row>
    <row r="176">
      <c r="H176" s="252" t="s">
        <v>161</v>
      </c>
    </row>
    <row r="177">
      <c r="H177" s="252" t="s">
        <v>161</v>
      </c>
    </row>
    <row r="178">
      <c r="H178" s="252" t="s">
        <v>161</v>
      </c>
    </row>
    <row r="179">
      <c r="H179" s="252" t="s">
        <v>161</v>
      </c>
    </row>
    <row r="180">
      <c r="H180" s="252" t="s">
        <v>161</v>
      </c>
    </row>
    <row r="181">
      <c r="H181" s="252" t="s">
        <v>161</v>
      </c>
    </row>
    <row r="182">
      <c r="H182" s="252" t="s">
        <v>161</v>
      </c>
    </row>
    <row r="183">
      <c r="H183" s="252" t="s">
        <v>161</v>
      </c>
    </row>
    <row r="184">
      <c r="H184" s="252" t="s">
        <v>161</v>
      </c>
    </row>
    <row r="185">
      <c r="H185" s="252" t="s">
        <v>161</v>
      </c>
    </row>
    <row r="186">
      <c r="H186" s="252" t="s">
        <v>161</v>
      </c>
    </row>
    <row r="187">
      <c r="H187" s="252" t="s">
        <v>161</v>
      </c>
    </row>
    <row r="188">
      <c r="H188" s="252" t="s">
        <v>161</v>
      </c>
    </row>
    <row r="189">
      <c r="H189" s="252" t="s">
        <v>161</v>
      </c>
    </row>
    <row r="190">
      <c r="H190" s="252" t="s">
        <v>161</v>
      </c>
    </row>
    <row r="191">
      <c r="H191" s="252" t="s">
        <v>161</v>
      </c>
    </row>
    <row r="192">
      <c r="H192" s="252" t="s">
        <v>161</v>
      </c>
    </row>
    <row r="193">
      <c r="H193" s="252" t="s">
        <v>161</v>
      </c>
    </row>
    <row r="194">
      <c r="H194" s="252" t="s">
        <v>161</v>
      </c>
    </row>
    <row r="195">
      <c r="H195" s="252" t="s">
        <v>161</v>
      </c>
    </row>
    <row r="196">
      <c r="H196" s="252" t="s">
        <v>161</v>
      </c>
    </row>
    <row r="197">
      <c r="H197" s="252" t="s">
        <v>161</v>
      </c>
    </row>
    <row r="198">
      <c r="H198" s="252" t="s">
        <v>161</v>
      </c>
    </row>
    <row r="199">
      <c r="H199" s="252" t="s">
        <v>161</v>
      </c>
    </row>
    <row r="200">
      <c r="H200" s="252" t="s">
        <v>161</v>
      </c>
    </row>
    <row r="201">
      <c r="H201" s="252" t="s">
        <v>161</v>
      </c>
    </row>
    <row r="202">
      <c r="H202" s="252" t="s">
        <v>161</v>
      </c>
    </row>
    <row r="203">
      <c r="H203" s="252" t="s">
        <v>161</v>
      </c>
    </row>
    <row r="204">
      <c r="H204" s="252" t="s">
        <v>161</v>
      </c>
    </row>
    <row r="205">
      <c r="H205" s="252" t="s">
        <v>161</v>
      </c>
    </row>
    <row r="206">
      <c r="H206" s="252" t="s">
        <v>161</v>
      </c>
    </row>
    <row r="207">
      <c r="H207" s="252" t="s">
        <v>161</v>
      </c>
    </row>
    <row r="208">
      <c r="H208" s="252" t="s">
        <v>161</v>
      </c>
    </row>
    <row r="209">
      <c r="H209" s="252" t="s">
        <v>161</v>
      </c>
    </row>
    <row r="210">
      <c r="H210" s="252" t="s">
        <v>161</v>
      </c>
    </row>
    <row r="211">
      <c r="H211" s="252" t="s">
        <v>161</v>
      </c>
    </row>
    <row r="212">
      <c r="H212" s="252" t="s">
        <v>161</v>
      </c>
    </row>
    <row r="213">
      <c r="H213" s="252" t="s">
        <v>161</v>
      </c>
    </row>
    <row r="214">
      <c r="H214" s="252" t="s">
        <v>161</v>
      </c>
    </row>
    <row r="215">
      <c r="H215" s="252" t="s">
        <v>161</v>
      </c>
    </row>
    <row r="216">
      <c r="H216" s="252" t="s">
        <v>161</v>
      </c>
    </row>
    <row r="217">
      <c r="H217" s="252" t="s">
        <v>161</v>
      </c>
    </row>
    <row r="218">
      <c r="H218" s="252" t="s">
        <v>161</v>
      </c>
    </row>
    <row r="219">
      <c r="H219" s="252" t="s">
        <v>161</v>
      </c>
    </row>
    <row r="220">
      <c r="H220" s="252" t="s">
        <v>161</v>
      </c>
    </row>
    <row r="221">
      <c r="H221" s="252" t="s">
        <v>161</v>
      </c>
    </row>
    <row r="222">
      <c r="H222" s="252" t="s">
        <v>161</v>
      </c>
    </row>
    <row r="223">
      <c r="H223" s="252" t="s">
        <v>161</v>
      </c>
    </row>
    <row r="224">
      <c r="H224" s="252" t="s">
        <v>161</v>
      </c>
    </row>
    <row r="225">
      <c r="H225" s="252" t="s">
        <v>161</v>
      </c>
    </row>
    <row r="226">
      <c r="H226" s="252" t="s">
        <v>161</v>
      </c>
    </row>
    <row r="227">
      <c r="H227" s="252" t="s">
        <v>161</v>
      </c>
    </row>
    <row r="228">
      <c r="H228" s="252" t="s">
        <v>161</v>
      </c>
    </row>
    <row r="229">
      <c r="H229" s="252" t="s">
        <v>161</v>
      </c>
    </row>
    <row r="230">
      <c r="H230" s="252" t="s">
        <v>161</v>
      </c>
    </row>
    <row r="231">
      <c r="H231" s="252" t="s">
        <v>161</v>
      </c>
    </row>
    <row r="232">
      <c r="H232" s="252" t="s">
        <v>161</v>
      </c>
    </row>
    <row r="233">
      <c r="H233" s="252" t="s">
        <v>161</v>
      </c>
    </row>
    <row r="234">
      <c r="H234" s="252" t="s">
        <v>161</v>
      </c>
    </row>
    <row r="235">
      <c r="H235" s="252" t="s">
        <v>161</v>
      </c>
    </row>
    <row r="236">
      <c r="H236" s="252" t="s">
        <v>161</v>
      </c>
    </row>
    <row r="237">
      <c r="H237" s="252" t="s">
        <v>161</v>
      </c>
    </row>
    <row r="238">
      <c r="H238" s="252" t="s">
        <v>161</v>
      </c>
    </row>
    <row r="239">
      <c r="H239" s="252" t="s">
        <v>161</v>
      </c>
    </row>
    <row r="240">
      <c r="H240" s="252" t="s">
        <v>161</v>
      </c>
    </row>
    <row r="241">
      <c r="H241" s="252" t="s">
        <v>161</v>
      </c>
    </row>
    <row r="242">
      <c r="H242" s="252" t="s">
        <v>161</v>
      </c>
    </row>
    <row r="243">
      <c r="H243" s="252" t="s">
        <v>161</v>
      </c>
    </row>
    <row r="244">
      <c r="H244" s="252" t="s">
        <v>161</v>
      </c>
    </row>
    <row r="245">
      <c r="H245" s="252" t="s">
        <v>161</v>
      </c>
    </row>
    <row r="246">
      <c r="H246" s="252" t="s">
        <v>161</v>
      </c>
    </row>
    <row r="247">
      <c r="H247" s="252" t="s">
        <v>161</v>
      </c>
    </row>
    <row r="248">
      <c r="H248" s="252" t="s">
        <v>161</v>
      </c>
    </row>
    <row r="249">
      <c r="H249" s="252" t="s">
        <v>161</v>
      </c>
    </row>
    <row r="250">
      <c r="H250" s="252" t="s">
        <v>161</v>
      </c>
    </row>
    <row r="251">
      <c r="H251" s="252" t="s">
        <v>161</v>
      </c>
    </row>
    <row r="252">
      <c r="H252" s="252" t="s">
        <v>161</v>
      </c>
    </row>
    <row r="253">
      <c r="H253" s="252" t="s">
        <v>161</v>
      </c>
    </row>
    <row r="254">
      <c r="H254" s="252" t="s">
        <v>161</v>
      </c>
    </row>
    <row r="255">
      <c r="H255" s="252" t="s">
        <v>161</v>
      </c>
    </row>
    <row r="256">
      <c r="H256" s="252" t="s">
        <v>161</v>
      </c>
    </row>
    <row r="257">
      <c r="H257" s="252" t="s">
        <v>161</v>
      </c>
    </row>
    <row r="258">
      <c r="H258" s="252" t="s">
        <v>161</v>
      </c>
    </row>
    <row r="259">
      <c r="H259" s="252" t="s">
        <v>161</v>
      </c>
    </row>
    <row r="260">
      <c r="H260" s="252" t="s">
        <v>161</v>
      </c>
    </row>
    <row r="261">
      <c r="H261" s="252" t="s">
        <v>161</v>
      </c>
    </row>
    <row r="262">
      <c r="H262" s="252" t="s">
        <v>161</v>
      </c>
    </row>
    <row r="263">
      <c r="H263" s="252" t="s">
        <v>161</v>
      </c>
    </row>
    <row r="264">
      <c r="H264" s="252" t="s">
        <v>161</v>
      </c>
    </row>
    <row r="265">
      <c r="H265" s="252" t="s">
        <v>161</v>
      </c>
    </row>
    <row r="266">
      <c r="H266" s="252" t="s">
        <v>161</v>
      </c>
    </row>
    <row r="267">
      <c r="H267" s="252" t="s">
        <v>161</v>
      </c>
    </row>
    <row r="268">
      <c r="H268" s="252" t="s">
        <v>161</v>
      </c>
    </row>
    <row r="269">
      <c r="H269" s="252" t="s">
        <v>161</v>
      </c>
    </row>
    <row r="270">
      <c r="H270" s="252" t="s">
        <v>161</v>
      </c>
    </row>
    <row r="271">
      <c r="H271" s="252" t="s">
        <v>161</v>
      </c>
    </row>
    <row r="272">
      <c r="H272" s="252" t="s">
        <v>161</v>
      </c>
    </row>
    <row r="273">
      <c r="H273" s="252" t="s">
        <v>161</v>
      </c>
    </row>
    <row r="274">
      <c r="H274" s="252" t="s">
        <v>161</v>
      </c>
    </row>
    <row r="275">
      <c r="H275" s="252" t="s">
        <v>161</v>
      </c>
    </row>
    <row r="276">
      <c r="H276" s="252" t="s">
        <v>161</v>
      </c>
    </row>
    <row r="277">
      <c r="H277" s="252" t="s">
        <v>161</v>
      </c>
    </row>
    <row r="278">
      <c r="H278" s="252" t="s">
        <v>161</v>
      </c>
    </row>
    <row r="279">
      <c r="H279" s="252" t="s">
        <v>161</v>
      </c>
    </row>
    <row r="280">
      <c r="H280" s="252" t="s">
        <v>161</v>
      </c>
    </row>
    <row r="281">
      <c r="H281" s="252" t="s">
        <v>161</v>
      </c>
    </row>
    <row r="282">
      <c r="H282" s="252" t="s">
        <v>161</v>
      </c>
    </row>
    <row r="283">
      <c r="H283" s="252" t="s">
        <v>161</v>
      </c>
    </row>
    <row r="284">
      <c r="H284" s="252" t="s">
        <v>161</v>
      </c>
    </row>
    <row r="285">
      <c r="H285" s="252" t="s">
        <v>161</v>
      </c>
    </row>
    <row r="286">
      <c r="H286" s="252" t="s">
        <v>161</v>
      </c>
    </row>
    <row r="287">
      <c r="H287" s="252" t="s">
        <v>161</v>
      </c>
    </row>
    <row r="288">
      <c r="H288" s="252" t="s">
        <v>161</v>
      </c>
    </row>
    <row r="289">
      <c r="H289" s="252" t="s">
        <v>161</v>
      </c>
    </row>
    <row r="290">
      <c r="H290" s="252" t="s">
        <v>161</v>
      </c>
    </row>
    <row r="291">
      <c r="H291" s="252" t="s">
        <v>161</v>
      </c>
    </row>
    <row r="292">
      <c r="H292" s="252" t="s">
        <v>161</v>
      </c>
    </row>
    <row r="293">
      <c r="H293" s="252" t="s">
        <v>161</v>
      </c>
    </row>
    <row r="294">
      <c r="H294" s="252" t="s">
        <v>161</v>
      </c>
    </row>
    <row r="295">
      <c r="H295" s="252" t="s">
        <v>161</v>
      </c>
    </row>
    <row r="296">
      <c r="H296" s="252" t="s">
        <v>161</v>
      </c>
    </row>
    <row r="297">
      <c r="H297" s="252" t="s">
        <v>161</v>
      </c>
    </row>
    <row r="298">
      <c r="H298" s="252" t="s">
        <v>161</v>
      </c>
    </row>
    <row r="299">
      <c r="H299" s="252" t="s">
        <v>161</v>
      </c>
    </row>
    <row r="300">
      <c r="H300" s="252" t="s">
        <v>161</v>
      </c>
    </row>
    <row r="301">
      <c r="H301" s="252" t="s">
        <v>161</v>
      </c>
    </row>
    <row r="302">
      <c r="H302" s="252" t="s">
        <v>161</v>
      </c>
    </row>
    <row r="303">
      <c r="H303" s="252" t="s">
        <v>161</v>
      </c>
    </row>
    <row r="304">
      <c r="H304" s="252" t="s">
        <v>161</v>
      </c>
    </row>
    <row r="305">
      <c r="H305" s="252" t="s">
        <v>161</v>
      </c>
    </row>
    <row r="306">
      <c r="H306" s="252" t="s">
        <v>161</v>
      </c>
    </row>
    <row r="307">
      <c r="H307" s="252" t="s">
        <v>161</v>
      </c>
    </row>
    <row r="308">
      <c r="H308" s="252" t="s">
        <v>161</v>
      </c>
    </row>
    <row r="309">
      <c r="H309" s="252" t="s">
        <v>161</v>
      </c>
    </row>
    <row r="310">
      <c r="H310" s="252" t="s">
        <v>161</v>
      </c>
    </row>
    <row r="311">
      <c r="H311" s="252" t="s">
        <v>161</v>
      </c>
    </row>
    <row r="312">
      <c r="H312" s="252" t="s">
        <v>161</v>
      </c>
    </row>
    <row r="313">
      <c r="H313" s="252" t="s">
        <v>161</v>
      </c>
    </row>
    <row r="314">
      <c r="H314" s="252" t="s">
        <v>161</v>
      </c>
    </row>
    <row r="315">
      <c r="H315" s="252" t="s">
        <v>161</v>
      </c>
    </row>
    <row r="316">
      <c r="H316" s="252" t="s">
        <v>161</v>
      </c>
    </row>
    <row r="317">
      <c r="H317" s="252" t="s">
        <v>161</v>
      </c>
    </row>
    <row r="318">
      <c r="H318" s="252" t="s">
        <v>161</v>
      </c>
    </row>
    <row r="319">
      <c r="H319" s="252" t="s">
        <v>161</v>
      </c>
    </row>
    <row r="320">
      <c r="H320" s="252" t="s">
        <v>161</v>
      </c>
    </row>
    <row r="321">
      <c r="H321" s="252" t="s">
        <v>161</v>
      </c>
    </row>
    <row r="322">
      <c r="H322" s="252" t="s">
        <v>161</v>
      </c>
    </row>
    <row r="323">
      <c r="H323" s="252" t="s">
        <v>161</v>
      </c>
    </row>
    <row r="324">
      <c r="H324" s="252" t="s">
        <v>161</v>
      </c>
    </row>
    <row r="325">
      <c r="H325" s="252" t="s">
        <v>161</v>
      </c>
    </row>
    <row r="326">
      <c r="H326" s="252" t="s">
        <v>161</v>
      </c>
    </row>
    <row r="327">
      <c r="H327" s="252" t="s">
        <v>161</v>
      </c>
    </row>
    <row r="328">
      <c r="H328" s="252" t="s">
        <v>161</v>
      </c>
    </row>
    <row r="329">
      <c r="H329" s="252" t="s">
        <v>161</v>
      </c>
    </row>
    <row r="330">
      <c r="H330" s="252" t="s">
        <v>161</v>
      </c>
    </row>
    <row r="331">
      <c r="H331" s="252" t="s">
        <v>161</v>
      </c>
    </row>
    <row r="332">
      <c r="H332" s="252" t="s">
        <v>161</v>
      </c>
    </row>
    <row r="333">
      <c r="H333" s="252" t="s">
        <v>161</v>
      </c>
    </row>
    <row r="334">
      <c r="H334" s="252" t="s">
        <v>161</v>
      </c>
    </row>
    <row r="335">
      <c r="H335" s="252" t="s">
        <v>161</v>
      </c>
    </row>
    <row r="336">
      <c r="H336" s="252" t="s">
        <v>161</v>
      </c>
    </row>
    <row r="337">
      <c r="H337" s="252" t="s">
        <v>161</v>
      </c>
    </row>
    <row r="338">
      <c r="H338" s="252" t="s">
        <v>161</v>
      </c>
    </row>
    <row r="339">
      <c r="H339" s="252" t="s">
        <v>161</v>
      </c>
    </row>
    <row r="340">
      <c r="H340" s="252" t="s">
        <v>161</v>
      </c>
    </row>
    <row r="341">
      <c r="H341" s="252" t="s">
        <v>161</v>
      </c>
    </row>
    <row r="342">
      <c r="H342" s="252" t="s">
        <v>161</v>
      </c>
    </row>
    <row r="343">
      <c r="H343" s="252" t="s">
        <v>161</v>
      </c>
    </row>
    <row r="344">
      <c r="H344" s="252" t="s">
        <v>161</v>
      </c>
    </row>
    <row r="345">
      <c r="H345" s="252" t="s">
        <v>161</v>
      </c>
    </row>
    <row r="346">
      <c r="H346" s="252" t="s">
        <v>161</v>
      </c>
    </row>
    <row r="347">
      <c r="H347" s="252" t="s">
        <v>161</v>
      </c>
    </row>
    <row r="348">
      <c r="H348" s="252" t="s">
        <v>161</v>
      </c>
    </row>
    <row r="349">
      <c r="H349" s="252" t="s">
        <v>161</v>
      </c>
    </row>
    <row r="350">
      <c r="H350" s="252" t="s">
        <v>161</v>
      </c>
    </row>
    <row r="351">
      <c r="H351" s="252" t="s">
        <v>161</v>
      </c>
    </row>
    <row r="352">
      <c r="H352" s="252" t="s">
        <v>161</v>
      </c>
    </row>
    <row r="353">
      <c r="H353" s="252" t="s">
        <v>161</v>
      </c>
    </row>
    <row r="354">
      <c r="H354" s="252" t="s">
        <v>161</v>
      </c>
    </row>
    <row r="355">
      <c r="H355" s="252" t="s">
        <v>161</v>
      </c>
    </row>
    <row r="356">
      <c r="H356" s="252" t="s">
        <v>161</v>
      </c>
    </row>
    <row r="357">
      <c r="H357" s="252" t="s">
        <v>161</v>
      </c>
    </row>
    <row r="358">
      <c r="H358" s="252" t="s">
        <v>161</v>
      </c>
    </row>
    <row r="359">
      <c r="H359" s="252" t="s">
        <v>161</v>
      </c>
    </row>
    <row r="360">
      <c r="H360" s="252" t="s">
        <v>161</v>
      </c>
    </row>
    <row r="361">
      <c r="H361" s="252" t="s">
        <v>161</v>
      </c>
    </row>
    <row r="362">
      <c r="H362" s="252" t="s">
        <v>161</v>
      </c>
    </row>
    <row r="363">
      <c r="H363" s="252" t="s">
        <v>161</v>
      </c>
    </row>
    <row r="364">
      <c r="H364" s="252" t="s">
        <v>161</v>
      </c>
    </row>
    <row r="365">
      <c r="H365" s="252" t="s">
        <v>161</v>
      </c>
    </row>
    <row r="366">
      <c r="H366" s="252" t="s">
        <v>161</v>
      </c>
    </row>
    <row r="367">
      <c r="H367" s="252" t="s">
        <v>161</v>
      </c>
    </row>
    <row r="368">
      <c r="H368" s="252" t="s">
        <v>161</v>
      </c>
    </row>
    <row r="369">
      <c r="H369" s="252" t="s">
        <v>161</v>
      </c>
    </row>
    <row r="370">
      <c r="H370" s="252" t="s">
        <v>161</v>
      </c>
    </row>
    <row r="371">
      <c r="H371" s="252" t="s">
        <v>161</v>
      </c>
    </row>
    <row r="372">
      <c r="H372" s="252" t="s">
        <v>161</v>
      </c>
    </row>
    <row r="373">
      <c r="H373" s="252" t="s">
        <v>161</v>
      </c>
    </row>
    <row r="374">
      <c r="H374" s="252" t="s">
        <v>161</v>
      </c>
    </row>
    <row r="375">
      <c r="H375" s="252" t="s">
        <v>161</v>
      </c>
    </row>
    <row r="376">
      <c r="H376" s="252" t="s">
        <v>161</v>
      </c>
    </row>
    <row r="377">
      <c r="H377" s="252" t="s">
        <v>161</v>
      </c>
    </row>
    <row r="378">
      <c r="H378" s="252" t="s">
        <v>161</v>
      </c>
    </row>
    <row r="379">
      <c r="H379" s="252" t="s">
        <v>161</v>
      </c>
    </row>
    <row r="380">
      <c r="H380" s="252" t="s">
        <v>161</v>
      </c>
    </row>
    <row r="381">
      <c r="H381" s="252" t="s">
        <v>161</v>
      </c>
    </row>
    <row r="382">
      <c r="H382" s="252" t="s">
        <v>161</v>
      </c>
    </row>
    <row r="383">
      <c r="H383" s="252" t="s">
        <v>161</v>
      </c>
    </row>
    <row r="384">
      <c r="H384" s="252" t="s">
        <v>161</v>
      </c>
    </row>
    <row r="385">
      <c r="H385" s="252" t="s">
        <v>161</v>
      </c>
    </row>
    <row r="386">
      <c r="H386" s="252" t="s">
        <v>161</v>
      </c>
    </row>
    <row r="387">
      <c r="H387" s="252" t="s">
        <v>161</v>
      </c>
    </row>
    <row r="388">
      <c r="H388" s="252" t="s">
        <v>161</v>
      </c>
    </row>
    <row r="389">
      <c r="H389" s="252" t="s">
        <v>161</v>
      </c>
    </row>
    <row r="390">
      <c r="H390" s="252" t="s">
        <v>161</v>
      </c>
    </row>
    <row r="391">
      <c r="H391" s="252" t="s">
        <v>161</v>
      </c>
    </row>
    <row r="392">
      <c r="H392" s="252" t="s">
        <v>161</v>
      </c>
    </row>
    <row r="393">
      <c r="H393" s="252" t="s">
        <v>161</v>
      </c>
    </row>
    <row r="394">
      <c r="H394" s="252" t="s">
        <v>161</v>
      </c>
    </row>
    <row r="395">
      <c r="H395" s="252" t="s">
        <v>161</v>
      </c>
    </row>
    <row r="396">
      <c r="H396" s="252" t="s">
        <v>161</v>
      </c>
    </row>
    <row r="397">
      <c r="H397" s="252" t="s">
        <v>161</v>
      </c>
    </row>
    <row r="398">
      <c r="H398" s="252" t="s">
        <v>161</v>
      </c>
    </row>
    <row r="399">
      <c r="H399" s="252" t="s">
        <v>161</v>
      </c>
    </row>
    <row r="400">
      <c r="H400" s="252" t="s">
        <v>161</v>
      </c>
    </row>
    <row r="401">
      <c r="H401" s="252" t="s">
        <v>161</v>
      </c>
    </row>
    <row r="402">
      <c r="H402" s="252" t="s">
        <v>161</v>
      </c>
    </row>
    <row r="403">
      <c r="H403" s="252" t="s">
        <v>161</v>
      </c>
    </row>
    <row r="404">
      <c r="H404" s="252" t="s">
        <v>161</v>
      </c>
    </row>
    <row r="405">
      <c r="H405" s="252" t="s">
        <v>161</v>
      </c>
    </row>
    <row r="406">
      <c r="H406" s="252" t="s">
        <v>161</v>
      </c>
    </row>
    <row r="407">
      <c r="H407" s="252" t="s">
        <v>161</v>
      </c>
    </row>
    <row r="408">
      <c r="H408" s="252" t="s">
        <v>161</v>
      </c>
    </row>
    <row r="409">
      <c r="H409" s="252" t="s">
        <v>161</v>
      </c>
    </row>
    <row r="410">
      <c r="H410" s="252" t="s">
        <v>161</v>
      </c>
    </row>
    <row r="411">
      <c r="H411" s="252" t="s">
        <v>161</v>
      </c>
    </row>
    <row r="412">
      <c r="H412" s="252" t="s">
        <v>161</v>
      </c>
    </row>
    <row r="413">
      <c r="H413" s="252" t="s">
        <v>161</v>
      </c>
    </row>
    <row r="414">
      <c r="H414" s="252" t="s">
        <v>161</v>
      </c>
    </row>
    <row r="415">
      <c r="H415" s="252" t="s">
        <v>161</v>
      </c>
    </row>
    <row r="416">
      <c r="H416" s="252" t="s">
        <v>161</v>
      </c>
    </row>
    <row r="417">
      <c r="H417" s="252" t="s">
        <v>161</v>
      </c>
    </row>
    <row r="418">
      <c r="H418" s="252" t="s">
        <v>161</v>
      </c>
    </row>
    <row r="419">
      <c r="H419" s="252" t="s">
        <v>161</v>
      </c>
    </row>
    <row r="420">
      <c r="H420" s="252" t="s">
        <v>161</v>
      </c>
    </row>
    <row r="421">
      <c r="H421" s="252" t="s">
        <v>161</v>
      </c>
    </row>
    <row r="422">
      <c r="H422" s="252" t="s">
        <v>161</v>
      </c>
    </row>
    <row r="423">
      <c r="H423" s="252" t="s">
        <v>161</v>
      </c>
    </row>
    <row r="424">
      <c r="H424" s="252" t="s">
        <v>161</v>
      </c>
    </row>
    <row r="425">
      <c r="H425" s="252" t="s">
        <v>161</v>
      </c>
    </row>
    <row r="426">
      <c r="H426" s="252" t="s">
        <v>161</v>
      </c>
    </row>
    <row r="427">
      <c r="H427" s="252" t="s">
        <v>161</v>
      </c>
    </row>
    <row r="428">
      <c r="H428" s="252" t="s">
        <v>161</v>
      </c>
    </row>
    <row r="429">
      <c r="H429" s="252" t="s">
        <v>161</v>
      </c>
    </row>
    <row r="430">
      <c r="H430" s="252" t="s">
        <v>161</v>
      </c>
    </row>
    <row r="431">
      <c r="H431" s="252" t="s">
        <v>161</v>
      </c>
    </row>
    <row r="432">
      <c r="H432" s="252" t="s">
        <v>161</v>
      </c>
    </row>
    <row r="433">
      <c r="H433" s="252" t="s">
        <v>161</v>
      </c>
    </row>
    <row r="434">
      <c r="H434" s="252" t="s">
        <v>161</v>
      </c>
    </row>
    <row r="435">
      <c r="H435" s="252" t="s">
        <v>161</v>
      </c>
    </row>
    <row r="436">
      <c r="H436" s="252" t="s">
        <v>161</v>
      </c>
    </row>
    <row r="437">
      <c r="H437" s="252" t="s">
        <v>161</v>
      </c>
    </row>
    <row r="438">
      <c r="H438" s="252" t="s">
        <v>161</v>
      </c>
    </row>
    <row r="439">
      <c r="H439" s="252" t="s">
        <v>161</v>
      </c>
    </row>
    <row r="440">
      <c r="H440" s="252" t="s">
        <v>161</v>
      </c>
    </row>
    <row r="441">
      <c r="H441" s="252" t="s">
        <v>161</v>
      </c>
    </row>
    <row r="442">
      <c r="H442" s="252" t="s">
        <v>161</v>
      </c>
    </row>
    <row r="443">
      <c r="H443" s="252" t="s">
        <v>161</v>
      </c>
    </row>
    <row r="444">
      <c r="H444" s="252" t="s">
        <v>161</v>
      </c>
    </row>
    <row r="445">
      <c r="H445" s="252" t="s">
        <v>161</v>
      </c>
    </row>
    <row r="446">
      <c r="H446" s="252" t="s">
        <v>161</v>
      </c>
    </row>
    <row r="447">
      <c r="H447" s="252" t="s">
        <v>161</v>
      </c>
    </row>
    <row r="448">
      <c r="H448" s="252" t="s">
        <v>161</v>
      </c>
    </row>
    <row r="449">
      <c r="H449" s="252" t="s">
        <v>161</v>
      </c>
    </row>
    <row r="450">
      <c r="H450" s="252" t="s">
        <v>161</v>
      </c>
    </row>
    <row r="451">
      <c r="H451" s="252" t="s">
        <v>161</v>
      </c>
    </row>
    <row r="452">
      <c r="H452" s="252" t="s">
        <v>161</v>
      </c>
    </row>
    <row r="453">
      <c r="H453" s="252" t="s">
        <v>161</v>
      </c>
    </row>
    <row r="454">
      <c r="H454" s="252" t="s">
        <v>161</v>
      </c>
    </row>
    <row r="455">
      <c r="H455" s="252" t="s">
        <v>161</v>
      </c>
    </row>
    <row r="456">
      <c r="H456" s="252" t="s">
        <v>161</v>
      </c>
    </row>
    <row r="457">
      <c r="H457" s="252" t="s">
        <v>161</v>
      </c>
    </row>
    <row r="458">
      <c r="H458" s="252" t="s">
        <v>161</v>
      </c>
    </row>
    <row r="459">
      <c r="H459" s="252" t="s">
        <v>161</v>
      </c>
    </row>
    <row r="460">
      <c r="H460" s="252" t="s">
        <v>161</v>
      </c>
    </row>
    <row r="461">
      <c r="H461" s="252" t="s">
        <v>161</v>
      </c>
    </row>
    <row r="462">
      <c r="H462" s="252" t="s">
        <v>161</v>
      </c>
    </row>
    <row r="463">
      <c r="H463" s="252" t="s">
        <v>161</v>
      </c>
    </row>
    <row r="464">
      <c r="H464" s="252" t="s">
        <v>161</v>
      </c>
    </row>
    <row r="465">
      <c r="H465" s="252" t="s">
        <v>161</v>
      </c>
    </row>
    <row r="466">
      <c r="H466" s="252" t="s">
        <v>161</v>
      </c>
    </row>
    <row r="467">
      <c r="H467" s="252" t="s">
        <v>161</v>
      </c>
    </row>
    <row r="468">
      <c r="H468" s="252" t="s">
        <v>161</v>
      </c>
    </row>
    <row r="469">
      <c r="H469" s="252" t="s">
        <v>161</v>
      </c>
    </row>
    <row r="470">
      <c r="H470" s="252" t="s">
        <v>161</v>
      </c>
    </row>
    <row r="471">
      <c r="H471" s="252" t="s">
        <v>161</v>
      </c>
    </row>
    <row r="472">
      <c r="H472" s="252" t="s">
        <v>161</v>
      </c>
    </row>
    <row r="473">
      <c r="H473" s="252" t="s">
        <v>161</v>
      </c>
    </row>
    <row r="474">
      <c r="H474" s="252" t="s">
        <v>161</v>
      </c>
    </row>
    <row r="475">
      <c r="H475" s="252" t="s">
        <v>161</v>
      </c>
    </row>
    <row r="476">
      <c r="H476" s="252" t="s">
        <v>161</v>
      </c>
    </row>
    <row r="477">
      <c r="H477" s="252" t="s">
        <v>161</v>
      </c>
    </row>
    <row r="478">
      <c r="H478" s="252" t="s">
        <v>161</v>
      </c>
    </row>
    <row r="479">
      <c r="H479" s="252" t="s">
        <v>161</v>
      </c>
    </row>
    <row r="480">
      <c r="H480" s="252" t="s">
        <v>161</v>
      </c>
    </row>
    <row r="481">
      <c r="H481" s="252" t="s">
        <v>161</v>
      </c>
    </row>
    <row r="482">
      <c r="H482" s="252" t="s">
        <v>161</v>
      </c>
    </row>
    <row r="483">
      <c r="H483" s="252" t="s">
        <v>161</v>
      </c>
    </row>
    <row r="484">
      <c r="H484" s="252" t="s">
        <v>161</v>
      </c>
    </row>
    <row r="485">
      <c r="H485" s="252" t="s">
        <v>161</v>
      </c>
    </row>
    <row r="486">
      <c r="H486" s="252" t="s">
        <v>161</v>
      </c>
    </row>
    <row r="487">
      <c r="H487" s="252" t="s">
        <v>161</v>
      </c>
    </row>
    <row r="488">
      <c r="H488" s="252" t="s">
        <v>161</v>
      </c>
    </row>
    <row r="489">
      <c r="H489" s="252" t="s">
        <v>161</v>
      </c>
    </row>
    <row r="490">
      <c r="H490" s="252" t="s">
        <v>161</v>
      </c>
    </row>
    <row r="491">
      <c r="H491" s="252" t="s">
        <v>161</v>
      </c>
    </row>
    <row r="492">
      <c r="H492" s="252" t="s">
        <v>161</v>
      </c>
    </row>
    <row r="493">
      <c r="H493" s="252" t="s">
        <v>161</v>
      </c>
    </row>
    <row r="494">
      <c r="H494" s="252" t="s">
        <v>161</v>
      </c>
    </row>
    <row r="495">
      <c r="H495" s="252" t="s">
        <v>161</v>
      </c>
    </row>
    <row r="496">
      <c r="H496" s="252" t="s">
        <v>161</v>
      </c>
    </row>
    <row r="497">
      <c r="H497" s="252" t="s">
        <v>161</v>
      </c>
    </row>
    <row r="498">
      <c r="H498" s="252" t="s">
        <v>161</v>
      </c>
    </row>
    <row r="499">
      <c r="H499" s="252" t="s">
        <v>161</v>
      </c>
    </row>
    <row r="500">
      <c r="H500" s="252" t="s">
        <v>161</v>
      </c>
    </row>
    <row r="501">
      <c r="H501" s="252" t="s">
        <v>161</v>
      </c>
    </row>
    <row r="502">
      <c r="H502" s="252" t="s">
        <v>161</v>
      </c>
    </row>
    <row r="503">
      <c r="H503" s="252" t="s">
        <v>161</v>
      </c>
    </row>
    <row r="504">
      <c r="H504" s="252" t="s">
        <v>161</v>
      </c>
    </row>
    <row r="505">
      <c r="H505" s="252" t="s">
        <v>161</v>
      </c>
    </row>
    <row r="506">
      <c r="H506" s="252" t="s">
        <v>161</v>
      </c>
    </row>
    <row r="507">
      <c r="H507" s="252" t="s">
        <v>161</v>
      </c>
    </row>
    <row r="508">
      <c r="H508" s="252" t="s">
        <v>161</v>
      </c>
    </row>
    <row r="509">
      <c r="H509" s="252" t="s">
        <v>161</v>
      </c>
    </row>
    <row r="510">
      <c r="H510" s="252" t="s">
        <v>161</v>
      </c>
    </row>
    <row r="511">
      <c r="H511" s="252" t="s">
        <v>161</v>
      </c>
    </row>
    <row r="512">
      <c r="H512" s="252" t="s">
        <v>161</v>
      </c>
    </row>
    <row r="513">
      <c r="H513" s="252" t="s">
        <v>161</v>
      </c>
    </row>
    <row r="514">
      <c r="H514" s="252" t="s">
        <v>161</v>
      </c>
    </row>
    <row r="515">
      <c r="H515" s="252" t="s">
        <v>161</v>
      </c>
    </row>
    <row r="516">
      <c r="H516" s="252" t="s">
        <v>161</v>
      </c>
    </row>
    <row r="517">
      <c r="H517" s="252" t="s">
        <v>161</v>
      </c>
    </row>
    <row r="518">
      <c r="H518" s="252" t="s">
        <v>161</v>
      </c>
    </row>
    <row r="519">
      <c r="H519" s="252" t="s">
        <v>161</v>
      </c>
    </row>
    <row r="520">
      <c r="H520" s="252" t="s">
        <v>161</v>
      </c>
    </row>
    <row r="521">
      <c r="H521" s="252" t="s">
        <v>161</v>
      </c>
    </row>
    <row r="522">
      <c r="H522" s="252" t="s">
        <v>161</v>
      </c>
    </row>
    <row r="523">
      <c r="H523" s="252" t="s">
        <v>161</v>
      </c>
    </row>
    <row r="524">
      <c r="H524" s="252" t="s">
        <v>161</v>
      </c>
    </row>
    <row r="525">
      <c r="H525" s="252" t="s">
        <v>161</v>
      </c>
    </row>
    <row r="526">
      <c r="H526" s="252" t="s">
        <v>161</v>
      </c>
    </row>
    <row r="527">
      <c r="H527" s="252" t="s">
        <v>161</v>
      </c>
    </row>
    <row r="528">
      <c r="H528" s="252" t="s">
        <v>161</v>
      </c>
    </row>
    <row r="529">
      <c r="H529" s="252" t="s">
        <v>161</v>
      </c>
    </row>
    <row r="530">
      <c r="H530" s="252" t="s">
        <v>161</v>
      </c>
    </row>
    <row r="531">
      <c r="H531" s="252" t="s">
        <v>161</v>
      </c>
    </row>
    <row r="532">
      <c r="H532" s="252" t="s">
        <v>161</v>
      </c>
    </row>
    <row r="533">
      <c r="H533" s="252" t="s">
        <v>161</v>
      </c>
    </row>
    <row r="534">
      <c r="H534" s="252" t="s">
        <v>161</v>
      </c>
    </row>
    <row r="535">
      <c r="H535" s="252" t="s">
        <v>161</v>
      </c>
    </row>
    <row r="536">
      <c r="H536" s="252" t="s">
        <v>161</v>
      </c>
    </row>
    <row r="537">
      <c r="H537" s="252" t="s">
        <v>161</v>
      </c>
    </row>
    <row r="538">
      <c r="H538" s="252" t="s">
        <v>161</v>
      </c>
    </row>
    <row r="539">
      <c r="H539" s="252" t="s">
        <v>161</v>
      </c>
    </row>
    <row r="540">
      <c r="H540" s="252" t="s">
        <v>161</v>
      </c>
    </row>
    <row r="541">
      <c r="H541" s="252" t="s">
        <v>161</v>
      </c>
    </row>
    <row r="542">
      <c r="H542" s="252" t="s">
        <v>161</v>
      </c>
    </row>
    <row r="543">
      <c r="H543" s="252" t="s">
        <v>161</v>
      </c>
    </row>
    <row r="544">
      <c r="H544" s="252" t="s">
        <v>161</v>
      </c>
    </row>
    <row r="545">
      <c r="H545" s="252" t="s">
        <v>161</v>
      </c>
    </row>
    <row r="546">
      <c r="H546" s="252" t="s">
        <v>161</v>
      </c>
    </row>
    <row r="547">
      <c r="H547" s="252" t="s">
        <v>161</v>
      </c>
    </row>
    <row r="548">
      <c r="H548" s="252" t="s">
        <v>161</v>
      </c>
    </row>
    <row r="549">
      <c r="H549" s="252" t="s">
        <v>161</v>
      </c>
    </row>
    <row r="550">
      <c r="H550" s="252" t="s">
        <v>161</v>
      </c>
    </row>
    <row r="551">
      <c r="H551" s="252" t="s">
        <v>161</v>
      </c>
    </row>
    <row r="552">
      <c r="H552" s="252" t="s">
        <v>161</v>
      </c>
    </row>
    <row r="553">
      <c r="H553" s="252" t="s">
        <v>161</v>
      </c>
    </row>
    <row r="554">
      <c r="H554" s="252" t="s">
        <v>161</v>
      </c>
    </row>
    <row r="555">
      <c r="H555" s="252" t="s">
        <v>161</v>
      </c>
    </row>
    <row r="556">
      <c r="H556" s="252" t="s">
        <v>161</v>
      </c>
    </row>
    <row r="557">
      <c r="H557" s="252" t="s">
        <v>161</v>
      </c>
    </row>
    <row r="558">
      <c r="H558" s="252" t="s">
        <v>161</v>
      </c>
    </row>
    <row r="559">
      <c r="H559" s="252" t="s">
        <v>161</v>
      </c>
    </row>
    <row r="560">
      <c r="H560" s="252" t="s">
        <v>161</v>
      </c>
    </row>
    <row r="561">
      <c r="H561" s="252" t="s">
        <v>161</v>
      </c>
    </row>
    <row r="562">
      <c r="H562" s="252" t="s">
        <v>161</v>
      </c>
    </row>
    <row r="563">
      <c r="H563" s="252" t="s">
        <v>161</v>
      </c>
    </row>
    <row r="564">
      <c r="H564" s="252" t="s">
        <v>161</v>
      </c>
    </row>
    <row r="565">
      <c r="H565" s="252" t="s">
        <v>161</v>
      </c>
    </row>
    <row r="566">
      <c r="H566" s="252" t="s">
        <v>161</v>
      </c>
    </row>
    <row r="567">
      <c r="H567" s="252" t="s">
        <v>161</v>
      </c>
    </row>
    <row r="568">
      <c r="H568" s="252" t="s">
        <v>161</v>
      </c>
    </row>
    <row r="569">
      <c r="H569" s="252" t="s">
        <v>161</v>
      </c>
    </row>
    <row r="570">
      <c r="H570" s="252" t="s">
        <v>161</v>
      </c>
    </row>
    <row r="571">
      <c r="H571" s="252" t="s">
        <v>161</v>
      </c>
    </row>
    <row r="572">
      <c r="H572" s="252" t="s">
        <v>161</v>
      </c>
    </row>
    <row r="573">
      <c r="H573" s="252" t="s">
        <v>161</v>
      </c>
    </row>
    <row r="574">
      <c r="H574" s="252" t="s">
        <v>161</v>
      </c>
    </row>
    <row r="575">
      <c r="H575" s="252" t="s">
        <v>161</v>
      </c>
    </row>
    <row r="576">
      <c r="H576" s="252" t="s">
        <v>161</v>
      </c>
    </row>
    <row r="577">
      <c r="H577" s="252" t="s">
        <v>161</v>
      </c>
    </row>
    <row r="578">
      <c r="H578" s="252" t="s">
        <v>161</v>
      </c>
    </row>
    <row r="579">
      <c r="H579" s="252" t="s">
        <v>161</v>
      </c>
    </row>
    <row r="580">
      <c r="H580" s="252" t="s">
        <v>161</v>
      </c>
    </row>
    <row r="581">
      <c r="H581" s="252" t="s">
        <v>161</v>
      </c>
    </row>
    <row r="582">
      <c r="H582" s="252" t="s">
        <v>161</v>
      </c>
    </row>
    <row r="583">
      <c r="H583" s="252" t="s">
        <v>161</v>
      </c>
    </row>
    <row r="584">
      <c r="H584" s="252" t="s">
        <v>161</v>
      </c>
    </row>
    <row r="585">
      <c r="H585" s="252" t="s">
        <v>161</v>
      </c>
    </row>
    <row r="586">
      <c r="H586" s="252" t="s">
        <v>161</v>
      </c>
    </row>
    <row r="587">
      <c r="H587" s="252" t="s">
        <v>161</v>
      </c>
    </row>
    <row r="588">
      <c r="H588" s="252" t="s">
        <v>161</v>
      </c>
    </row>
    <row r="589">
      <c r="H589" s="252" t="s">
        <v>161</v>
      </c>
    </row>
    <row r="590">
      <c r="H590" s="252" t="s">
        <v>161</v>
      </c>
    </row>
    <row r="591">
      <c r="H591" s="252" t="s">
        <v>161</v>
      </c>
    </row>
    <row r="592">
      <c r="H592" s="252" t="s">
        <v>161</v>
      </c>
    </row>
    <row r="593">
      <c r="H593" s="252" t="s">
        <v>161</v>
      </c>
    </row>
    <row r="594">
      <c r="H594" s="252" t="s">
        <v>161</v>
      </c>
    </row>
    <row r="595">
      <c r="H595" s="252" t="s">
        <v>161</v>
      </c>
    </row>
    <row r="596">
      <c r="H596" s="252" t="s">
        <v>161</v>
      </c>
    </row>
    <row r="597">
      <c r="H597" s="252" t="s">
        <v>161</v>
      </c>
    </row>
    <row r="598">
      <c r="H598" s="252" t="s">
        <v>161</v>
      </c>
    </row>
    <row r="599">
      <c r="H599" s="252" t="s">
        <v>161</v>
      </c>
    </row>
    <row r="600">
      <c r="H600" s="252" t="s">
        <v>161</v>
      </c>
    </row>
    <row r="601">
      <c r="H601" s="252" t="s">
        <v>161</v>
      </c>
    </row>
    <row r="602">
      <c r="H602" s="252" t="s">
        <v>161</v>
      </c>
    </row>
    <row r="603">
      <c r="H603" s="252" t="s">
        <v>161</v>
      </c>
    </row>
    <row r="604">
      <c r="H604" s="252" t="s">
        <v>161</v>
      </c>
    </row>
    <row r="605">
      <c r="H605" s="252" t="s">
        <v>161</v>
      </c>
    </row>
    <row r="606">
      <c r="H606" s="252" t="s">
        <v>161</v>
      </c>
    </row>
    <row r="607">
      <c r="H607" s="252" t="s">
        <v>161</v>
      </c>
    </row>
    <row r="608">
      <c r="H608" s="252" t="s">
        <v>161</v>
      </c>
    </row>
    <row r="609">
      <c r="H609" s="252" t="s">
        <v>161</v>
      </c>
    </row>
    <row r="610">
      <c r="H610" s="252" t="s">
        <v>161</v>
      </c>
    </row>
    <row r="611">
      <c r="H611" s="252" t="s">
        <v>161</v>
      </c>
    </row>
    <row r="612">
      <c r="H612" s="252" t="s">
        <v>161</v>
      </c>
    </row>
    <row r="613">
      <c r="H613" s="252" t="s">
        <v>161</v>
      </c>
    </row>
    <row r="614">
      <c r="H614" s="252" t="s">
        <v>161</v>
      </c>
    </row>
    <row r="615">
      <c r="H615" s="252" t="s">
        <v>161</v>
      </c>
    </row>
    <row r="616">
      <c r="H616" s="252" t="s">
        <v>161</v>
      </c>
    </row>
    <row r="617">
      <c r="H617" s="252" t="s">
        <v>161</v>
      </c>
    </row>
    <row r="618">
      <c r="H618" s="252" t="s">
        <v>161</v>
      </c>
    </row>
    <row r="619">
      <c r="H619" s="252" t="s">
        <v>161</v>
      </c>
    </row>
    <row r="620">
      <c r="H620" s="252" t="s">
        <v>161</v>
      </c>
    </row>
    <row r="621">
      <c r="H621" s="252" t="s">
        <v>161</v>
      </c>
    </row>
    <row r="622">
      <c r="H622" s="252" t="s">
        <v>161</v>
      </c>
    </row>
    <row r="623">
      <c r="H623" s="252" t="s">
        <v>161</v>
      </c>
    </row>
    <row r="624">
      <c r="H624" s="252" t="s">
        <v>161</v>
      </c>
    </row>
    <row r="625">
      <c r="H625" s="252" t="s">
        <v>161</v>
      </c>
    </row>
    <row r="626">
      <c r="H626" s="252" t="s">
        <v>161</v>
      </c>
    </row>
    <row r="627">
      <c r="H627" s="252" t="s">
        <v>161</v>
      </c>
    </row>
    <row r="628">
      <c r="H628" s="252" t="s">
        <v>161</v>
      </c>
    </row>
    <row r="629">
      <c r="H629" s="252" t="s">
        <v>161</v>
      </c>
    </row>
    <row r="630">
      <c r="H630" s="252" t="s">
        <v>161</v>
      </c>
    </row>
    <row r="631">
      <c r="H631" s="252" t="s">
        <v>161</v>
      </c>
    </row>
    <row r="632">
      <c r="H632" s="252" t="s">
        <v>161</v>
      </c>
    </row>
    <row r="633">
      <c r="H633" s="252" t="s">
        <v>161</v>
      </c>
    </row>
    <row r="634">
      <c r="H634" s="252" t="s">
        <v>161</v>
      </c>
    </row>
    <row r="635">
      <c r="H635" s="252" t="s">
        <v>161</v>
      </c>
    </row>
    <row r="636">
      <c r="H636" s="252" t="s">
        <v>161</v>
      </c>
    </row>
    <row r="637">
      <c r="H637" s="252" t="s">
        <v>161</v>
      </c>
    </row>
    <row r="638">
      <c r="H638" s="252" t="s">
        <v>161</v>
      </c>
    </row>
    <row r="639">
      <c r="H639" s="252" t="s">
        <v>161</v>
      </c>
    </row>
    <row r="640">
      <c r="H640" s="252" t="s">
        <v>161</v>
      </c>
    </row>
    <row r="641">
      <c r="H641" s="252" t="s">
        <v>161</v>
      </c>
    </row>
    <row r="642">
      <c r="H642" s="252" t="s">
        <v>161</v>
      </c>
    </row>
    <row r="643">
      <c r="H643" s="252" t="s">
        <v>161</v>
      </c>
    </row>
    <row r="644">
      <c r="H644" s="252" t="s">
        <v>161</v>
      </c>
    </row>
    <row r="645">
      <c r="H645" s="252" t="s">
        <v>161</v>
      </c>
    </row>
    <row r="646">
      <c r="H646" s="252" t="s">
        <v>161</v>
      </c>
    </row>
    <row r="647">
      <c r="H647" s="252" t="s">
        <v>161</v>
      </c>
    </row>
    <row r="648">
      <c r="H648" s="252" t="s">
        <v>161</v>
      </c>
    </row>
    <row r="649">
      <c r="H649" s="252" t="s">
        <v>161</v>
      </c>
    </row>
    <row r="650">
      <c r="H650" s="252" t="s">
        <v>161</v>
      </c>
    </row>
    <row r="651">
      <c r="H651" s="252" t="s">
        <v>161</v>
      </c>
    </row>
    <row r="652">
      <c r="H652" s="252" t="s">
        <v>161</v>
      </c>
    </row>
    <row r="653">
      <c r="H653" s="252" t="s">
        <v>161</v>
      </c>
    </row>
    <row r="654">
      <c r="H654" s="252" t="s">
        <v>161</v>
      </c>
    </row>
    <row r="655">
      <c r="H655" s="252" t="s">
        <v>161</v>
      </c>
    </row>
    <row r="656">
      <c r="H656" s="252" t="s">
        <v>161</v>
      </c>
    </row>
    <row r="657">
      <c r="H657" s="252" t="s">
        <v>161</v>
      </c>
    </row>
    <row r="658">
      <c r="H658" s="252" t="s">
        <v>161</v>
      </c>
    </row>
    <row r="659">
      <c r="H659" s="252" t="s">
        <v>161</v>
      </c>
    </row>
    <row r="660">
      <c r="H660" s="252" t="s">
        <v>161</v>
      </c>
    </row>
    <row r="661">
      <c r="H661" s="252" t="s">
        <v>161</v>
      </c>
    </row>
    <row r="662">
      <c r="H662" s="252" t="s">
        <v>161</v>
      </c>
    </row>
    <row r="663">
      <c r="H663" s="252" t="s">
        <v>161</v>
      </c>
    </row>
    <row r="664">
      <c r="H664" s="252" t="s">
        <v>161</v>
      </c>
    </row>
    <row r="665">
      <c r="H665" s="252" t="s">
        <v>161</v>
      </c>
    </row>
    <row r="666">
      <c r="H666" s="252" t="s">
        <v>161</v>
      </c>
    </row>
    <row r="667">
      <c r="H667" s="252" t="s">
        <v>161</v>
      </c>
    </row>
    <row r="668">
      <c r="H668" s="252" t="s">
        <v>161</v>
      </c>
    </row>
    <row r="669">
      <c r="H669" s="252" t="s">
        <v>161</v>
      </c>
    </row>
    <row r="670">
      <c r="H670" s="252" t="s">
        <v>161</v>
      </c>
    </row>
    <row r="671">
      <c r="H671" s="252" t="s">
        <v>161</v>
      </c>
    </row>
    <row r="672">
      <c r="H672" s="252" t="s">
        <v>161</v>
      </c>
    </row>
    <row r="673">
      <c r="H673" s="252" t="s">
        <v>161</v>
      </c>
    </row>
    <row r="674">
      <c r="H674" s="252" t="s">
        <v>161</v>
      </c>
    </row>
    <row r="675">
      <c r="H675" s="252" t="s">
        <v>161</v>
      </c>
    </row>
    <row r="676">
      <c r="H676" s="252" t="s">
        <v>161</v>
      </c>
    </row>
    <row r="677">
      <c r="H677" s="252" t="s">
        <v>161</v>
      </c>
    </row>
    <row r="678">
      <c r="H678" s="252" t="s">
        <v>161</v>
      </c>
    </row>
    <row r="679">
      <c r="H679" s="252" t="s">
        <v>161</v>
      </c>
    </row>
    <row r="680">
      <c r="H680" s="252" t="s">
        <v>161</v>
      </c>
    </row>
    <row r="681">
      <c r="H681" s="252" t="s">
        <v>161</v>
      </c>
    </row>
    <row r="682">
      <c r="H682" s="252" t="s">
        <v>161</v>
      </c>
    </row>
    <row r="683">
      <c r="H683" s="252" t="s">
        <v>161</v>
      </c>
    </row>
    <row r="684">
      <c r="H684" s="252" t="s">
        <v>161</v>
      </c>
    </row>
    <row r="685">
      <c r="H685" s="252" t="s">
        <v>161</v>
      </c>
    </row>
    <row r="686">
      <c r="H686" s="252" t="s">
        <v>161</v>
      </c>
    </row>
    <row r="687">
      <c r="H687" s="252" t="s">
        <v>161</v>
      </c>
    </row>
    <row r="688">
      <c r="H688" s="252" t="s">
        <v>161</v>
      </c>
    </row>
    <row r="689">
      <c r="H689" s="252" t="s">
        <v>161</v>
      </c>
    </row>
    <row r="690">
      <c r="H690" s="252" t="s">
        <v>161</v>
      </c>
    </row>
    <row r="691">
      <c r="H691" s="252" t="s">
        <v>161</v>
      </c>
    </row>
    <row r="692">
      <c r="H692" s="252" t="s">
        <v>161</v>
      </c>
    </row>
    <row r="693">
      <c r="H693" s="252" t="s">
        <v>161</v>
      </c>
    </row>
    <row r="694">
      <c r="H694" s="252" t="s">
        <v>161</v>
      </c>
    </row>
    <row r="695">
      <c r="H695" s="252" t="s">
        <v>161</v>
      </c>
    </row>
    <row r="696">
      <c r="H696" s="252" t="s">
        <v>161</v>
      </c>
    </row>
    <row r="697">
      <c r="H697" s="252" t="s">
        <v>161</v>
      </c>
    </row>
    <row r="698">
      <c r="H698" s="252" t="s">
        <v>161</v>
      </c>
    </row>
    <row r="699">
      <c r="H699" s="252" t="s">
        <v>161</v>
      </c>
    </row>
    <row r="700">
      <c r="H700" s="252" t="s">
        <v>161</v>
      </c>
    </row>
    <row r="701">
      <c r="H701" s="252" t="s">
        <v>161</v>
      </c>
    </row>
    <row r="702">
      <c r="H702" s="252" t="s">
        <v>161</v>
      </c>
    </row>
    <row r="703">
      <c r="H703" s="252" t="s">
        <v>161</v>
      </c>
    </row>
    <row r="704">
      <c r="H704" s="252" t="s">
        <v>161</v>
      </c>
    </row>
    <row r="705">
      <c r="H705" s="252" t="s">
        <v>161</v>
      </c>
    </row>
    <row r="706">
      <c r="H706" s="252" t="s">
        <v>161</v>
      </c>
    </row>
    <row r="707">
      <c r="H707" s="252" t="s">
        <v>161</v>
      </c>
    </row>
    <row r="708">
      <c r="H708" s="252" t="s">
        <v>161</v>
      </c>
    </row>
    <row r="709">
      <c r="H709" s="252" t="s">
        <v>161</v>
      </c>
    </row>
    <row r="710">
      <c r="H710" s="252" t="s">
        <v>161</v>
      </c>
    </row>
    <row r="711">
      <c r="H711" s="252" t="s">
        <v>161</v>
      </c>
    </row>
    <row r="712">
      <c r="H712" s="252" t="s">
        <v>161</v>
      </c>
    </row>
    <row r="713">
      <c r="H713" s="252" t="s">
        <v>161</v>
      </c>
    </row>
    <row r="714">
      <c r="H714" s="252" t="s">
        <v>161</v>
      </c>
    </row>
    <row r="715">
      <c r="H715" s="252" t="s">
        <v>161</v>
      </c>
    </row>
    <row r="716">
      <c r="H716" s="252" t="s">
        <v>161</v>
      </c>
    </row>
    <row r="717">
      <c r="H717" s="252" t="s">
        <v>161</v>
      </c>
    </row>
    <row r="718">
      <c r="H718" s="252" t="s">
        <v>161</v>
      </c>
    </row>
    <row r="719">
      <c r="H719" s="252" t="s">
        <v>161</v>
      </c>
    </row>
    <row r="720">
      <c r="H720" s="252" t="s">
        <v>161</v>
      </c>
    </row>
    <row r="721">
      <c r="H721" s="252" t="s">
        <v>161</v>
      </c>
    </row>
    <row r="722">
      <c r="H722" s="252" t="s">
        <v>161</v>
      </c>
    </row>
    <row r="723">
      <c r="H723" s="252" t="s">
        <v>161</v>
      </c>
    </row>
    <row r="724">
      <c r="H724" s="252" t="s">
        <v>161</v>
      </c>
    </row>
    <row r="725">
      <c r="H725" s="252" t="s">
        <v>161</v>
      </c>
    </row>
    <row r="726">
      <c r="H726" s="252" t="s">
        <v>161</v>
      </c>
    </row>
    <row r="727">
      <c r="H727" s="252" t="s">
        <v>161</v>
      </c>
    </row>
    <row r="728">
      <c r="H728" s="252" t="s">
        <v>161</v>
      </c>
    </row>
    <row r="729">
      <c r="H729" s="252" t="s">
        <v>161</v>
      </c>
    </row>
    <row r="730">
      <c r="H730" s="252" t="s">
        <v>161</v>
      </c>
    </row>
    <row r="731">
      <c r="H731" s="252" t="s">
        <v>161</v>
      </c>
    </row>
    <row r="732">
      <c r="H732" s="252" t="s">
        <v>161</v>
      </c>
    </row>
    <row r="733">
      <c r="H733" s="252" t="s">
        <v>161</v>
      </c>
    </row>
    <row r="734">
      <c r="H734" s="252" t="s">
        <v>161</v>
      </c>
    </row>
    <row r="735">
      <c r="H735" s="252" t="s">
        <v>161</v>
      </c>
    </row>
    <row r="736">
      <c r="H736" s="252" t="s">
        <v>161</v>
      </c>
    </row>
    <row r="737">
      <c r="H737" s="252" t="s">
        <v>161</v>
      </c>
    </row>
    <row r="738">
      <c r="H738" s="252" t="s">
        <v>161</v>
      </c>
    </row>
    <row r="739">
      <c r="H739" s="252" t="s">
        <v>161</v>
      </c>
    </row>
    <row r="740">
      <c r="H740" s="252" t="s">
        <v>161</v>
      </c>
    </row>
    <row r="741">
      <c r="H741" s="252" t="s">
        <v>161</v>
      </c>
    </row>
    <row r="742">
      <c r="H742" s="252" t="s">
        <v>161</v>
      </c>
    </row>
    <row r="743">
      <c r="H743" s="252" t="s">
        <v>161</v>
      </c>
    </row>
    <row r="744">
      <c r="H744" s="252" t="s">
        <v>161</v>
      </c>
    </row>
    <row r="745">
      <c r="H745" s="252" t="s">
        <v>161</v>
      </c>
    </row>
    <row r="746">
      <c r="H746" s="252" t="s">
        <v>161</v>
      </c>
    </row>
    <row r="747">
      <c r="H747" s="252" t="s">
        <v>161</v>
      </c>
    </row>
    <row r="748">
      <c r="H748" s="252" t="s">
        <v>161</v>
      </c>
    </row>
    <row r="749">
      <c r="H749" s="252" t="s">
        <v>161</v>
      </c>
    </row>
    <row r="750">
      <c r="H750" s="252" t="s">
        <v>161</v>
      </c>
    </row>
    <row r="751">
      <c r="H751" s="252" t="s">
        <v>161</v>
      </c>
    </row>
    <row r="752">
      <c r="H752" s="252" t="s">
        <v>161</v>
      </c>
    </row>
    <row r="753">
      <c r="H753" s="252" t="s">
        <v>161</v>
      </c>
    </row>
    <row r="754">
      <c r="H754" s="252" t="s">
        <v>161</v>
      </c>
    </row>
    <row r="755">
      <c r="H755" s="252" t="s">
        <v>161</v>
      </c>
    </row>
    <row r="756">
      <c r="H756" s="252" t="s">
        <v>161</v>
      </c>
    </row>
    <row r="757">
      <c r="H757" s="252" t="s">
        <v>161</v>
      </c>
    </row>
    <row r="758">
      <c r="H758" s="252" t="s">
        <v>161</v>
      </c>
    </row>
    <row r="759">
      <c r="H759" s="252" t="s">
        <v>161</v>
      </c>
    </row>
    <row r="760">
      <c r="H760" s="252" t="s">
        <v>161</v>
      </c>
    </row>
    <row r="761">
      <c r="H761" s="252" t="s">
        <v>161</v>
      </c>
    </row>
    <row r="762">
      <c r="H762" s="252" t="s">
        <v>161</v>
      </c>
    </row>
    <row r="763">
      <c r="H763" s="252" t="s">
        <v>161</v>
      </c>
    </row>
    <row r="764">
      <c r="H764" s="252" t="s">
        <v>161</v>
      </c>
    </row>
    <row r="765">
      <c r="H765" s="252" t="s">
        <v>161</v>
      </c>
    </row>
    <row r="766">
      <c r="H766" s="252" t="s">
        <v>161</v>
      </c>
    </row>
    <row r="767">
      <c r="H767" s="252" t="s">
        <v>161</v>
      </c>
    </row>
    <row r="768">
      <c r="H768" s="252" t="s">
        <v>161</v>
      </c>
    </row>
    <row r="769">
      <c r="H769" s="252" t="s">
        <v>161</v>
      </c>
    </row>
    <row r="770">
      <c r="H770" s="252" t="s">
        <v>161</v>
      </c>
    </row>
    <row r="771">
      <c r="H771" s="252" t="s">
        <v>161</v>
      </c>
    </row>
    <row r="772">
      <c r="H772" s="252" t="s">
        <v>161</v>
      </c>
    </row>
    <row r="773">
      <c r="H773" s="252" t="s">
        <v>161</v>
      </c>
    </row>
    <row r="774">
      <c r="H774" s="252" t="s">
        <v>161</v>
      </c>
    </row>
    <row r="775">
      <c r="H775" s="252" t="s">
        <v>161</v>
      </c>
    </row>
    <row r="776">
      <c r="H776" s="252" t="s">
        <v>161</v>
      </c>
    </row>
    <row r="777">
      <c r="H777" s="252" t="s">
        <v>161</v>
      </c>
    </row>
    <row r="778">
      <c r="H778" s="252" t="s">
        <v>161</v>
      </c>
    </row>
    <row r="779">
      <c r="H779" s="252" t="s">
        <v>161</v>
      </c>
    </row>
    <row r="780">
      <c r="H780" s="252" t="s">
        <v>161</v>
      </c>
    </row>
    <row r="781">
      <c r="H781" s="252" t="s">
        <v>161</v>
      </c>
    </row>
    <row r="782">
      <c r="H782" s="252" t="s">
        <v>161</v>
      </c>
    </row>
    <row r="783">
      <c r="H783" s="252" t="s">
        <v>161</v>
      </c>
    </row>
    <row r="784">
      <c r="H784" s="252" t="s">
        <v>161</v>
      </c>
    </row>
    <row r="785">
      <c r="H785" s="252" t="s">
        <v>161</v>
      </c>
    </row>
    <row r="786">
      <c r="H786" s="252" t="s">
        <v>161</v>
      </c>
    </row>
    <row r="787">
      <c r="H787" s="252" t="s">
        <v>161</v>
      </c>
    </row>
    <row r="788">
      <c r="H788" s="252" t="s">
        <v>161</v>
      </c>
    </row>
    <row r="789">
      <c r="H789" s="252" t="s">
        <v>161</v>
      </c>
    </row>
    <row r="790">
      <c r="H790" s="252" t="s">
        <v>161</v>
      </c>
    </row>
    <row r="791">
      <c r="H791" s="252" t="s">
        <v>161</v>
      </c>
    </row>
    <row r="792">
      <c r="H792" s="252" t="s">
        <v>161</v>
      </c>
    </row>
    <row r="793">
      <c r="H793" s="252" t="s">
        <v>161</v>
      </c>
    </row>
    <row r="794">
      <c r="H794" s="252" t="s">
        <v>161</v>
      </c>
    </row>
    <row r="795">
      <c r="H795" s="252" t="s">
        <v>161</v>
      </c>
    </row>
    <row r="796">
      <c r="H796" s="252" t="s">
        <v>161</v>
      </c>
    </row>
    <row r="797">
      <c r="H797" s="252" t="s">
        <v>161</v>
      </c>
    </row>
    <row r="798">
      <c r="H798" s="252" t="s">
        <v>161</v>
      </c>
    </row>
    <row r="799">
      <c r="H799" s="252" t="s">
        <v>161</v>
      </c>
    </row>
    <row r="800">
      <c r="H800" s="252" t="s">
        <v>161</v>
      </c>
    </row>
    <row r="801">
      <c r="H801" s="252" t="s">
        <v>161</v>
      </c>
    </row>
    <row r="802">
      <c r="H802" s="252" t="s">
        <v>161</v>
      </c>
    </row>
    <row r="803">
      <c r="H803" s="252" t="s">
        <v>161</v>
      </c>
    </row>
    <row r="804">
      <c r="H804" s="252" t="s">
        <v>161</v>
      </c>
    </row>
    <row r="805">
      <c r="H805" s="252" t="s">
        <v>161</v>
      </c>
    </row>
    <row r="806">
      <c r="H806" s="252" t="s">
        <v>161</v>
      </c>
    </row>
    <row r="807">
      <c r="H807" s="252" t="s">
        <v>161</v>
      </c>
    </row>
    <row r="808">
      <c r="H808" s="252" t="s">
        <v>161</v>
      </c>
    </row>
    <row r="809">
      <c r="H809" s="252" t="s">
        <v>161</v>
      </c>
    </row>
    <row r="810">
      <c r="H810" s="252" t="s">
        <v>161</v>
      </c>
    </row>
    <row r="811">
      <c r="H811" s="252" t="s">
        <v>161</v>
      </c>
    </row>
    <row r="812">
      <c r="H812" s="252" t="s">
        <v>161</v>
      </c>
    </row>
    <row r="813">
      <c r="H813" s="252" t="s">
        <v>161</v>
      </c>
    </row>
    <row r="814">
      <c r="H814" s="252" t="s">
        <v>161</v>
      </c>
    </row>
    <row r="815">
      <c r="H815" s="252" t="s">
        <v>161</v>
      </c>
    </row>
    <row r="816">
      <c r="H816" s="252" t="s">
        <v>161</v>
      </c>
    </row>
    <row r="817">
      <c r="H817" s="252" t="s">
        <v>161</v>
      </c>
    </row>
    <row r="818">
      <c r="H818" s="252" t="s">
        <v>161</v>
      </c>
    </row>
    <row r="819">
      <c r="H819" s="252" t="s">
        <v>161</v>
      </c>
    </row>
    <row r="820">
      <c r="H820" s="252" t="s">
        <v>161</v>
      </c>
    </row>
    <row r="821">
      <c r="H821" s="252" t="s">
        <v>161</v>
      </c>
    </row>
    <row r="822">
      <c r="H822" s="252" t="s">
        <v>161</v>
      </c>
    </row>
    <row r="823">
      <c r="H823" s="252" t="s">
        <v>161</v>
      </c>
    </row>
    <row r="824">
      <c r="H824" s="252" t="s">
        <v>161</v>
      </c>
    </row>
    <row r="825">
      <c r="H825" s="252" t="s">
        <v>161</v>
      </c>
    </row>
    <row r="826">
      <c r="H826" s="252" t="s">
        <v>161</v>
      </c>
    </row>
    <row r="827">
      <c r="H827" s="252" t="s">
        <v>161</v>
      </c>
    </row>
    <row r="828">
      <c r="H828" s="252" t="s">
        <v>161</v>
      </c>
    </row>
    <row r="829">
      <c r="H829" s="252" t="s">
        <v>161</v>
      </c>
    </row>
    <row r="830">
      <c r="H830" s="252" t="s">
        <v>161</v>
      </c>
    </row>
    <row r="831">
      <c r="H831" s="252" t="s">
        <v>161</v>
      </c>
    </row>
    <row r="832">
      <c r="H832" s="252" t="s">
        <v>161</v>
      </c>
    </row>
    <row r="833">
      <c r="H833" s="252" t="s">
        <v>161</v>
      </c>
    </row>
    <row r="834">
      <c r="H834" s="252" t="s">
        <v>161</v>
      </c>
    </row>
    <row r="835">
      <c r="H835" s="252" t="s">
        <v>161</v>
      </c>
    </row>
    <row r="836">
      <c r="H836" s="252" t="s">
        <v>161</v>
      </c>
    </row>
    <row r="837">
      <c r="H837" s="252" t="s">
        <v>161</v>
      </c>
    </row>
    <row r="838">
      <c r="H838" s="252" t="s">
        <v>161</v>
      </c>
    </row>
    <row r="839">
      <c r="H839" s="252" t="s">
        <v>161</v>
      </c>
    </row>
    <row r="840">
      <c r="H840" s="252" t="s">
        <v>161</v>
      </c>
    </row>
    <row r="841">
      <c r="H841" s="252" t="s">
        <v>161</v>
      </c>
    </row>
    <row r="842">
      <c r="H842" s="252" t="s">
        <v>161</v>
      </c>
    </row>
    <row r="843">
      <c r="H843" s="252" t="s">
        <v>161</v>
      </c>
    </row>
    <row r="844">
      <c r="H844" s="252" t="s">
        <v>161</v>
      </c>
    </row>
    <row r="845">
      <c r="H845" s="252" t="s">
        <v>161</v>
      </c>
    </row>
    <row r="846">
      <c r="H846" s="252" t="s">
        <v>161</v>
      </c>
    </row>
    <row r="847">
      <c r="H847" s="252" t="s">
        <v>161</v>
      </c>
    </row>
    <row r="848">
      <c r="H848" s="252" t="s">
        <v>161</v>
      </c>
    </row>
    <row r="849">
      <c r="H849" s="252" t="s">
        <v>161</v>
      </c>
    </row>
    <row r="850">
      <c r="H850" s="252" t="s">
        <v>161</v>
      </c>
    </row>
    <row r="851">
      <c r="H851" s="252" t="s">
        <v>161</v>
      </c>
    </row>
    <row r="852">
      <c r="H852" s="252" t="s">
        <v>161</v>
      </c>
    </row>
    <row r="853">
      <c r="H853" s="252" t="s">
        <v>161</v>
      </c>
    </row>
    <row r="854">
      <c r="H854" s="252" t="s">
        <v>161</v>
      </c>
    </row>
    <row r="855">
      <c r="H855" s="252" t="s">
        <v>161</v>
      </c>
    </row>
    <row r="856">
      <c r="H856" s="252" t="s">
        <v>161</v>
      </c>
    </row>
    <row r="857">
      <c r="H857" s="252" t="s">
        <v>161</v>
      </c>
    </row>
    <row r="858">
      <c r="H858" s="252" t="s">
        <v>161</v>
      </c>
    </row>
    <row r="859">
      <c r="H859" s="252" t="s">
        <v>161</v>
      </c>
    </row>
    <row r="860">
      <c r="H860" s="252" t="s">
        <v>161</v>
      </c>
    </row>
    <row r="861">
      <c r="H861" s="252" t="s">
        <v>161</v>
      </c>
    </row>
    <row r="862">
      <c r="H862" s="252" t="s">
        <v>161</v>
      </c>
    </row>
    <row r="863">
      <c r="H863" s="252" t="s">
        <v>161</v>
      </c>
    </row>
    <row r="864">
      <c r="H864" s="252" t="s">
        <v>161</v>
      </c>
    </row>
    <row r="865">
      <c r="H865" s="252" t="s">
        <v>161</v>
      </c>
    </row>
    <row r="866">
      <c r="H866" s="252" t="s">
        <v>161</v>
      </c>
    </row>
    <row r="867">
      <c r="H867" s="252" t="s">
        <v>161</v>
      </c>
    </row>
    <row r="868">
      <c r="H868" s="252" t="s">
        <v>161</v>
      </c>
    </row>
    <row r="869">
      <c r="H869" s="252" t="s">
        <v>161</v>
      </c>
    </row>
    <row r="870">
      <c r="H870" s="252" t="s">
        <v>161</v>
      </c>
    </row>
    <row r="871">
      <c r="H871" s="252" t="s">
        <v>161</v>
      </c>
    </row>
    <row r="872">
      <c r="H872" s="252" t="s">
        <v>161</v>
      </c>
    </row>
    <row r="873">
      <c r="H873" s="252" t="s">
        <v>161</v>
      </c>
    </row>
    <row r="874">
      <c r="H874" s="252" t="s">
        <v>161</v>
      </c>
    </row>
    <row r="875">
      <c r="H875" s="252" t="s">
        <v>161</v>
      </c>
    </row>
    <row r="876">
      <c r="H876" s="252" t="s">
        <v>161</v>
      </c>
    </row>
    <row r="877">
      <c r="H877" s="252" t="s">
        <v>161</v>
      </c>
    </row>
    <row r="878">
      <c r="H878" s="252" t="s">
        <v>161</v>
      </c>
    </row>
    <row r="879">
      <c r="H879" s="252" t="s">
        <v>161</v>
      </c>
    </row>
    <row r="880">
      <c r="H880" s="252" t="s">
        <v>161</v>
      </c>
    </row>
    <row r="881">
      <c r="H881" s="252" t="s">
        <v>161</v>
      </c>
    </row>
    <row r="882">
      <c r="H882" s="252" t="s">
        <v>161</v>
      </c>
    </row>
    <row r="883">
      <c r="H883" s="252" t="s">
        <v>161</v>
      </c>
    </row>
    <row r="884">
      <c r="H884" s="252" t="s">
        <v>161</v>
      </c>
    </row>
    <row r="885">
      <c r="H885" s="252" t="s">
        <v>161</v>
      </c>
    </row>
    <row r="886">
      <c r="H886" s="252" t="s">
        <v>161</v>
      </c>
    </row>
    <row r="887">
      <c r="H887" s="252" t="s">
        <v>161</v>
      </c>
    </row>
    <row r="888">
      <c r="H888" s="252" t="s">
        <v>161</v>
      </c>
    </row>
    <row r="889">
      <c r="H889" s="252" t="s">
        <v>161</v>
      </c>
    </row>
    <row r="890">
      <c r="H890" s="252" t="s">
        <v>161</v>
      </c>
    </row>
    <row r="891">
      <c r="H891" s="252" t="s">
        <v>161</v>
      </c>
    </row>
    <row r="892">
      <c r="H892" s="252" t="s">
        <v>161</v>
      </c>
    </row>
    <row r="893">
      <c r="H893" s="252" t="s">
        <v>161</v>
      </c>
    </row>
    <row r="894">
      <c r="H894" s="252" t="s">
        <v>161</v>
      </c>
    </row>
    <row r="895">
      <c r="H895" s="252" t="s">
        <v>161</v>
      </c>
    </row>
    <row r="896">
      <c r="H896" s="252" t="s">
        <v>161</v>
      </c>
    </row>
    <row r="897">
      <c r="H897" s="252" t="s">
        <v>161</v>
      </c>
    </row>
    <row r="898">
      <c r="H898" s="252" t="s">
        <v>161</v>
      </c>
    </row>
    <row r="899">
      <c r="H899" s="252" t="s">
        <v>161</v>
      </c>
    </row>
    <row r="900">
      <c r="H900" s="252" t="s">
        <v>161</v>
      </c>
    </row>
    <row r="901">
      <c r="H901" s="252" t="s">
        <v>161</v>
      </c>
    </row>
    <row r="902">
      <c r="H902" s="252" t="s">
        <v>161</v>
      </c>
    </row>
    <row r="903">
      <c r="H903" s="252" t="s">
        <v>161</v>
      </c>
    </row>
    <row r="904">
      <c r="H904" s="252" t="s">
        <v>161</v>
      </c>
    </row>
    <row r="905">
      <c r="H905" s="252" t="s">
        <v>161</v>
      </c>
    </row>
    <row r="906">
      <c r="H906" s="252" t="s">
        <v>161</v>
      </c>
    </row>
    <row r="907">
      <c r="H907" s="252" t="s">
        <v>161</v>
      </c>
    </row>
    <row r="908">
      <c r="H908" s="252" t="s">
        <v>161</v>
      </c>
    </row>
    <row r="909">
      <c r="H909" s="252" t="s">
        <v>161</v>
      </c>
    </row>
    <row r="910">
      <c r="H910" s="252" t="s">
        <v>161</v>
      </c>
    </row>
    <row r="911">
      <c r="H911" s="252" t="s">
        <v>161</v>
      </c>
    </row>
    <row r="912">
      <c r="H912" s="252" t="s">
        <v>161</v>
      </c>
    </row>
    <row r="913">
      <c r="H913" s="252" t="s">
        <v>161</v>
      </c>
    </row>
    <row r="914">
      <c r="H914" s="252" t="s">
        <v>161</v>
      </c>
    </row>
    <row r="915">
      <c r="H915" s="252" t="s">
        <v>161</v>
      </c>
    </row>
    <row r="916">
      <c r="H916" s="252" t="s">
        <v>161</v>
      </c>
    </row>
    <row r="917">
      <c r="H917" s="252" t="s">
        <v>161</v>
      </c>
    </row>
    <row r="918">
      <c r="H918" s="252" t="s">
        <v>161</v>
      </c>
    </row>
    <row r="919">
      <c r="H919" s="252" t="s">
        <v>161</v>
      </c>
    </row>
    <row r="920">
      <c r="H920" s="252" t="s">
        <v>161</v>
      </c>
    </row>
    <row r="921">
      <c r="H921" s="252" t="s">
        <v>161</v>
      </c>
    </row>
    <row r="922">
      <c r="H922" s="252" t="s">
        <v>161</v>
      </c>
    </row>
    <row r="923">
      <c r="H923" s="252" t="s">
        <v>161</v>
      </c>
    </row>
    <row r="924">
      <c r="H924" s="252" t="s">
        <v>161</v>
      </c>
    </row>
    <row r="925">
      <c r="H925" s="252" t="s">
        <v>161</v>
      </c>
    </row>
    <row r="926">
      <c r="H926" s="252" t="s">
        <v>161</v>
      </c>
    </row>
    <row r="927">
      <c r="H927" s="252" t="s">
        <v>161</v>
      </c>
    </row>
    <row r="928">
      <c r="H928" s="252" t="s">
        <v>161</v>
      </c>
    </row>
    <row r="929">
      <c r="H929" s="252" t="s">
        <v>161</v>
      </c>
    </row>
    <row r="930">
      <c r="H930" s="252" t="s">
        <v>161</v>
      </c>
    </row>
    <row r="931">
      <c r="H931" s="252" t="s">
        <v>161</v>
      </c>
    </row>
    <row r="932">
      <c r="H932" s="252" t="s">
        <v>161</v>
      </c>
    </row>
    <row r="933">
      <c r="H933" s="252" t="s">
        <v>161</v>
      </c>
    </row>
    <row r="934">
      <c r="H934" s="252" t="s">
        <v>161</v>
      </c>
    </row>
    <row r="935">
      <c r="H935" s="252" t="s">
        <v>161</v>
      </c>
    </row>
    <row r="936">
      <c r="H936" s="252" t="s">
        <v>161</v>
      </c>
    </row>
    <row r="937">
      <c r="H937" s="252" t="s">
        <v>161</v>
      </c>
    </row>
    <row r="938">
      <c r="H938" s="252" t="s">
        <v>161</v>
      </c>
    </row>
    <row r="939">
      <c r="H939" s="252" t="s">
        <v>161</v>
      </c>
    </row>
    <row r="940">
      <c r="H940" s="252" t="s">
        <v>161</v>
      </c>
    </row>
    <row r="941">
      <c r="H941" s="252" t="s">
        <v>161</v>
      </c>
    </row>
    <row r="942">
      <c r="H942" s="252" t="s">
        <v>161</v>
      </c>
    </row>
    <row r="943">
      <c r="H943" s="252" t="s">
        <v>161</v>
      </c>
    </row>
    <row r="944">
      <c r="H944" s="252" t="s">
        <v>161</v>
      </c>
    </row>
    <row r="945">
      <c r="H945" s="252" t="s">
        <v>161</v>
      </c>
    </row>
    <row r="946">
      <c r="H946" s="252" t="s">
        <v>161</v>
      </c>
    </row>
    <row r="947">
      <c r="H947" s="252" t="s">
        <v>161</v>
      </c>
    </row>
    <row r="948">
      <c r="H948" s="252" t="s">
        <v>161</v>
      </c>
    </row>
    <row r="949">
      <c r="H949" s="252" t="s">
        <v>161</v>
      </c>
    </row>
    <row r="950">
      <c r="H950" s="252" t="s">
        <v>161</v>
      </c>
    </row>
    <row r="951">
      <c r="H951" s="252" t="s">
        <v>161</v>
      </c>
    </row>
    <row r="952">
      <c r="H952" s="252" t="s">
        <v>161</v>
      </c>
    </row>
    <row r="953">
      <c r="H953" s="252" t="s">
        <v>161</v>
      </c>
    </row>
    <row r="954">
      <c r="H954" s="252" t="s">
        <v>161</v>
      </c>
    </row>
    <row r="955">
      <c r="H955" s="252" t="s">
        <v>161</v>
      </c>
    </row>
    <row r="956">
      <c r="H956" s="252" t="s">
        <v>161</v>
      </c>
    </row>
    <row r="957">
      <c r="H957" s="252" t="s">
        <v>161</v>
      </c>
    </row>
    <row r="958">
      <c r="H958" s="252" t="s">
        <v>161</v>
      </c>
    </row>
    <row r="959">
      <c r="H959" s="252" t="s">
        <v>161</v>
      </c>
    </row>
    <row r="960">
      <c r="H960" s="252" t="s">
        <v>161</v>
      </c>
    </row>
    <row r="961">
      <c r="H961" s="252" t="s">
        <v>161</v>
      </c>
    </row>
    <row r="962">
      <c r="H962" s="252" t="s">
        <v>161</v>
      </c>
    </row>
    <row r="963">
      <c r="H963" s="252" t="s">
        <v>161</v>
      </c>
    </row>
    <row r="964">
      <c r="H964" s="252" t="s">
        <v>161</v>
      </c>
    </row>
    <row r="965">
      <c r="H965" s="252" t="s">
        <v>161</v>
      </c>
    </row>
    <row r="966">
      <c r="H966" s="252" t="s">
        <v>161</v>
      </c>
    </row>
    <row r="967">
      <c r="H967" s="252" t="s">
        <v>161</v>
      </c>
    </row>
    <row r="968">
      <c r="H968" s="252" t="s">
        <v>161</v>
      </c>
    </row>
    <row r="969">
      <c r="H969" s="252" t="s">
        <v>161</v>
      </c>
    </row>
    <row r="970">
      <c r="H970" s="252" t="s">
        <v>161</v>
      </c>
    </row>
    <row r="971">
      <c r="H971" s="252" t="s">
        <v>161</v>
      </c>
    </row>
    <row r="972">
      <c r="H972" s="252" t="s">
        <v>161</v>
      </c>
    </row>
    <row r="973">
      <c r="H973" s="252" t="s">
        <v>161</v>
      </c>
    </row>
    <row r="974">
      <c r="H974" s="252" t="s">
        <v>161</v>
      </c>
    </row>
    <row r="975">
      <c r="H975" s="252" t="s">
        <v>161</v>
      </c>
    </row>
    <row r="976">
      <c r="H976" s="252" t="s">
        <v>161</v>
      </c>
    </row>
    <row r="977">
      <c r="H977" s="252" t="s">
        <v>161</v>
      </c>
    </row>
    <row r="978">
      <c r="H978" s="252" t="s">
        <v>161</v>
      </c>
    </row>
    <row r="979">
      <c r="H979" s="252" t="s">
        <v>161</v>
      </c>
    </row>
    <row r="980">
      <c r="H980" s="252" t="s">
        <v>161</v>
      </c>
    </row>
    <row r="981">
      <c r="H981" s="252" t="s">
        <v>161</v>
      </c>
    </row>
    <row r="982">
      <c r="H982" s="252" t="s">
        <v>161</v>
      </c>
    </row>
    <row r="983">
      <c r="H983" s="252" t="s">
        <v>161</v>
      </c>
    </row>
    <row r="984">
      <c r="H984" s="252" t="s">
        <v>161</v>
      </c>
    </row>
    <row r="985">
      <c r="H985" s="252" t="s">
        <v>161</v>
      </c>
    </row>
    <row r="986">
      <c r="H986" s="252" t="s">
        <v>161</v>
      </c>
    </row>
    <row r="987">
      <c r="H987" s="252" t="s">
        <v>161</v>
      </c>
    </row>
    <row r="988">
      <c r="H988" s="252" t="s">
        <v>161</v>
      </c>
    </row>
    <row r="989">
      <c r="H989" s="252" t="s">
        <v>161</v>
      </c>
    </row>
    <row r="990">
      <c r="H990" s="252" t="s">
        <v>161</v>
      </c>
    </row>
    <row r="991">
      <c r="H991" s="252" t="s">
        <v>161</v>
      </c>
    </row>
    <row r="992">
      <c r="H992" s="252" t="s">
        <v>161</v>
      </c>
    </row>
    <row r="993">
      <c r="H993" s="252" t="s">
        <v>161</v>
      </c>
    </row>
    <row r="994">
      <c r="H994" s="252" t="s">
        <v>161</v>
      </c>
    </row>
    <row r="995">
      <c r="H995" s="252" t="s">
        <v>161</v>
      </c>
    </row>
    <row r="996">
      <c r="H996" s="252" t="s">
        <v>161</v>
      </c>
    </row>
    <row r="997">
      <c r="H997" s="252" t="s">
        <v>161</v>
      </c>
    </row>
    <row r="998">
      <c r="H998" s="252" t="s">
        <v>161</v>
      </c>
    </row>
    <row r="999">
      <c r="H999" s="252" t="s">
        <v>161</v>
      </c>
    </row>
    <row r="1000">
      <c r="H1000" s="252" t="s">
        <v>161</v>
      </c>
    </row>
  </sheetData>
  <autoFilter ref="$A$2:$AA$8"/>
  <mergeCells count="4">
    <mergeCell ref="M1:N1"/>
    <mergeCell ref="Q1:R1"/>
    <mergeCell ref="U1:V1"/>
    <mergeCell ref="Y1:Z1"/>
  </mergeCells>
  <conditionalFormatting sqref="O3:O10">
    <cfRule type="cellIs" dxfId="2" priority="1" operator="lessThan">
      <formula>0</formula>
    </cfRule>
  </conditionalFormatting>
  <conditionalFormatting sqref="S3:S10">
    <cfRule type="cellIs" dxfId="0" priority="2" operator="lessThan">
      <formula>0</formula>
    </cfRule>
  </conditionalFormatting>
  <conditionalFormatting sqref="W3:W10">
    <cfRule type="cellIs" dxfId="0" priority="3" operator="lessThan">
      <formula>0</formula>
    </cfRule>
  </conditionalFormatting>
  <conditionalFormatting sqref="AA3:AV10">
    <cfRule type="cellIs" dxfId="0" priority="4" operator="lessThan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17.63"/>
    <col customWidth="1" min="6" max="6" width="12.0"/>
    <col customWidth="1" min="7" max="7" width="8.38"/>
  </cols>
  <sheetData>
    <row r="1">
      <c r="A1" s="426">
        <v>5.0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523" t="s">
        <v>0</v>
      </c>
      <c r="P1" s="523" t="s">
        <v>348</v>
      </c>
      <c r="T1" s="523" t="s">
        <v>349</v>
      </c>
      <c r="X1" s="523" t="s">
        <v>503</v>
      </c>
      <c r="AB1" s="523"/>
      <c r="AC1" s="523"/>
      <c r="AD1" s="523"/>
      <c r="AE1" s="523"/>
      <c r="AF1" s="523"/>
      <c r="AG1" s="523"/>
      <c r="AH1" s="523"/>
      <c r="AI1" s="523"/>
      <c r="AJ1" s="523"/>
      <c r="AK1" s="523"/>
      <c r="AL1" s="523"/>
      <c r="AM1" s="523"/>
      <c r="AN1" s="523"/>
      <c r="AO1" s="523"/>
      <c r="AP1" s="523"/>
      <c r="AQ1" s="523"/>
      <c r="AR1" s="523"/>
      <c r="AS1" s="523"/>
      <c r="AT1" s="523"/>
      <c r="AU1" s="523"/>
      <c r="AV1" s="523"/>
      <c r="AW1" s="523"/>
    </row>
    <row r="2" ht="41.25" customHeight="1">
      <c r="A2" s="557" t="s">
        <v>4</v>
      </c>
      <c r="B2" s="557" t="s">
        <v>351</v>
      </c>
      <c r="C2" s="557" t="s">
        <v>6</v>
      </c>
      <c r="D2" s="557" t="s">
        <v>171</v>
      </c>
      <c r="E2" s="557" t="s">
        <v>170</v>
      </c>
      <c r="F2" s="559" t="s">
        <v>7</v>
      </c>
      <c r="G2" s="13" t="s">
        <v>8</v>
      </c>
      <c r="H2" s="14" t="s">
        <v>9</v>
      </c>
      <c r="I2" s="557" t="s">
        <v>172</v>
      </c>
      <c r="J2" s="557" t="s">
        <v>11</v>
      </c>
      <c r="K2" s="557" t="s">
        <v>173</v>
      </c>
      <c r="L2" s="602" t="s">
        <v>174</v>
      </c>
      <c r="M2" s="603" t="s">
        <v>14</v>
      </c>
      <c r="N2" s="603" t="s">
        <v>492</v>
      </c>
      <c r="O2" s="604" t="s">
        <v>16</v>
      </c>
      <c r="P2" s="676" t="s">
        <v>174</v>
      </c>
      <c r="Q2" s="677" t="s">
        <v>14</v>
      </c>
      <c r="R2" s="677" t="s">
        <v>492</v>
      </c>
      <c r="S2" s="678"/>
      <c r="T2" s="676" t="s">
        <v>174</v>
      </c>
      <c r="U2" s="679" t="s">
        <v>14</v>
      </c>
      <c r="V2" s="679" t="s">
        <v>492</v>
      </c>
      <c r="W2" s="678"/>
      <c r="X2" s="676" t="s">
        <v>174</v>
      </c>
      <c r="Y2" s="680" t="s">
        <v>14</v>
      </c>
      <c r="Z2" s="680" t="s">
        <v>492</v>
      </c>
      <c r="AA2" s="678"/>
      <c r="AB2" s="596"/>
      <c r="AC2" s="594" t="s">
        <v>18</v>
      </c>
      <c r="AD2" s="596"/>
      <c r="AE2" s="596"/>
      <c r="AF2" s="596"/>
      <c r="AG2" s="596"/>
      <c r="AH2" s="596"/>
      <c r="AI2" s="596"/>
      <c r="AJ2" s="596"/>
      <c r="AK2" s="596"/>
      <c r="AL2" s="596"/>
      <c r="AM2" s="596"/>
      <c r="AN2" s="596"/>
      <c r="AO2" s="596"/>
      <c r="AP2" s="596"/>
      <c r="AQ2" s="596"/>
      <c r="AR2" s="596"/>
      <c r="AS2" s="596"/>
      <c r="AT2" s="596"/>
      <c r="AU2" s="596"/>
      <c r="AV2" s="596"/>
      <c r="AW2" s="596"/>
    </row>
    <row r="3">
      <c r="A3" s="681" t="s">
        <v>523</v>
      </c>
      <c r="B3" s="682" t="s">
        <v>524</v>
      </c>
      <c r="C3" s="682" t="s">
        <v>372</v>
      </c>
      <c r="D3" s="683">
        <v>0.0</v>
      </c>
      <c r="E3" s="684" t="s">
        <v>525</v>
      </c>
      <c r="F3" s="278" t="s">
        <v>37</v>
      </c>
      <c r="G3" s="278" t="s">
        <v>96</v>
      </c>
      <c r="H3" s="646">
        <f t="array" ref="H3:H1000">IF(A3:A1000="", "", 
  IF(G3:G1000="KM", 
    IFERROR(VLOOKUP(A3:A1000, DATA_LIMPIA!A:C, 3, FALSE), "Sin Datos"), 
    IFERROR(VLOOKUP(A3:A1000, DATA_LIMPIA!A:C, 2, FALSE), "Sin Datos")
  )
)</f>
        <v>15343</v>
      </c>
      <c r="I3" s="685">
        <v>45565.0</v>
      </c>
      <c r="J3" s="686">
        <v>45565.0</v>
      </c>
      <c r="K3" s="552">
        <v>46543.0</v>
      </c>
      <c r="L3" s="483">
        <v>45327.0</v>
      </c>
      <c r="M3" s="687">
        <v>15200.0</v>
      </c>
      <c r="N3" s="687">
        <f t="shared" ref="N3:N6" si="1">M3+350</f>
        <v>15550</v>
      </c>
      <c r="O3" s="688">
        <f t="shared" ref="O3:O6" si="2">N3-H3</f>
        <v>207</v>
      </c>
      <c r="P3" s="689"/>
      <c r="Q3" s="690">
        <f>M3+0</f>
        <v>15200</v>
      </c>
      <c r="R3" s="690">
        <f t="shared" ref="R3:R6" si="3">Q3+2000</f>
        <v>17200</v>
      </c>
      <c r="S3" s="688">
        <f t="shared" ref="S3:S6" si="4">R3-H3</f>
        <v>1857</v>
      </c>
      <c r="T3" s="689"/>
      <c r="U3" s="691">
        <v>14742.0</v>
      </c>
      <c r="V3" s="691">
        <f t="shared" ref="V3:V6" si="5">U3+2000</f>
        <v>16742</v>
      </c>
      <c r="W3" s="688">
        <f t="shared" ref="W3:W6" si="6">V3-H3</f>
        <v>1399</v>
      </c>
      <c r="X3" s="689"/>
      <c r="Y3" s="692">
        <v>14742.0</v>
      </c>
      <c r="Z3" s="692">
        <f t="shared" ref="Z3:Z6" si="7">Y3+1000</f>
        <v>15742</v>
      </c>
      <c r="AA3" s="688">
        <f t="shared" ref="AA3:AA6" si="8">Z3-H3</f>
        <v>399</v>
      </c>
      <c r="AB3" s="662"/>
      <c r="AC3" s="693" t="s">
        <v>526</v>
      </c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AQ3" s="662"/>
      <c r="AR3" s="662"/>
      <c r="AS3" s="662"/>
      <c r="AT3" s="662"/>
      <c r="AU3" s="662"/>
      <c r="AV3" s="662"/>
      <c r="AW3" s="662"/>
    </row>
    <row r="4">
      <c r="A4" s="448" t="s">
        <v>527</v>
      </c>
      <c r="B4" s="448" t="s">
        <v>524</v>
      </c>
      <c r="C4" s="447" t="s">
        <v>379</v>
      </c>
      <c r="D4" s="448" t="s">
        <v>528</v>
      </c>
      <c r="E4" s="447" t="s">
        <v>529</v>
      </c>
      <c r="F4" s="694" t="s">
        <v>37</v>
      </c>
      <c r="G4" s="694" t="s">
        <v>96</v>
      </c>
      <c r="H4" s="695">
        <v>13151.0</v>
      </c>
      <c r="I4" s="549">
        <v>46295.0</v>
      </c>
      <c r="J4" s="549">
        <v>46295.0</v>
      </c>
      <c r="K4" s="539">
        <v>47047.0</v>
      </c>
      <c r="L4" s="696">
        <v>46091.0</v>
      </c>
      <c r="M4" s="453">
        <v>13132.0</v>
      </c>
      <c r="N4" s="687">
        <f t="shared" si="1"/>
        <v>13482</v>
      </c>
      <c r="O4" s="697">
        <f t="shared" si="2"/>
        <v>331</v>
      </c>
      <c r="P4" s="696">
        <v>45995.0</v>
      </c>
      <c r="Q4" s="698">
        <v>12729.0</v>
      </c>
      <c r="R4" s="690">
        <f t="shared" si="3"/>
        <v>14729</v>
      </c>
      <c r="S4" s="697">
        <f t="shared" si="4"/>
        <v>1578</v>
      </c>
      <c r="T4" s="696">
        <v>45995.0</v>
      </c>
      <c r="U4" s="699">
        <v>12729.0</v>
      </c>
      <c r="V4" s="700">
        <f t="shared" si="5"/>
        <v>14729</v>
      </c>
      <c r="W4" s="697">
        <f t="shared" si="6"/>
        <v>1578</v>
      </c>
      <c r="X4" s="696">
        <v>45995.0</v>
      </c>
      <c r="Y4" s="701">
        <v>12729.0</v>
      </c>
      <c r="Z4" s="702">
        <f t="shared" si="7"/>
        <v>13729</v>
      </c>
      <c r="AA4" s="697">
        <f t="shared" si="8"/>
        <v>578</v>
      </c>
      <c r="AB4" s="703"/>
      <c r="AC4" s="703"/>
      <c r="AD4" s="703"/>
      <c r="AE4" s="703"/>
      <c r="AF4" s="703"/>
      <c r="AG4" s="703"/>
      <c r="AH4" s="703"/>
      <c r="AI4" s="703"/>
      <c r="AJ4" s="703"/>
      <c r="AK4" s="703"/>
      <c r="AL4" s="703"/>
      <c r="AM4" s="703"/>
      <c r="AN4" s="703"/>
      <c r="AO4" s="703"/>
      <c r="AP4" s="703"/>
      <c r="AQ4" s="703"/>
      <c r="AR4" s="703"/>
      <c r="AS4" s="703"/>
      <c r="AT4" s="703"/>
      <c r="AU4" s="703"/>
      <c r="AV4" s="703"/>
      <c r="AW4" s="703"/>
    </row>
    <row r="5">
      <c r="A5" s="474" t="s">
        <v>530</v>
      </c>
      <c r="B5" s="468" t="s">
        <v>524</v>
      </c>
      <c r="C5" s="468" t="s">
        <v>379</v>
      </c>
      <c r="D5" s="450" t="s">
        <v>531</v>
      </c>
      <c r="E5" s="468" t="s">
        <v>532</v>
      </c>
      <c r="F5" s="278" t="s">
        <v>379</v>
      </c>
      <c r="G5" s="278" t="s">
        <v>96</v>
      </c>
      <c r="H5" s="576">
        <v>8299.0</v>
      </c>
      <c r="I5" s="704">
        <v>46295.0</v>
      </c>
      <c r="J5" s="704">
        <v>46295.0</v>
      </c>
      <c r="K5" s="401">
        <v>46259.0</v>
      </c>
      <c r="L5" s="452">
        <v>46074.0</v>
      </c>
      <c r="M5" s="486">
        <v>8207.0</v>
      </c>
      <c r="N5" s="687">
        <f t="shared" si="1"/>
        <v>8557</v>
      </c>
      <c r="O5" s="688">
        <f t="shared" si="2"/>
        <v>258</v>
      </c>
      <c r="P5" s="705">
        <v>45997.0</v>
      </c>
      <c r="Q5" s="698">
        <v>7815.0</v>
      </c>
      <c r="R5" s="690">
        <f t="shared" si="3"/>
        <v>9815</v>
      </c>
      <c r="S5" s="688">
        <f t="shared" si="4"/>
        <v>1516</v>
      </c>
      <c r="T5" s="705">
        <v>45997.0</v>
      </c>
      <c r="U5" s="706">
        <v>7815.0</v>
      </c>
      <c r="V5" s="691">
        <f t="shared" si="5"/>
        <v>9815</v>
      </c>
      <c r="W5" s="688">
        <f t="shared" si="6"/>
        <v>1516</v>
      </c>
      <c r="X5" s="705">
        <v>45997.0</v>
      </c>
      <c r="Y5" s="707">
        <v>7815.0</v>
      </c>
      <c r="Z5" s="692">
        <f t="shared" si="7"/>
        <v>8815</v>
      </c>
      <c r="AA5" s="688">
        <f t="shared" si="8"/>
        <v>516</v>
      </c>
      <c r="AB5" s="662"/>
      <c r="AC5" s="662"/>
      <c r="AD5" s="662"/>
      <c r="AE5" s="662"/>
      <c r="AF5" s="662"/>
      <c r="AG5" s="662"/>
      <c r="AH5" s="662"/>
      <c r="AI5" s="662"/>
      <c r="AJ5" s="662"/>
      <c r="AK5" s="662"/>
      <c r="AL5" s="662"/>
      <c r="AM5" s="662"/>
      <c r="AN5" s="662"/>
      <c r="AO5" s="662"/>
      <c r="AP5" s="662"/>
      <c r="AQ5" s="662"/>
      <c r="AR5" s="662"/>
      <c r="AS5" s="662"/>
      <c r="AT5" s="662"/>
      <c r="AU5" s="662"/>
      <c r="AV5" s="662"/>
      <c r="AW5" s="662"/>
    </row>
    <row r="6">
      <c r="A6" s="467" t="s">
        <v>533</v>
      </c>
      <c r="B6" s="450" t="s">
        <v>524</v>
      </c>
      <c r="C6" s="450" t="s">
        <v>364</v>
      </c>
      <c r="D6" s="450" t="s">
        <v>534</v>
      </c>
      <c r="E6" s="319" t="s">
        <v>535</v>
      </c>
      <c r="F6" s="278" t="s">
        <v>342</v>
      </c>
      <c r="G6" s="278" t="s">
        <v>96</v>
      </c>
      <c r="H6" s="541">
        <v>12172.0</v>
      </c>
      <c r="I6" s="704">
        <v>46295.0</v>
      </c>
      <c r="J6" s="704">
        <v>46295.0</v>
      </c>
      <c r="K6" s="552">
        <v>47044.0</v>
      </c>
      <c r="L6" s="649">
        <v>45538.0</v>
      </c>
      <c r="M6" s="501">
        <v>11967.0</v>
      </c>
      <c r="N6" s="708">
        <f t="shared" si="1"/>
        <v>12317</v>
      </c>
      <c r="O6" s="709">
        <f t="shared" si="2"/>
        <v>145</v>
      </c>
      <c r="P6" s="649">
        <v>45538.0</v>
      </c>
      <c r="Q6" s="710">
        <v>11967.0</v>
      </c>
      <c r="R6" s="710">
        <f t="shared" si="3"/>
        <v>13967</v>
      </c>
      <c r="S6" s="709">
        <f t="shared" si="4"/>
        <v>1795</v>
      </c>
      <c r="T6" s="649">
        <v>45538.0</v>
      </c>
      <c r="U6" s="711">
        <v>11967.0</v>
      </c>
      <c r="V6" s="711">
        <f t="shared" si="5"/>
        <v>13967</v>
      </c>
      <c r="W6" s="709">
        <f t="shared" si="6"/>
        <v>1795</v>
      </c>
      <c r="X6" s="649">
        <v>45538.0</v>
      </c>
      <c r="Y6" s="712">
        <v>11967.0</v>
      </c>
      <c r="Z6" s="712">
        <f t="shared" si="7"/>
        <v>12967</v>
      </c>
      <c r="AA6" s="688">
        <f t="shared" si="8"/>
        <v>795</v>
      </c>
      <c r="AB6" s="662"/>
      <c r="AC6" s="662"/>
      <c r="AD6" s="662"/>
      <c r="AE6" s="662"/>
      <c r="AF6" s="662"/>
      <c r="AG6" s="662"/>
      <c r="AH6" s="662"/>
      <c r="AI6" s="662"/>
      <c r="AJ6" s="662"/>
      <c r="AK6" s="662"/>
      <c r="AL6" s="662"/>
      <c r="AM6" s="662"/>
      <c r="AN6" s="662"/>
      <c r="AO6" s="662"/>
      <c r="AP6" s="662"/>
      <c r="AQ6" s="662"/>
      <c r="AR6" s="662"/>
      <c r="AS6" s="662"/>
      <c r="AT6" s="662"/>
      <c r="AU6" s="662"/>
      <c r="AV6" s="662"/>
      <c r="AW6" s="662"/>
    </row>
    <row r="7">
      <c r="H7" s="252" t="s">
        <v>161</v>
      </c>
    </row>
    <row r="8">
      <c r="H8" s="252" t="s">
        <v>161</v>
      </c>
    </row>
    <row r="9">
      <c r="H9" s="252" t="s">
        <v>161</v>
      </c>
    </row>
    <row r="10">
      <c r="H10" s="252" t="s">
        <v>161</v>
      </c>
    </row>
    <row r="11">
      <c r="H11" s="252" t="s">
        <v>161</v>
      </c>
    </row>
    <row r="12">
      <c r="H12" s="252" t="s">
        <v>161</v>
      </c>
    </row>
    <row r="13">
      <c r="H13" s="252" t="s">
        <v>161</v>
      </c>
    </row>
    <row r="14">
      <c r="H14" s="252" t="s">
        <v>161</v>
      </c>
    </row>
    <row r="15">
      <c r="H15" s="252" t="s">
        <v>161</v>
      </c>
    </row>
    <row r="16">
      <c r="H16" s="252" t="s">
        <v>161</v>
      </c>
    </row>
    <row r="17">
      <c r="H17" s="252" t="s">
        <v>161</v>
      </c>
    </row>
    <row r="18">
      <c r="H18" s="252" t="s">
        <v>161</v>
      </c>
    </row>
    <row r="19">
      <c r="H19" s="252" t="s">
        <v>161</v>
      </c>
    </row>
    <row r="20">
      <c r="H20" s="252" t="s">
        <v>161</v>
      </c>
    </row>
    <row r="21">
      <c r="H21" s="252" t="s">
        <v>161</v>
      </c>
    </row>
    <row r="22">
      <c r="H22" s="252" t="s">
        <v>161</v>
      </c>
    </row>
    <row r="23">
      <c r="H23" s="252" t="s">
        <v>161</v>
      </c>
    </row>
    <row r="24">
      <c r="H24" s="252" t="s">
        <v>161</v>
      </c>
    </row>
    <row r="25">
      <c r="H25" s="252" t="s">
        <v>161</v>
      </c>
    </row>
    <row r="26">
      <c r="H26" s="252" t="s">
        <v>161</v>
      </c>
    </row>
    <row r="27">
      <c r="H27" s="252" t="s">
        <v>161</v>
      </c>
    </row>
    <row r="28">
      <c r="H28" s="252" t="s">
        <v>161</v>
      </c>
    </row>
    <row r="29">
      <c r="H29" s="252" t="s">
        <v>161</v>
      </c>
    </row>
    <row r="30">
      <c r="H30" s="252" t="s">
        <v>161</v>
      </c>
    </row>
    <row r="31">
      <c r="H31" s="252" t="s">
        <v>161</v>
      </c>
    </row>
    <row r="32">
      <c r="H32" s="252" t="s">
        <v>161</v>
      </c>
    </row>
    <row r="33">
      <c r="H33" s="252" t="s">
        <v>161</v>
      </c>
    </row>
    <row r="34">
      <c r="H34" s="252" t="s">
        <v>161</v>
      </c>
    </row>
    <row r="35">
      <c r="H35" s="252" t="s">
        <v>161</v>
      </c>
    </row>
    <row r="36">
      <c r="H36" s="252" t="s">
        <v>161</v>
      </c>
    </row>
    <row r="37">
      <c r="H37" s="252" t="s">
        <v>161</v>
      </c>
    </row>
    <row r="38">
      <c r="H38" s="252" t="s">
        <v>161</v>
      </c>
    </row>
    <row r="39">
      <c r="H39" s="252" t="s">
        <v>161</v>
      </c>
    </row>
    <row r="40">
      <c r="H40" s="252" t="s">
        <v>161</v>
      </c>
    </row>
    <row r="41">
      <c r="H41" s="252" t="s">
        <v>161</v>
      </c>
    </row>
    <row r="42">
      <c r="H42" s="252" t="s">
        <v>161</v>
      </c>
    </row>
    <row r="43">
      <c r="H43" s="252" t="s">
        <v>161</v>
      </c>
    </row>
    <row r="44">
      <c r="H44" s="252" t="s">
        <v>161</v>
      </c>
    </row>
    <row r="45">
      <c r="H45" s="252" t="s">
        <v>161</v>
      </c>
    </row>
    <row r="46">
      <c r="H46" s="252" t="s">
        <v>161</v>
      </c>
    </row>
    <row r="47">
      <c r="H47" s="252" t="s">
        <v>161</v>
      </c>
    </row>
    <row r="48">
      <c r="H48" s="252" t="s">
        <v>161</v>
      </c>
    </row>
    <row r="49">
      <c r="H49" s="252" t="s">
        <v>161</v>
      </c>
    </row>
    <row r="50">
      <c r="H50" s="252" t="s">
        <v>161</v>
      </c>
    </row>
    <row r="51">
      <c r="H51" s="252" t="s">
        <v>161</v>
      </c>
    </row>
    <row r="52">
      <c r="H52" s="252" t="s">
        <v>161</v>
      </c>
    </row>
    <row r="53">
      <c r="H53" s="252" t="s">
        <v>161</v>
      </c>
    </row>
    <row r="54">
      <c r="H54" s="252" t="s">
        <v>161</v>
      </c>
    </row>
    <row r="55">
      <c r="H55" s="252" t="s">
        <v>161</v>
      </c>
    </row>
    <row r="56">
      <c r="H56" s="252" t="s">
        <v>161</v>
      </c>
    </row>
    <row r="57">
      <c r="H57" s="252" t="s">
        <v>161</v>
      </c>
    </row>
    <row r="58">
      <c r="H58" s="252" t="s">
        <v>161</v>
      </c>
    </row>
    <row r="59">
      <c r="H59" s="252" t="s">
        <v>161</v>
      </c>
    </row>
    <row r="60">
      <c r="H60" s="252" t="s">
        <v>161</v>
      </c>
    </row>
    <row r="61">
      <c r="H61" s="252" t="s">
        <v>161</v>
      </c>
    </row>
    <row r="62">
      <c r="H62" s="252" t="s">
        <v>161</v>
      </c>
    </row>
    <row r="63">
      <c r="H63" s="252" t="s">
        <v>161</v>
      </c>
    </row>
    <row r="64">
      <c r="H64" s="252" t="s">
        <v>161</v>
      </c>
    </row>
    <row r="65">
      <c r="H65" s="252" t="s">
        <v>161</v>
      </c>
    </row>
    <row r="66">
      <c r="H66" s="252" t="s">
        <v>161</v>
      </c>
    </row>
    <row r="67">
      <c r="H67" s="252" t="s">
        <v>161</v>
      </c>
    </row>
    <row r="68">
      <c r="H68" s="252" t="s">
        <v>161</v>
      </c>
    </row>
    <row r="69">
      <c r="H69" s="252" t="s">
        <v>161</v>
      </c>
    </row>
    <row r="70">
      <c r="H70" s="252" t="s">
        <v>161</v>
      </c>
    </row>
    <row r="71">
      <c r="H71" s="252" t="s">
        <v>161</v>
      </c>
    </row>
    <row r="72">
      <c r="H72" s="252" t="s">
        <v>161</v>
      </c>
    </row>
    <row r="73">
      <c r="H73" s="252" t="s">
        <v>161</v>
      </c>
    </row>
    <row r="74">
      <c r="H74" s="252" t="s">
        <v>161</v>
      </c>
    </row>
    <row r="75">
      <c r="H75" s="252" t="s">
        <v>161</v>
      </c>
    </row>
    <row r="76">
      <c r="H76" s="252" t="s">
        <v>161</v>
      </c>
    </row>
    <row r="77">
      <c r="H77" s="252" t="s">
        <v>161</v>
      </c>
    </row>
    <row r="78">
      <c r="H78" s="252" t="s">
        <v>161</v>
      </c>
    </row>
    <row r="79">
      <c r="H79" s="252" t="s">
        <v>161</v>
      </c>
    </row>
    <row r="80">
      <c r="H80" s="252" t="s">
        <v>161</v>
      </c>
    </row>
    <row r="81">
      <c r="H81" s="252" t="s">
        <v>161</v>
      </c>
    </row>
    <row r="82">
      <c r="H82" s="252" t="s">
        <v>161</v>
      </c>
    </row>
    <row r="83">
      <c r="H83" s="252" t="s">
        <v>161</v>
      </c>
    </row>
    <row r="84">
      <c r="H84" s="252" t="s">
        <v>161</v>
      </c>
    </row>
    <row r="85">
      <c r="H85" s="252" t="s">
        <v>161</v>
      </c>
    </row>
    <row r="86">
      <c r="H86" s="252" t="s">
        <v>161</v>
      </c>
    </row>
    <row r="87">
      <c r="H87" s="252" t="s">
        <v>161</v>
      </c>
    </row>
    <row r="88">
      <c r="H88" s="252" t="s">
        <v>161</v>
      </c>
    </row>
    <row r="89">
      <c r="H89" s="252" t="s">
        <v>161</v>
      </c>
    </row>
    <row r="90">
      <c r="H90" s="252" t="s">
        <v>161</v>
      </c>
    </row>
    <row r="91">
      <c r="H91" s="252" t="s">
        <v>161</v>
      </c>
    </row>
    <row r="92">
      <c r="H92" s="252" t="s">
        <v>161</v>
      </c>
    </row>
    <row r="93">
      <c r="H93" s="252" t="s">
        <v>161</v>
      </c>
    </row>
    <row r="94">
      <c r="H94" s="252" t="s">
        <v>161</v>
      </c>
    </row>
    <row r="95">
      <c r="H95" s="252" t="s">
        <v>161</v>
      </c>
    </row>
    <row r="96">
      <c r="H96" s="252" t="s">
        <v>161</v>
      </c>
    </row>
    <row r="97">
      <c r="H97" s="252" t="s">
        <v>161</v>
      </c>
    </row>
    <row r="98">
      <c r="H98" s="252" t="s">
        <v>161</v>
      </c>
    </row>
    <row r="99">
      <c r="H99" s="252" t="s">
        <v>161</v>
      </c>
    </row>
    <row r="100">
      <c r="H100" s="252" t="s">
        <v>161</v>
      </c>
    </row>
    <row r="101">
      <c r="H101" s="252" t="s">
        <v>161</v>
      </c>
    </row>
    <row r="102">
      <c r="H102" s="252" t="s">
        <v>161</v>
      </c>
    </row>
    <row r="103">
      <c r="H103" s="252" t="s">
        <v>161</v>
      </c>
    </row>
    <row r="104">
      <c r="H104" s="252" t="s">
        <v>161</v>
      </c>
    </row>
    <row r="105">
      <c r="H105" s="252" t="s">
        <v>161</v>
      </c>
    </row>
    <row r="106">
      <c r="H106" s="252" t="s">
        <v>161</v>
      </c>
    </row>
    <row r="107">
      <c r="H107" s="252" t="s">
        <v>161</v>
      </c>
    </row>
    <row r="108">
      <c r="H108" s="252" t="s">
        <v>161</v>
      </c>
    </row>
    <row r="109">
      <c r="H109" s="252" t="s">
        <v>161</v>
      </c>
    </row>
    <row r="110">
      <c r="H110" s="252" t="s">
        <v>161</v>
      </c>
    </row>
    <row r="111">
      <c r="H111" s="252" t="s">
        <v>161</v>
      </c>
    </row>
    <row r="112">
      <c r="H112" s="252" t="s">
        <v>161</v>
      </c>
    </row>
    <row r="113">
      <c r="H113" s="252" t="s">
        <v>161</v>
      </c>
    </row>
    <row r="114">
      <c r="H114" s="252" t="s">
        <v>161</v>
      </c>
    </row>
    <row r="115">
      <c r="H115" s="252" t="s">
        <v>161</v>
      </c>
    </row>
    <row r="116">
      <c r="H116" s="252" t="s">
        <v>161</v>
      </c>
    </row>
    <row r="117">
      <c r="H117" s="252" t="s">
        <v>161</v>
      </c>
    </row>
    <row r="118">
      <c r="H118" s="252" t="s">
        <v>161</v>
      </c>
    </row>
    <row r="119">
      <c r="H119" s="252" t="s">
        <v>161</v>
      </c>
    </row>
    <row r="120">
      <c r="H120" s="252" t="s">
        <v>161</v>
      </c>
    </row>
    <row r="121">
      <c r="H121" s="252" t="s">
        <v>161</v>
      </c>
    </row>
    <row r="122">
      <c r="H122" s="252" t="s">
        <v>161</v>
      </c>
    </row>
    <row r="123">
      <c r="H123" s="252" t="s">
        <v>161</v>
      </c>
    </row>
    <row r="124">
      <c r="H124" s="252" t="s">
        <v>161</v>
      </c>
    </row>
    <row r="125">
      <c r="H125" s="252" t="s">
        <v>161</v>
      </c>
    </row>
    <row r="126">
      <c r="H126" s="252" t="s">
        <v>161</v>
      </c>
    </row>
    <row r="127">
      <c r="H127" s="252" t="s">
        <v>161</v>
      </c>
    </row>
    <row r="128">
      <c r="H128" s="252" t="s">
        <v>161</v>
      </c>
    </row>
    <row r="129">
      <c r="H129" s="252" t="s">
        <v>161</v>
      </c>
    </row>
    <row r="130">
      <c r="H130" s="252" t="s">
        <v>161</v>
      </c>
    </row>
    <row r="131">
      <c r="H131" s="252" t="s">
        <v>161</v>
      </c>
    </row>
    <row r="132">
      <c r="H132" s="252" t="s">
        <v>161</v>
      </c>
    </row>
    <row r="133">
      <c r="H133" s="252" t="s">
        <v>161</v>
      </c>
    </row>
    <row r="134">
      <c r="H134" s="252" t="s">
        <v>161</v>
      </c>
    </row>
    <row r="135">
      <c r="H135" s="252" t="s">
        <v>161</v>
      </c>
    </row>
    <row r="136">
      <c r="H136" s="252" t="s">
        <v>161</v>
      </c>
    </row>
    <row r="137">
      <c r="H137" s="252" t="s">
        <v>161</v>
      </c>
    </row>
    <row r="138">
      <c r="H138" s="252" t="s">
        <v>161</v>
      </c>
    </row>
    <row r="139">
      <c r="H139" s="252" t="s">
        <v>161</v>
      </c>
    </row>
    <row r="140">
      <c r="H140" s="252" t="s">
        <v>161</v>
      </c>
    </row>
    <row r="141">
      <c r="H141" s="252" t="s">
        <v>161</v>
      </c>
    </row>
    <row r="142">
      <c r="H142" s="252" t="s">
        <v>161</v>
      </c>
    </row>
    <row r="143">
      <c r="H143" s="252" t="s">
        <v>161</v>
      </c>
    </row>
    <row r="144">
      <c r="H144" s="252" t="s">
        <v>161</v>
      </c>
    </row>
    <row r="145">
      <c r="H145" s="252" t="s">
        <v>161</v>
      </c>
    </row>
    <row r="146">
      <c r="H146" s="252" t="s">
        <v>161</v>
      </c>
    </row>
    <row r="147">
      <c r="H147" s="252" t="s">
        <v>161</v>
      </c>
    </row>
    <row r="148">
      <c r="H148" s="252" t="s">
        <v>161</v>
      </c>
    </row>
    <row r="149">
      <c r="H149" s="252" t="s">
        <v>161</v>
      </c>
    </row>
    <row r="150">
      <c r="H150" s="252" t="s">
        <v>161</v>
      </c>
    </row>
    <row r="151">
      <c r="H151" s="252" t="s">
        <v>161</v>
      </c>
    </row>
    <row r="152">
      <c r="H152" s="252" t="s">
        <v>161</v>
      </c>
    </row>
    <row r="153">
      <c r="H153" s="252" t="s">
        <v>161</v>
      </c>
    </row>
    <row r="154">
      <c r="H154" s="252" t="s">
        <v>161</v>
      </c>
    </row>
    <row r="155">
      <c r="H155" s="252" t="s">
        <v>161</v>
      </c>
    </row>
    <row r="156">
      <c r="H156" s="252" t="s">
        <v>161</v>
      </c>
    </row>
    <row r="157">
      <c r="H157" s="252" t="s">
        <v>161</v>
      </c>
    </row>
    <row r="158">
      <c r="H158" s="252" t="s">
        <v>161</v>
      </c>
    </row>
    <row r="159">
      <c r="H159" s="252" t="s">
        <v>161</v>
      </c>
    </row>
    <row r="160">
      <c r="H160" s="252" t="s">
        <v>161</v>
      </c>
    </row>
    <row r="161">
      <c r="H161" s="252" t="s">
        <v>161</v>
      </c>
    </row>
    <row r="162">
      <c r="H162" s="252" t="s">
        <v>161</v>
      </c>
    </row>
    <row r="163">
      <c r="H163" s="252" t="s">
        <v>161</v>
      </c>
    </row>
    <row r="164">
      <c r="H164" s="252" t="s">
        <v>161</v>
      </c>
    </row>
    <row r="165">
      <c r="H165" s="252" t="s">
        <v>161</v>
      </c>
    </row>
    <row r="166">
      <c r="H166" s="252" t="s">
        <v>161</v>
      </c>
    </row>
    <row r="167">
      <c r="H167" s="252" t="s">
        <v>161</v>
      </c>
    </row>
    <row r="168">
      <c r="H168" s="252" t="s">
        <v>161</v>
      </c>
    </row>
    <row r="169">
      <c r="H169" s="252" t="s">
        <v>161</v>
      </c>
    </row>
    <row r="170">
      <c r="H170" s="252" t="s">
        <v>161</v>
      </c>
    </row>
    <row r="171">
      <c r="H171" s="252" t="s">
        <v>161</v>
      </c>
    </row>
    <row r="172">
      <c r="H172" s="252" t="s">
        <v>161</v>
      </c>
    </row>
    <row r="173">
      <c r="H173" s="252" t="s">
        <v>161</v>
      </c>
    </row>
    <row r="174">
      <c r="H174" s="252" t="s">
        <v>161</v>
      </c>
    </row>
    <row r="175">
      <c r="H175" s="252" t="s">
        <v>161</v>
      </c>
    </row>
    <row r="176">
      <c r="H176" s="252" t="s">
        <v>161</v>
      </c>
    </row>
    <row r="177">
      <c r="H177" s="252" t="s">
        <v>161</v>
      </c>
    </row>
    <row r="178">
      <c r="H178" s="252" t="s">
        <v>161</v>
      </c>
    </row>
    <row r="179">
      <c r="H179" s="252" t="s">
        <v>161</v>
      </c>
    </row>
    <row r="180">
      <c r="H180" s="252" t="s">
        <v>161</v>
      </c>
    </row>
    <row r="181">
      <c r="H181" s="252" t="s">
        <v>161</v>
      </c>
    </row>
    <row r="182">
      <c r="H182" s="252" t="s">
        <v>161</v>
      </c>
    </row>
    <row r="183">
      <c r="H183" s="252" t="s">
        <v>161</v>
      </c>
    </row>
    <row r="184">
      <c r="H184" s="252" t="s">
        <v>161</v>
      </c>
    </row>
    <row r="185">
      <c r="H185" s="252" t="s">
        <v>161</v>
      </c>
    </row>
    <row r="186">
      <c r="H186" s="252" t="s">
        <v>161</v>
      </c>
    </row>
    <row r="187">
      <c r="H187" s="252" t="s">
        <v>161</v>
      </c>
    </row>
    <row r="188">
      <c r="H188" s="252" t="s">
        <v>161</v>
      </c>
    </row>
    <row r="189">
      <c r="H189" s="252" t="s">
        <v>161</v>
      </c>
    </row>
    <row r="190">
      <c r="H190" s="252" t="s">
        <v>161</v>
      </c>
    </row>
    <row r="191">
      <c r="H191" s="252" t="s">
        <v>161</v>
      </c>
    </row>
    <row r="192">
      <c r="H192" s="252" t="s">
        <v>161</v>
      </c>
    </row>
    <row r="193">
      <c r="H193" s="252" t="s">
        <v>161</v>
      </c>
    </row>
    <row r="194">
      <c r="H194" s="252" t="s">
        <v>161</v>
      </c>
    </row>
    <row r="195">
      <c r="H195" s="252" t="s">
        <v>161</v>
      </c>
    </row>
    <row r="196">
      <c r="H196" s="252" t="s">
        <v>161</v>
      </c>
    </row>
    <row r="197">
      <c r="H197" s="252" t="s">
        <v>161</v>
      </c>
    </row>
    <row r="198">
      <c r="H198" s="252" t="s">
        <v>161</v>
      </c>
    </row>
    <row r="199">
      <c r="H199" s="252" t="s">
        <v>161</v>
      </c>
    </row>
    <row r="200">
      <c r="H200" s="252" t="s">
        <v>161</v>
      </c>
    </row>
    <row r="201">
      <c r="H201" s="252" t="s">
        <v>161</v>
      </c>
    </row>
    <row r="202">
      <c r="H202" s="252" t="s">
        <v>161</v>
      </c>
    </row>
    <row r="203">
      <c r="H203" s="252" t="s">
        <v>161</v>
      </c>
    </row>
    <row r="204">
      <c r="H204" s="252" t="s">
        <v>161</v>
      </c>
    </row>
    <row r="205">
      <c r="H205" s="252" t="s">
        <v>161</v>
      </c>
    </row>
    <row r="206">
      <c r="H206" s="252" t="s">
        <v>161</v>
      </c>
    </row>
    <row r="207">
      <c r="H207" s="252" t="s">
        <v>161</v>
      </c>
    </row>
    <row r="208">
      <c r="H208" s="252" t="s">
        <v>161</v>
      </c>
    </row>
    <row r="209">
      <c r="H209" s="252" t="s">
        <v>161</v>
      </c>
    </row>
    <row r="210">
      <c r="H210" s="252" t="s">
        <v>161</v>
      </c>
    </row>
    <row r="211">
      <c r="H211" s="252" t="s">
        <v>161</v>
      </c>
    </row>
    <row r="212">
      <c r="H212" s="252" t="s">
        <v>161</v>
      </c>
    </row>
    <row r="213">
      <c r="H213" s="252" t="s">
        <v>161</v>
      </c>
    </row>
    <row r="214">
      <c r="H214" s="252" t="s">
        <v>161</v>
      </c>
    </row>
    <row r="215">
      <c r="H215" s="252" t="s">
        <v>161</v>
      </c>
    </row>
    <row r="216">
      <c r="H216" s="252" t="s">
        <v>161</v>
      </c>
    </row>
    <row r="217">
      <c r="H217" s="252" t="s">
        <v>161</v>
      </c>
    </row>
    <row r="218">
      <c r="H218" s="252" t="s">
        <v>161</v>
      </c>
    </row>
    <row r="219">
      <c r="H219" s="252" t="s">
        <v>161</v>
      </c>
    </row>
    <row r="220">
      <c r="H220" s="252" t="s">
        <v>161</v>
      </c>
    </row>
    <row r="221">
      <c r="H221" s="252" t="s">
        <v>161</v>
      </c>
    </row>
    <row r="222">
      <c r="H222" s="252" t="s">
        <v>161</v>
      </c>
    </row>
    <row r="223">
      <c r="H223" s="252" t="s">
        <v>161</v>
      </c>
    </row>
    <row r="224">
      <c r="H224" s="252" t="s">
        <v>161</v>
      </c>
    </row>
    <row r="225">
      <c r="H225" s="252" t="s">
        <v>161</v>
      </c>
    </row>
    <row r="226">
      <c r="H226" s="252" t="s">
        <v>161</v>
      </c>
    </row>
    <row r="227">
      <c r="H227" s="252" t="s">
        <v>161</v>
      </c>
    </row>
    <row r="228">
      <c r="H228" s="252" t="s">
        <v>161</v>
      </c>
    </row>
    <row r="229">
      <c r="H229" s="252" t="s">
        <v>161</v>
      </c>
    </row>
    <row r="230">
      <c r="H230" s="252" t="s">
        <v>161</v>
      </c>
    </row>
    <row r="231">
      <c r="H231" s="252" t="s">
        <v>161</v>
      </c>
    </row>
    <row r="232">
      <c r="H232" s="252" t="s">
        <v>161</v>
      </c>
    </row>
    <row r="233">
      <c r="H233" s="252" t="s">
        <v>161</v>
      </c>
    </row>
    <row r="234">
      <c r="H234" s="252" t="s">
        <v>161</v>
      </c>
    </row>
    <row r="235">
      <c r="H235" s="252" t="s">
        <v>161</v>
      </c>
    </row>
    <row r="236">
      <c r="H236" s="252" t="s">
        <v>161</v>
      </c>
    </row>
    <row r="237">
      <c r="H237" s="252" t="s">
        <v>161</v>
      </c>
    </row>
    <row r="238">
      <c r="H238" s="252" t="s">
        <v>161</v>
      </c>
    </row>
    <row r="239">
      <c r="H239" s="252" t="s">
        <v>161</v>
      </c>
    </row>
    <row r="240">
      <c r="H240" s="252" t="s">
        <v>161</v>
      </c>
    </row>
    <row r="241">
      <c r="H241" s="252" t="s">
        <v>161</v>
      </c>
    </row>
    <row r="242">
      <c r="H242" s="252" t="s">
        <v>161</v>
      </c>
    </row>
    <row r="243">
      <c r="H243" s="252" t="s">
        <v>161</v>
      </c>
    </row>
    <row r="244">
      <c r="H244" s="252" t="s">
        <v>161</v>
      </c>
    </row>
    <row r="245">
      <c r="H245" s="252" t="s">
        <v>161</v>
      </c>
    </row>
    <row r="246">
      <c r="H246" s="252" t="s">
        <v>161</v>
      </c>
    </row>
    <row r="247">
      <c r="H247" s="252" t="s">
        <v>161</v>
      </c>
    </row>
    <row r="248">
      <c r="H248" s="252" t="s">
        <v>161</v>
      </c>
    </row>
    <row r="249">
      <c r="H249" s="252" t="s">
        <v>161</v>
      </c>
    </row>
    <row r="250">
      <c r="H250" s="252" t="s">
        <v>161</v>
      </c>
    </row>
    <row r="251">
      <c r="H251" s="252" t="s">
        <v>161</v>
      </c>
    </row>
    <row r="252">
      <c r="H252" s="252" t="s">
        <v>161</v>
      </c>
    </row>
    <row r="253">
      <c r="H253" s="252" t="s">
        <v>161</v>
      </c>
    </row>
    <row r="254">
      <c r="H254" s="252" t="s">
        <v>161</v>
      </c>
    </row>
    <row r="255">
      <c r="H255" s="252" t="s">
        <v>161</v>
      </c>
    </row>
    <row r="256">
      <c r="H256" s="252" t="s">
        <v>161</v>
      </c>
    </row>
    <row r="257">
      <c r="H257" s="252" t="s">
        <v>161</v>
      </c>
    </row>
    <row r="258">
      <c r="H258" s="252" t="s">
        <v>161</v>
      </c>
    </row>
    <row r="259">
      <c r="H259" s="252" t="s">
        <v>161</v>
      </c>
    </row>
    <row r="260">
      <c r="H260" s="252" t="s">
        <v>161</v>
      </c>
    </row>
    <row r="261">
      <c r="H261" s="252" t="s">
        <v>161</v>
      </c>
    </row>
    <row r="262">
      <c r="H262" s="252" t="s">
        <v>161</v>
      </c>
    </row>
    <row r="263">
      <c r="H263" s="252" t="s">
        <v>161</v>
      </c>
    </row>
    <row r="264">
      <c r="H264" s="252" t="s">
        <v>161</v>
      </c>
    </row>
    <row r="265">
      <c r="H265" s="252" t="s">
        <v>161</v>
      </c>
    </row>
    <row r="266">
      <c r="H266" s="252" t="s">
        <v>161</v>
      </c>
    </row>
    <row r="267">
      <c r="H267" s="252" t="s">
        <v>161</v>
      </c>
    </row>
    <row r="268">
      <c r="H268" s="252" t="s">
        <v>161</v>
      </c>
    </row>
    <row r="269">
      <c r="H269" s="252" t="s">
        <v>161</v>
      </c>
    </row>
    <row r="270">
      <c r="H270" s="252" t="s">
        <v>161</v>
      </c>
    </row>
    <row r="271">
      <c r="H271" s="252" t="s">
        <v>161</v>
      </c>
    </row>
    <row r="272">
      <c r="H272" s="252" t="s">
        <v>161</v>
      </c>
    </row>
    <row r="273">
      <c r="H273" s="252" t="s">
        <v>161</v>
      </c>
    </row>
    <row r="274">
      <c r="H274" s="252" t="s">
        <v>161</v>
      </c>
    </row>
    <row r="275">
      <c r="H275" s="252" t="s">
        <v>161</v>
      </c>
    </row>
    <row r="276">
      <c r="H276" s="252" t="s">
        <v>161</v>
      </c>
    </row>
    <row r="277">
      <c r="H277" s="252" t="s">
        <v>161</v>
      </c>
    </row>
    <row r="278">
      <c r="H278" s="252" t="s">
        <v>161</v>
      </c>
    </row>
    <row r="279">
      <c r="H279" s="252" t="s">
        <v>161</v>
      </c>
    </row>
    <row r="280">
      <c r="H280" s="252" t="s">
        <v>161</v>
      </c>
    </row>
    <row r="281">
      <c r="H281" s="252" t="s">
        <v>161</v>
      </c>
    </row>
    <row r="282">
      <c r="H282" s="252" t="s">
        <v>161</v>
      </c>
    </row>
    <row r="283">
      <c r="H283" s="252" t="s">
        <v>161</v>
      </c>
    </row>
    <row r="284">
      <c r="H284" s="252" t="s">
        <v>161</v>
      </c>
    </row>
    <row r="285">
      <c r="H285" s="252" t="s">
        <v>161</v>
      </c>
    </row>
    <row r="286">
      <c r="H286" s="252" t="s">
        <v>161</v>
      </c>
    </row>
    <row r="287">
      <c r="H287" s="252" t="s">
        <v>161</v>
      </c>
    </row>
    <row r="288">
      <c r="H288" s="252" t="s">
        <v>161</v>
      </c>
    </row>
    <row r="289">
      <c r="H289" s="252" t="s">
        <v>161</v>
      </c>
    </row>
    <row r="290">
      <c r="H290" s="252" t="s">
        <v>161</v>
      </c>
    </row>
    <row r="291">
      <c r="H291" s="252" t="s">
        <v>161</v>
      </c>
    </row>
    <row r="292">
      <c r="H292" s="252" t="s">
        <v>161</v>
      </c>
    </row>
    <row r="293">
      <c r="H293" s="252" t="s">
        <v>161</v>
      </c>
    </row>
    <row r="294">
      <c r="H294" s="252" t="s">
        <v>161</v>
      </c>
    </row>
    <row r="295">
      <c r="H295" s="252" t="s">
        <v>161</v>
      </c>
    </row>
    <row r="296">
      <c r="H296" s="252" t="s">
        <v>161</v>
      </c>
    </row>
    <row r="297">
      <c r="H297" s="252" t="s">
        <v>161</v>
      </c>
    </row>
    <row r="298">
      <c r="H298" s="252" t="s">
        <v>161</v>
      </c>
    </row>
    <row r="299">
      <c r="H299" s="252" t="s">
        <v>161</v>
      </c>
    </row>
    <row r="300">
      <c r="H300" s="252" t="s">
        <v>161</v>
      </c>
    </row>
    <row r="301">
      <c r="H301" s="252" t="s">
        <v>161</v>
      </c>
    </row>
    <row r="302">
      <c r="H302" s="252" t="s">
        <v>161</v>
      </c>
    </row>
    <row r="303">
      <c r="H303" s="252" t="s">
        <v>161</v>
      </c>
    </row>
    <row r="304">
      <c r="H304" s="252" t="s">
        <v>161</v>
      </c>
    </row>
    <row r="305">
      <c r="H305" s="252" t="s">
        <v>161</v>
      </c>
    </row>
    <row r="306">
      <c r="H306" s="252" t="s">
        <v>161</v>
      </c>
    </row>
    <row r="307">
      <c r="H307" s="252" t="s">
        <v>161</v>
      </c>
    </row>
    <row r="308">
      <c r="H308" s="252" t="s">
        <v>161</v>
      </c>
    </row>
    <row r="309">
      <c r="H309" s="252" t="s">
        <v>161</v>
      </c>
    </row>
    <row r="310">
      <c r="H310" s="252" t="s">
        <v>161</v>
      </c>
    </row>
    <row r="311">
      <c r="H311" s="252" t="s">
        <v>161</v>
      </c>
    </row>
    <row r="312">
      <c r="H312" s="252" t="s">
        <v>161</v>
      </c>
    </row>
    <row r="313">
      <c r="H313" s="252" t="s">
        <v>161</v>
      </c>
    </row>
    <row r="314">
      <c r="H314" s="252" t="s">
        <v>161</v>
      </c>
    </row>
    <row r="315">
      <c r="H315" s="252" t="s">
        <v>161</v>
      </c>
    </row>
    <row r="316">
      <c r="H316" s="252" t="s">
        <v>161</v>
      </c>
    </row>
    <row r="317">
      <c r="H317" s="252" t="s">
        <v>161</v>
      </c>
    </row>
    <row r="318">
      <c r="H318" s="252" t="s">
        <v>161</v>
      </c>
    </row>
    <row r="319">
      <c r="H319" s="252" t="s">
        <v>161</v>
      </c>
    </row>
    <row r="320">
      <c r="H320" s="252" t="s">
        <v>161</v>
      </c>
    </row>
    <row r="321">
      <c r="H321" s="252" t="s">
        <v>161</v>
      </c>
    </row>
    <row r="322">
      <c r="H322" s="252" t="s">
        <v>161</v>
      </c>
    </row>
    <row r="323">
      <c r="H323" s="252" t="s">
        <v>161</v>
      </c>
    </row>
    <row r="324">
      <c r="H324" s="252" t="s">
        <v>161</v>
      </c>
    </row>
    <row r="325">
      <c r="H325" s="252" t="s">
        <v>161</v>
      </c>
    </row>
    <row r="326">
      <c r="H326" s="252" t="s">
        <v>161</v>
      </c>
    </row>
    <row r="327">
      <c r="H327" s="252" t="s">
        <v>161</v>
      </c>
    </row>
    <row r="328">
      <c r="H328" s="252" t="s">
        <v>161</v>
      </c>
    </row>
    <row r="329">
      <c r="H329" s="252" t="s">
        <v>161</v>
      </c>
    </row>
    <row r="330">
      <c r="H330" s="252" t="s">
        <v>161</v>
      </c>
    </row>
    <row r="331">
      <c r="H331" s="252" t="s">
        <v>161</v>
      </c>
    </row>
    <row r="332">
      <c r="H332" s="252" t="s">
        <v>161</v>
      </c>
    </row>
    <row r="333">
      <c r="H333" s="252" t="s">
        <v>161</v>
      </c>
    </row>
    <row r="334">
      <c r="H334" s="252" t="s">
        <v>161</v>
      </c>
    </row>
    <row r="335">
      <c r="H335" s="252" t="s">
        <v>161</v>
      </c>
    </row>
    <row r="336">
      <c r="H336" s="252" t="s">
        <v>161</v>
      </c>
    </row>
    <row r="337">
      <c r="H337" s="252" t="s">
        <v>161</v>
      </c>
    </row>
    <row r="338">
      <c r="H338" s="252" t="s">
        <v>161</v>
      </c>
    </row>
    <row r="339">
      <c r="H339" s="252" t="s">
        <v>161</v>
      </c>
    </row>
    <row r="340">
      <c r="H340" s="252" t="s">
        <v>161</v>
      </c>
    </row>
    <row r="341">
      <c r="H341" s="252" t="s">
        <v>161</v>
      </c>
    </row>
    <row r="342">
      <c r="H342" s="252" t="s">
        <v>161</v>
      </c>
    </row>
    <row r="343">
      <c r="H343" s="252" t="s">
        <v>161</v>
      </c>
    </row>
    <row r="344">
      <c r="H344" s="252" t="s">
        <v>161</v>
      </c>
    </row>
    <row r="345">
      <c r="H345" s="252" t="s">
        <v>161</v>
      </c>
    </row>
    <row r="346">
      <c r="H346" s="252" t="s">
        <v>161</v>
      </c>
    </row>
    <row r="347">
      <c r="H347" s="252" t="s">
        <v>161</v>
      </c>
    </row>
    <row r="348">
      <c r="H348" s="252" t="s">
        <v>161</v>
      </c>
    </row>
    <row r="349">
      <c r="H349" s="252" t="s">
        <v>161</v>
      </c>
    </row>
    <row r="350">
      <c r="H350" s="252" t="s">
        <v>161</v>
      </c>
    </row>
    <row r="351">
      <c r="H351" s="252" t="s">
        <v>161</v>
      </c>
    </row>
    <row r="352">
      <c r="H352" s="252" t="s">
        <v>161</v>
      </c>
    </row>
    <row r="353">
      <c r="H353" s="252" t="s">
        <v>161</v>
      </c>
    </row>
    <row r="354">
      <c r="H354" s="252" t="s">
        <v>161</v>
      </c>
    </row>
    <row r="355">
      <c r="H355" s="252" t="s">
        <v>161</v>
      </c>
    </row>
    <row r="356">
      <c r="H356" s="252" t="s">
        <v>161</v>
      </c>
    </row>
    <row r="357">
      <c r="H357" s="252" t="s">
        <v>161</v>
      </c>
    </row>
    <row r="358">
      <c r="H358" s="252" t="s">
        <v>161</v>
      </c>
    </row>
    <row r="359">
      <c r="H359" s="252" t="s">
        <v>161</v>
      </c>
    </row>
    <row r="360">
      <c r="H360" s="252" t="s">
        <v>161</v>
      </c>
    </row>
    <row r="361">
      <c r="H361" s="252" t="s">
        <v>161</v>
      </c>
    </row>
    <row r="362">
      <c r="H362" s="252" t="s">
        <v>161</v>
      </c>
    </row>
    <row r="363">
      <c r="H363" s="252" t="s">
        <v>161</v>
      </c>
    </row>
    <row r="364">
      <c r="H364" s="252" t="s">
        <v>161</v>
      </c>
    </row>
    <row r="365">
      <c r="H365" s="252" t="s">
        <v>161</v>
      </c>
    </row>
    <row r="366">
      <c r="H366" s="252" t="s">
        <v>161</v>
      </c>
    </row>
    <row r="367">
      <c r="H367" s="252" t="s">
        <v>161</v>
      </c>
    </row>
    <row r="368">
      <c r="H368" s="252" t="s">
        <v>161</v>
      </c>
    </row>
    <row r="369">
      <c r="H369" s="252" t="s">
        <v>161</v>
      </c>
    </row>
    <row r="370">
      <c r="H370" s="252" t="s">
        <v>161</v>
      </c>
    </row>
    <row r="371">
      <c r="H371" s="252" t="s">
        <v>161</v>
      </c>
    </row>
    <row r="372">
      <c r="H372" s="252" t="s">
        <v>161</v>
      </c>
    </row>
    <row r="373">
      <c r="H373" s="252" t="s">
        <v>161</v>
      </c>
    </row>
    <row r="374">
      <c r="H374" s="252" t="s">
        <v>161</v>
      </c>
    </row>
    <row r="375">
      <c r="H375" s="252" t="s">
        <v>161</v>
      </c>
    </row>
    <row r="376">
      <c r="H376" s="252" t="s">
        <v>161</v>
      </c>
    </row>
    <row r="377">
      <c r="H377" s="252" t="s">
        <v>161</v>
      </c>
    </row>
    <row r="378">
      <c r="H378" s="252" t="s">
        <v>161</v>
      </c>
    </row>
    <row r="379">
      <c r="H379" s="252" t="s">
        <v>161</v>
      </c>
    </row>
    <row r="380">
      <c r="H380" s="252" t="s">
        <v>161</v>
      </c>
    </row>
    <row r="381">
      <c r="H381" s="252" t="s">
        <v>161</v>
      </c>
    </row>
    <row r="382">
      <c r="H382" s="252" t="s">
        <v>161</v>
      </c>
    </row>
    <row r="383">
      <c r="H383" s="252" t="s">
        <v>161</v>
      </c>
    </row>
    <row r="384">
      <c r="H384" s="252" t="s">
        <v>161</v>
      </c>
    </row>
    <row r="385">
      <c r="H385" s="252" t="s">
        <v>161</v>
      </c>
    </row>
    <row r="386">
      <c r="H386" s="252" t="s">
        <v>161</v>
      </c>
    </row>
    <row r="387">
      <c r="H387" s="252" t="s">
        <v>161</v>
      </c>
    </row>
    <row r="388">
      <c r="H388" s="252" t="s">
        <v>161</v>
      </c>
    </row>
    <row r="389">
      <c r="H389" s="252" t="s">
        <v>161</v>
      </c>
    </row>
    <row r="390">
      <c r="H390" s="252" t="s">
        <v>161</v>
      </c>
    </row>
    <row r="391">
      <c r="H391" s="252" t="s">
        <v>161</v>
      </c>
    </row>
    <row r="392">
      <c r="H392" s="252" t="s">
        <v>161</v>
      </c>
    </row>
    <row r="393">
      <c r="H393" s="252" t="s">
        <v>161</v>
      </c>
    </row>
    <row r="394">
      <c r="H394" s="252" t="s">
        <v>161</v>
      </c>
    </row>
    <row r="395">
      <c r="H395" s="252" t="s">
        <v>161</v>
      </c>
    </row>
    <row r="396">
      <c r="H396" s="252" t="s">
        <v>161</v>
      </c>
    </row>
    <row r="397">
      <c r="H397" s="252" t="s">
        <v>161</v>
      </c>
    </row>
    <row r="398">
      <c r="H398" s="252" t="s">
        <v>161</v>
      </c>
    </row>
    <row r="399">
      <c r="H399" s="252" t="s">
        <v>161</v>
      </c>
    </row>
    <row r="400">
      <c r="H400" s="252" t="s">
        <v>161</v>
      </c>
    </row>
    <row r="401">
      <c r="H401" s="252" t="s">
        <v>161</v>
      </c>
    </row>
    <row r="402">
      <c r="H402" s="252" t="s">
        <v>161</v>
      </c>
    </row>
    <row r="403">
      <c r="H403" s="252" t="s">
        <v>161</v>
      </c>
    </row>
    <row r="404">
      <c r="H404" s="252" t="s">
        <v>161</v>
      </c>
    </row>
    <row r="405">
      <c r="H405" s="252" t="s">
        <v>161</v>
      </c>
    </row>
    <row r="406">
      <c r="H406" s="252" t="s">
        <v>161</v>
      </c>
    </row>
    <row r="407">
      <c r="H407" s="252" t="s">
        <v>161</v>
      </c>
    </row>
    <row r="408">
      <c r="H408" s="252" t="s">
        <v>161</v>
      </c>
    </row>
    <row r="409">
      <c r="H409" s="252" t="s">
        <v>161</v>
      </c>
    </row>
    <row r="410">
      <c r="H410" s="252" t="s">
        <v>161</v>
      </c>
    </row>
    <row r="411">
      <c r="H411" s="252" t="s">
        <v>161</v>
      </c>
    </row>
    <row r="412">
      <c r="H412" s="252" t="s">
        <v>161</v>
      </c>
    </row>
    <row r="413">
      <c r="H413" s="252" t="s">
        <v>161</v>
      </c>
    </row>
    <row r="414">
      <c r="H414" s="252" t="s">
        <v>161</v>
      </c>
    </row>
    <row r="415">
      <c r="H415" s="252" t="s">
        <v>161</v>
      </c>
    </row>
    <row r="416">
      <c r="H416" s="252" t="s">
        <v>161</v>
      </c>
    </row>
    <row r="417">
      <c r="H417" s="252" t="s">
        <v>161</v>
      </c>
    </row>
    <row r="418">
      <c r="H418" s="252" t="s">
        <v>161</v>
      </c>
    </row>
    <row r="419">
      <c r="H419" s="252" t="s">
        <v>161</v>
      </c>
    </row>
    <row r="420">
      <c r="H420" s="252" t="s">
        <v>161</v>
      </c>
    </row>
    <row r="421">
      <c r="H421" s="252" t="s">
        <v>161</v>
      </c>
    </row>
    <row r="422">
      <c r="H422" s="252" t="s">
        <v>161</v>
      </c>
    </row>
    <row r="423">
      <c r="H423" s="252" t="s">
        <v>161</v>
      </c>
    </row>
    <row r="424">
      <c r="H424" s="252" t="s">
        <v>161</v>
      </c>
    </row>
    <row r="425">
      <c r="H425" s="252" t="s">
        <v>161</v>
      </c>
    </row>
    <row r="426">
      <c r="H426" s="252" t="s">
        <v>161</v>
      </c>
    </row>
    <row r="427">
      <c r="H427" s="252" t="s">
        <v>161</v>
      </c>
    </row>
    <row r="428">
      <c r="H428" s="252" t="s">
        <v>161</v>
      </c>
    </row>
    <row r="429">
      <c r="H429" s="252" t="s">
        <v>161</v>
      </c>
    </row>
    <row r="430">
      <c r="H430" s="252" t="s">
        <v>161</v>
      </c>
    </row>
    <row r="431">
      <c r="H431" s="252" t="s">
        <v>161</v>
      </c>
    </row>
    <row r="432">
      <c r="H432" s="252" t="s">
        <v>161</v>
      </c>
    </row>
    <row r="433">
      <c r="H433" s="252" t="s">
        <v>161</v>
      </c>
    </row>
    <row r="434">
      <c r="H434" s="252" t="s">
        <v>161</v>
      </c>
    </row>
    <row r="435">
      <c r="H435" s="252" t="s">
        <v>161</v>
      </c>
    </row>
    <row r="436">
      <c r="H436" s="252" t="s">
        <v>161</v>
      </c>
    </row>
    <row r="437">
      <c r="H437" s="252" t="s">
        <v>161</v>
      </c>
    </row>
    <row r="438">
      <c r="H438" s="252" t="s">
        <v>161</v>
      </c>
    </row>
    <row r="439">
      <c r="H439" s="252" t="s">
        <v>161</v>
      </c>
    </row>
    <row r="440">
      <c r="H440" s="252" t="s">
        <v>161</v>
      </c>
    </row>
    <row r="441">
      <c r="H441" s="252" t="s">
        <v>161</v>
      </c>
    </row>
    <row r="442">
      <c r="H442" s="252" t="s">
        <v>161</v>
      </c>
    </row>
    <row r="443">
      <c r="H443" s="252" t="s">
        <v>161</v>
      </c>
    </row>
    <row r="444">
      <c r="H444" s="252" t="s">
        <v>161</v>
      </c>
    </row>
    <row r="445">
      <c r="H445" s="252" t="s">
        <v>161</v>
      </c>
    </row>
    <row r="446">
      <c r="H446" s="252" t="s">
        <v>161</v>
      </c>
    </row>
    <row r="447">
      <c r="H447" s="252" t="s">
        <v>161</v>
      </c>
    </row>
    <row r="448">
      <c r="H448" s="252" t="s">
        <v>161</v>
      </c>
    </row>
    <row r="449">
      <c r="H449" s="252" t="s">
        <v>161</v>
      </c>
    </row>
    <row r="450">
      <c r="H450" s="252" t="s">
        <v>161</v>
      </c>
    </row>
    <row r="451">
      <c r="H451" s="252" t="s">
        <v>161</v>
      </c>
    </row>
    <row r="452">
      <c r="H452" s="252" t="s">
        <v>161</v>
      </c>
    </row>
    <row r="453">
      <c r="H453" s="252" t="s">
        <v>161</v>
      </c>
    </row>
    <row r="454">
      <c r="H454" s="252" t="s">
        <v>161</v>
      </c>
    </row>
    <row r="455">
      <c r="H455" s="252" t="s">
        <v>161</v>
      </c>
    </row>
    <row r="456">
      <c r="H456" s="252" t="s">
        <v>161</v>
      </c>
    </row>
    <row r="457">
      <c r="H457" s="252" t="s">
        <v>161</v>
      </c>
    </row>
    <row r="458">
      <c r="H458" s="252" t="s">
        <v>161</v>
      </c>
    </row>
    <row r="459">
      <c r="H459" s="252" t="s">
        <v>161</v>
      </c>
    </row>
    <row r="460">
      <c r="H460" s="252" t="s">
        <v>161</v>
      </c>
    </row>
    <row r="461">
      <c r="H461" s="252" t="s">
        <v>161</v>
      </c>
    </row>
    <row r="462">
      <c r="H462" s="252" t="s">
        <v>161</v>
      </c>
    </row>
    <row r="463">
      <c r="H463" s="252" t="s">
        <v>161</v>
      </c>
    </row>
    <row r="464">
      <c r="H464" s="252" t="s">
        <v>161</v>
      </c>
    </row>
    <row r="465">
      <c r="H465" s="252" t="s">
        <v>161</v>
      </c>
    </row>
    <row r="466">
      <c r="H466" s="252" t="s">
        <v>161</v>
      </c>
    </row>
    <row r="467">
      <c r="H467" s="252" t="s">
        <v>161</v>
      </c>
    </row>
    <row r="468">
      <c r="H468" s="252" t="s">
        <v>161</v>
      </c>
    </row>
    <row r="469">
      <c r="H469" s="252" t="s">
        <v>161</v>
      </c>
    </row>
    <row r="470">
      <c r="H470" s="252" t="s">
        <v>161</v>
      </c>
    </row>
    <row r="471">
      <c r="H471" s="252" t="s">
        <v>161</v>
      </c>
    </row>
    <row r="472">
      <c r="H472" s="252" t="s">
        <v>161</v>
      </c>
    </row>
    <row r="473">
      <c r="H473" s="252" t="s">
        <v>161</v>
      </c>
    </row>
    <row r="474">
      <c r="H474" s="252" t="s">
        <v>161</v>
      </c>
    </row>
    <row r="475">
      <c r="H475" s="252" t="s">
        <v>161</v>
      </c>
    </row>
    <row r="476">
      <c r="H476" s="252" t="s">
        <v>161</v>
      </c>
    </row>
    <row r="477">
      <c r="H477" s="252" t="s">
        <v>161</v>
      </c>
    </row>
    <row r="478">
      <c r="H478" s="252" t="s">
        <v>161</v>
      </c>
    </row>
    <row r="479">
      <c r="H479" s="252" t="s">
        <v>161</v>
      </c>
    </row>
    <row r="480">
      <c r="H480" s="252" t="s">
        <v>161</v>
      </c>
    </row>
    <row r="481">
      <c r="H481" s="252" t="s">
        <v>161</v>
      </c>
    </row>
    <row r="482">
      <c r="H482" s="252" t="s">
        <v>161</v>
      </c>
    </row>
    <row r="483">
      <c r="H483" s="252" t="s">
        <v>161</v>
      </c>
    </row>
    <row r="484">
      <c r="H484" s="252" t="s">
        <v>161</v>
      </c>
    </row>
    <row r="485">
      <c r="H485" s="252" t="s">
        <v>161</v>
      </c>
    </row>
    <row r="486">
      <c r="H486" s="252" t="s">
        <v>161</v>
      </c>
    </row>
    <row r="487">
      <c r="H487" s="252" t="s">
        <v>161</v>
      </c>
    </row>
    <row r="488">
      <c r="H488" s="252" t="s">
        <v>161</v>
      </c>
    </row>
    <row r="489">
      <c r="H489" s="252" t="s">
        <v>161</v>
      </c>
    </row>
    <row r="490">
      <c r="H490" s="252" t="s">
        <v>161</v>
      </c>
    </row>
    <row r="491">
      <c r="H491" s="252" t="s">
        <v>161</v>
      </c>
    </row>
    <row r="492">
      <c r="H492" s="252" t="s">
        <v>161</v>
      </c>
    </row>
    <row r="493">
      <c r="H493" s="252" t="s">
        <v>161</v>
      </c>
    </row>
    <row r="494">
      <c r="H494" s="252" t="s">
        <v>161</v>
      </c>
    </row>
    <row r="495">
      <c r="H495" s="252" t="s">
        <v>161</v>
      </c>
    </row>
    <row r="496">
      <c r="H496" s="252" t="s">
        <v>161</v>
      </c>
    </row>
    <row r="497">
      <c r="H497" s="252" t="s">
        <v>161</v>
      </c>
    </row>
    <row r="498">
      <c r="H498" s="252" t="s">
        <v>161</v>
      </c>
    </row>
    <row r="499">
      <c r="H499" s="252" t="s">
        <v>161</v>
      </c>
    </row>
    <row r="500">
      <c r="H500" s="252" t="s">
        <v>161</v>
      </c>
    </row>
    <row r="501">
      <c r="H501" s="252" t="s">
        <v>161</v>
      </c>
    </row>
    <row r="502">
      <c r="H502" s="252" t="s">
        <v>161</v>
      </c>
    </row>
    <row r="503">
      <c r="H503" s="252" t="s">
        <v>161</v>
      </c>
    </row>
    <row r="504">
      <c r="H504" s="252" t="s">
        <v>161</v>
      </c>
    </row>
    <row r="505">
      <c r="H505" s="252" t="s">
        <v>161</v>
      </c>
    </row>
    <row r="506">
      <c r="H506" s="252" t="s">
        <v>161</v>
      </c>
    </row>
    <row r="507">
      <c r="H507" s="252" t="s">
        <v>161</v>
      </c>
    </row>
    <row r="508">
      <c r="H508" s="252" t="s">
        <v>161</v>
      </c>
    </row>
    <row r="509">
      <c r="H509" s="252" t="s">
        <v>161</v>
      </c>
    </row>
    <row r="510">
      <c r="H510" s="252" t="s">
        <v>161</v>
      </c>
    </row>
    <row r="511">
      <c r="H511" s="252" t="s">
        <v>161</v>
      </c>
    </row>
    <row r="512">
      <c r="H512" s="252" t="s">
        <v>161</v>
      </c>
    </row>
    <row r="513">
      <c r="H513" s="252" t="s">
        <v>161</v>
      </c>
    </row>
    <row r="514">
      <c r="H514" s="252" t="s">
        <v>161</v>
      </c>
    </row>
    <row r="515">
      <c r="H515" s="252" t="s">
        <v>161</v>
      </c>
    </row>
    <row r="516">
      <c r="H516" s="252" t="s">
        <v>161</v>
      </c>
    </row>
    <row r="517">
      <c r="H517" s="252" t="s">
        <v>161</v>
      </c>
    </row>
    <row r="518">
      <c r="H518" s="252" t="s">
        <v>161</v>
      </c>
    </row>
    <row r="519">
      <c r="H519" s="252" t="s">
        <v>161</v>
      </c>
    </row>
    <row r="520">
      <c r="H520" s="252" t="s">
        <v>161</v>
      </c>
    </row>
    <row r="521">
      <c r="H521" s="252" t="s">
        <v>161</v>
      </c>
    </row>
    <row r="522">
      <c r="H522" s="252" t="s">
        <v>161</v>
      </c>
    </row>
    <row r="523">
      <c r="H523" s="252" t="s">
        <v>161</v>
      </c>
    </row>
    <row r="524">
      <c r="H524" s="252" t="s">
        <v>161</v>
      </c>
    </row>
    <row r="525">
      <c r="H525" s="252" t="s">
        <v>161</v>
      </c>
    </row>
    <row r="526">
      <c r="H526" s="252" t="s">
        <v>161</v>
      </c>
    </row>
    <row r="527">
      <c r="H527" s="252" t="s">
        <v>161</v>
      </c>
    </row>
    <row r="528">
      <c r="H528" s="252" t="s">
        <v>161</v>
      </c>
    </row>
    <row r="529">
      <c r="H529" s="252" t="s">
        <v>161</v>
      </c>
    </row>
    <row r="530">
      <c r="H530" s="252" t="s">
        <v>161</v>
      </c>
    </row>
    <row r="531">
      <c r="H531" s="252" t="s">
        <v>161</v>
      </c>
    </row>
    <row r="532">
      <c r="H532" s="252" t="s">
        <v>161</v>
      </c>
    </row>
    <row r="533">
      <c r="H533" s="252" t="s">
        <v>161</v>
      </c>
    </row>
    <row r="534">
      <c r="H534" s="252" t="s">
        <v>161</v>
      </c>
    </row>
    <row r="535">
      <c r="H535" s="252" t="s">
        <v>161</v>
      </c>
    </row>
    <row r="536">
      <c r="H536" s="252" t="s">
        <v>161</v>
      </c>
    </row>
    <row r="537">
      <c r="H537" s="252" t="s">
        <v>161</v>
      </c>
    </row>
    <row r="538">
      <c r="H538" s="252" t="s">
        <v>161</v>
      </c>
    </row>
    <row r="539">
      <c r="H539" s="252" t="s">
        <v>161</v>
      </c>
    </row>
    <row r="540">
      <c r="H540" s="252" t="s">
        <v>161</v>
      </c>
    </row>
    <row r="541">
      <c r="H541" s="252" t="s">
        <v>161</v>
      </c>
    </row>
    <row r="542">
      <c r="H542" s="252" t="s">
        <v>161</v>
      </c>
    </row>
    <row r="543">
      <c r="H543" s="252" t="s">
        <v>161</v>
      </c>
    </row>
    <row r="544">
      <c r="H544" s="252" t="s">
        <v>161</v>
      </c>
    </row>
    <row r="545">
      <c r="H545" s="252" t="s">
        <v>161</v>
      </c>
    </row>
    <row r="546">
      <c r="H546" s="252" t="s">
        <v>161</v>
      </c>
    </row>
    <row r="547">
      <c r="H547" s="252" t="s">
        <v>161</v>
      </c>
    </row>
    <row r="548">
      <c r="H548" s="252" t="s">
        <v>161</v>
      </c>
    </row>
    <row r="549">
      <c r="H549" s="252" t="s">
        <v>161</v>
      </c>
    </row>
    <row r="550">
      <c r="H550" s="252" t="s">
        <v>161</v>
      </c>
    </row>
    <row r="551">
      <c r="H551" s="252" t="s">
        <v>161</v>
      </c>
    </row>
    <row r="552">
      <c r="H552" s="252" t="s">
        <v>161</v>
      </c>
    </row>
    <row r="553">
      <c r="H553" s="252" t="s">
        <v>161</v>
      </c>
    </row>
    <row r="554">
      <c r="H554" s="252" t="s">
        <v>161</v>
      </c>
    </row>
    <row r="555">
      <c r="H555" s="252" t="s">
        <v>161</v>
      </c>
    </row>
    <row r="556">
      <c r="H556" s="252" t="s">
        <v>161</v>
      </c>
    </row>
    <row r="557">
      <c r="H557" s="252" t="s">
        <v>161</v>
      </c>
    </row>
    <row r="558">
      <c r="H558" s="252" t="s">
        <v>161</v>
      </c>
    </row>
    <row r="559">
      <c r="H559" s="252" t="s">
        <v>161</v>
      </c>
    </row>
    <row r="560">
      <c r="H560" s="252" t="s">
        <v>161</v>
      </c>
    </row>
    <row r="561">
      <c r="H561" s="252" t="s">
        <v>161</v>
      </c>
    </row>
    <row r="562">
      <c r="H562" s="252" t="s">
        <v>161</v>
      </c>
    </row>
    <row r="563">
      <c r="H563" s="252" t="s">
        <v>161</v>
      </c>
    </row>
    <row r="564">
      <c r="H564" s="252" t="s">
        <v>161</v>
      </c>
    </row>
    <row r="565">
      <c r="H565" s="252" t="s">
        <v>161</v>
      </c>
    </row>
    <row r="566">
      <c r="H566" s="252" t="s">
        <v>161</v>
      </c>
    </row>
    <row r="567">
      <c r="H567" s="252" t="s">
        <v>161</v>
      </c>
    </row>
    <row r="568">
      <c r="H568" s="252" t="s">
        <v>161</v>
      </c>
    </row>
    <row r="569">
      <c r="H569" s="252" t="s">
        <v>161</v>
      </c>
    </row>
    <row r="570">
      <c r="H570" s="252" t="s">
        <v>161</v>
      </c>
    </row>
    <row r="571">
      <c r="H571" s="252" t="s">
        <v>161</v>
      </c>
    </row>
    <row r="572">
      <c r="H572" s="252" t="s">
        <v>161</v>
      </c>
    </row>
    <row r="573">
      <c r="H573" s="252" t="s">
        <v>161</v>
      </c>
    </row>
    <row r="574">
      <c r="H574" s="252" t="s">
        <v>161</v>
      </c>
    </row>
    <row r="575">
      <c r="H575" s="252" t="s">
        <v>161</v>
      </c>
    </row>
    <row r="576">
      <c r="H576" s="252" t="s">
        <v>161</v>
      </c>
    </row>
    <row r="577">
      <c r="H577" s="252" t="s">
        <v>161</v>
      </c>
    </row>
    <row r="578">
      <c r="H578" s="252" t="s">
        <v>161</v>
      </c>
    </row>
    <row r="579">
      <c r="H579" s="252" t="s">
        <v>161</v>
      </c>
    </row>
    <row r="580">
      <c r="H580" s="252" t="s">
        <v>161</v>
      </c>
    </row>
    <row r="581">
      <c r="H581" s="252" t="s">
        <v>161</v>
      </c>
    </row>
    <row r="582">
      <c r="H582" s="252" t="s">
        <v>161</v>
      </c>
    </row>
    <row r="583">
      <c r="H583" s="252" t="s">
        <v>161</v>
      </c>
    </row>
    <row r="584">
      <c r="H584" s="252" t="s">
        <v>161</v>
      </c>
    </row>
    <row r="585">
      <c r="H585" s="252" t="s">
        <v>161</v>
      </c>
    </row>
    <row r="586">
      <c r="H586" s="252" t="s">
        <v>161</v>
      </c>
    </row>
    <row r="587">
      <c r="H587" s="252" t="s">
        <v>161</v>
      </c>
    </row>
    <row r="588">
      <c r="H588" s="252" t="s">
        <v>161</v>
      </c>
    </row>
    <row r="589">
      <c r="H589" s="252" t="s">
        <v>161</v>
      </c>
    </row>
    <row r="590">
      <c r="H590" s="252" t="s">
        <v>161</v>
      </c>
    </row>
    <row r="591">
      <c r="H591" s="252" t="s">
        <v>161</v>
      </c>
    </row>
    <row r="592">
      <c r="H592" s="252" t="s">
        <v>161</v>
      </c>
    </row>
    <row r="593">
      <c r="H593" s="252" t="s">
        <v>161</v>
      </c>
    </row>
    <row r="594">
      <c r="H594" s="252" t="s">
        <v>161</v>
      </c>
    </row>
    <row r="595">
      <c r="H595" s="252" t="s">
        <v>161</v>
      </c>
    </row>
    <row r="596">
      <c r="H596" s="252" t="s">
        <v>161</v>
      </c>
    </row>
    <row r="597">
      <c r="H597" s="252" t="s">
        <v>161</v>
      </c>
    </row>
    <row r="598">
      <c r="H598" s="252" t="s">
        <v>161</v>
      </c>
    </row>
    <row r="599">
      <c r="H599" s="252" t="s">
        <v>161</v>
      </c>
    </row>
    <row r="600">
      <c r="H600" s="252" t="s">
        <v>161</v>
      </c>
    </row>
    <row r="601">
      <c r="H601" s="252" t="s">
        <v>161</v>
      </c>
    </row>
    <row r="602">
      <c r="H602" s="252" t="s">
        <v>161</v>
      </c>
    </row>
    <row r="603">
      <c r="H603" s="252" t="s">
        <v>161</v>
      </c>
    </row>
    <row r="604">
      <c r="H604" s="252" t="s">
        <v>161</v>
      </c>
    </row>
    <row r="605">
      <c r="H605" s="252" t="s">
        <v>161</v>
      </c>
    </row>
    <row r="606">
      <c r="H606" s="252" t="s">
        <v>161</v>
      </c>
    </row>
    <row r="607">
      <c r="H607" s="252" t="s">
        <v>161</v>
      </c>
    </row>
    <row r="608">
      <c r="H608" s="252" t="s">
        <v>161</v>
      </c>
    </row>
    <row r="609">
      <c r="H609" s="252" t="s">
        <v>161</v>
      </c>
    </row>
    <row r="610">
      <c r="H610" s="252" t="s">
        <v>161</v>
      </c>
    </row>
    <row r="611">
      <c r="H611" s="252" t="s">
        <v>161</v>
      </c>
    </row>
    <row r="612">
      <c r="H612" s="252" t="s">
        <v>161</v>
      </c>
    </row>
    <row r="613">
      <c r="H613" s="252" t="s">
        <v>161</v>
      </c>
    </row>
    <row r="614">
      <c r="H614" s="252" t="s">
        <v>161</v>
      </c>
    </row>
    <row r="615">
      <c r="H615" s="252" t="s">
        <v>161</v>
      </c>
    </row>
    <row r="616">
      <c r="H616" s="252" t="s">
        <v>161</v>
      </c>
    </row>
    <row r="617">
      <c r="H617" s="252" t="s">
        <v>161</v>
      </c>
    </row>
    <row r="618">
      <c r="H618" s="252" t="s">
        <v>161</v>
      </c>
    </row>
    <row r="619">
      <c r="H619" s="252" t="s">
        <v>161</v>
      </c>
    </row>
    <row r="620">
      <c r="H620" s="252" t="s">
        <v>161</v>
      </c>
    </row>
    <row r="621">
      <c r="H621" s="252" t="s">
        <v>161</v>
      </c>
    </row>
    <row r="622">
      <c r="H622" s="252" t="s">
        <v>161</v>
      </c>
    </row>
    <row r="623">
      <c r="H623" s="252" t="s">
        <v>161</v>
      </c>
    </row>
    <row r="624">
      <c r="H624" s="252" t="s">
        <v>161</v>
      </c>
    </row>
    <row r="625">
      <c r="H625" s="252" t="s">
        <v>161</v>
      </c>
    </row>
    <row r="626">
      <c r="H626" s="252" t="s">
        <v>161</v>
      </c>
    </row>
    <row r="627">
      <c r="H627" s="252" t="s">
        <v>161</v>
      </c>
    </row>
    <row r="628">
      <c r="H628" s="252" t="s">
        <v>161</v>
      </c>
    </row>
    <row r="629">
      <c r="H629" s="252" t="s">
        <v>161</v>
      </c>
    </row>
    <row r="630">
      <c r="H630" s="252" t="s">
        <v>161</v>
      </c>
    </row>
    <row r="631">
      <c r="H631" s="252" t="s">
        <v>161</v>
      </c>
    </row>
    <row r="632">
      <c r="H632" s="252" t="s">
        <v>161</v>
      </c>
    </row>
    <row r="633">
      <c r="H633" s="252" t="s">
        <v>161</v>
      </c>
    </row>
    <row r="634">
      <c r="H634" s="252" t="s">
        <v>161</v>
      </c>
    </row>
    <row r="635">
      <c r="H635" s="252" t="s">
        <v>161</v>
      </c>
    </row>
    <row r="636">
      <c r="H636" s="252" t="s">
        <v>161</v>
      </c>
    </row>
    <row r="637">
      <c r="H637" s="252" t="s">
        <v>161</v>
      </c>
    </row>
    <row r="638">
      <c r="H638" s="252" t="s">
        <v>161</v>
      </c>
    </row>
    <row r="639">
      <c r="H639" s="252" t="s">
        <v>161</v>
      </c>
    </row>
    <row r="640">
      <c r="H640" s="252" t="s">
        <v>161</v>
      </c>
    </row>
    <row r="641">
      <c r="H641" s="252" t="s">
        <v>161</v>
      </c>
    </row>
    <row r="642">
      <c r="H642" s="252" t="s">
        <v>161</v>
      </c>
    </row>
    <row r="643">
      <c r="H643" s="252" t="s">
        <v>161</v>
      </c>
    </row>
    <row r="644">
      <c r="H644" s="252" t="s">
        <v>161</v>
      </c>
    </row>
    <row r="645">
      <c r="H645" s="252" t="s">
        <v>161</v>
      </c>
    </row>
    <row r="646">
      <c r="H646" s="252" t="s">
        <v>161</v>
      </c>
    </row>
    <row r="647">
      <c r="H647" s="252" t="s">
        <v>161</v>
      </c>
    </row>
    <row r="648">
      <c r="H648" s="252" t="s">
        <v>161</v>
      </c>
    </row>
    <row r="649">
      <c r="H649" s="252" t="s">
        <v>161</v>
      </c>
    </row>
    <row r="650">
      <c r="H650" s="252" t="s">
        <v>161</v>
      </c>
    </row>
    <row r="651">
      <c r="H651" s="252" t="s">
        <v>161</v>
      </c>
    </row>
    <row r="652">
      <c r="H652" s="252" t="s">
        <v>161</v>
      </c>
    </row>
    <row r="653">
      <c r="H653" s="252" t="s">
        <v>161</v>
      </c>
    </row>
    <row r="654">
      <c r="H654" s="252" t="s">
        <v>161</v>
      </c>
    </row>
    <row r="655">
      <c r="H655" s="252" t="s">
        <v>161</v>
      </c>
    </row>
    <row r="656">
      <c r="H656" s="252" t="s">
        <v>161</v>
      </c>
    </row>
    <row r="657">
      <c r="H657" s="252" t="s">
        <v>161</v>
      </c>
    </row>
    <row r="658">
      <c r="H658" s="252" t="s">
        <v>161</v>
      </c>
    </row>
    <row r="659">
      <c r="H659" s="252" t="s">
        <v>161</v>
      </c>
    </row>
    <row r="660">
      <c r="H660" s="252" t="s">
        <v>161</v>
      </c>
    </row>
    <row r="661">
      <c r="H661" s="252" t="s">
        <v>161</v>
      </c>
    </row>
    <row r="662">
      <c r="H662" s="252" t="s">
        <v>161</v>
      </c>
    </row>
    <row r="663">
      <c r="H663" s="252" t="s">
        <v>161</v>
      </c>
    </row>
    <row r="664">
      <c r="H664" s="252" t="s">
        <v>161</v>
      </c>
    </row>
    <row r="665">
      <c r="H665" s="252" t="s">
        <v>161</v>
      </c>
    </row>
    <row r="666">
      <c r="H666" s="252" t="s">
        <v>161</v>
      </c>
    </row>
    <row r="667">
      <c r="H667" s="252" t="s">
        <v>161</v>
      </c>
    </row>
    <row r="668">
      <c r="H668" s="252" t="s">
        <v>161</v>
      </c>
    </row>
    <row r="669">
      <c r="H669" s="252" t="s">
        <v>161</v>
      </c>
    </row>
    <row r="670">
      <c r="H670" s="252" t="s">
        <v>161</v>
      </c>
    </row>
    <row r="671">
      <c r="H671" s="252" t="s">
        <v>161</v>
      </c>
    </row>
    <row r="672">
      <c r="H672" s="252" t="s">
        <v>161</v>
      </c>
    </row>
    <row r="673">
      <c r="H673" s="252" t="s">
        <v>161</v>
      </c>
    </row>
    <row r="674">
      <c r="H674" s="252" t="s">
        <v>161</v>
      </c>
    </row>
    <row r="675">
      <c r="H675" s="252" t="s">
        <v>161</v>
      </c>
    </row>
    <row r="676">
      <c r="H676" s="252" t="s">
        <v>161</v>
      </c>
    </row>
    <row r="677">
      <c r="H677" s="252" t="s">
        <v>161</v>
      </c>
    </row>
    <row r="678">
      <c r="H678" s="252" t="s">
        <v>161</v>
      </c>
    </row>
    <row r="679">
      <c r="H679" s="252" t="s">
        <v>161</v>
      </c>
    </row>
    <row r="680">
      <c r="H680" s="252" t="s">
        <v>161</v>
      </c>
    </row>
    <row r="681">
      <c r="H681" s="252" t="s">
        <v>161</v>
      </c>
    </row>
    <row r="682">
      <c r="H682" s="252" t="s">
        <v>161</v>
      </c>
    </row>
    <row r="683">
      <c r="H683" s="252" t="s">
        <v>161</v>
      </c>
    </row>
    <row r="684">
      <c r="H684" s="252" t="s">
        <v>161</v>
      </c>
    </row>
    <row r="685">
      <c r="H685" s="252" t="s">
        <v>161</v>
      </c>
    </row>
    <row r="686">
      <c r="H686" s="252" t="s">
        <v>161</v>
      </c>
    </row>
    <row r="687">
      <c r="H687" s="252" t="s">
        <v>161</v>
      </c>
    </row>
    <row r="688">
      <c r="H688" s="252" t="s">
        <v>161</v>
      </c>
    </row>
    <row r="689">
      <c r="H689" s="252" t="s">
        <v>161</v>
      </c>
    </row>
    <row r="690">
      <c r="H690" s="252" t="s">
        <v>161</v>
      </c>
    </row>
    <row r="691">
      <c r="H691" s="252" t="s">
        <v>161</v>
      </c>
    </row>
    <row r="692">
      <c r="H692" s="252" t="s">
        <v>161</v>
      </c>
    </row>
    <row r="693">
      <c r="H693" s="252" t="s">
        <v>161</v>
      </c>
    </row>
    <row r="694">
      <c r="H694" s="252" t="s">
        <v>161</v>
      </c>
    </row>
    <row r="695">
      <c r="H695" s="252" t="s">
        <v>161</v>
      </c>
    </row>
    <row r="696">
      <c r="H696" s="252" t="s">
        <v>161</v>
      </c>
    </row>
    <row r="697">
      <c r="H697" s="252" t="s">
        <v>161</v>
      </c>
    </row>
    <row r="698">
      <c r="H698" s="252" t="s">
        <v>161</v>
      </c>
    </row>
    <row r="699">
      <c r="H699" s="252" t="s">
        <v>161</v>
      </c>
    </row>
    <row r="700">
      <c r="H700" s="252" t="s">
        <v>161</v>
      </c>
    </row>
    <row r="701">
      <c r="H701" s="252" t="s">
        <v>161</v>
      </c>
    </row>
    <row r="702">
      <c r="H702" s="252" t="s">
        <v>161</v>
      </c>
    </row>
    <row r="703">
      <c r="H703" s="252" t="s">
        <v>161</v>
      </c>
    </row>
    <row r="704">
      <c r="H704" s="252" t="s">
        <v>161</v>
      </c>
    </row>
    <row r="705">
      <c r="H705" s="252" t="s">
        <v>161</v>
      </c>
    </row>
    <row r="706">
      <c r="H706" s="252" t="s">
        <v>161</v>
      </c>
    </row>
    <row r="707">
      <c r="H707" s="252" t="s">
        <v>161</v>
      </c>
    </row>
    <row r="708">
      <c r="H708" s="252" t="s">
        <v>161</v>
      </c>
    </row>
    <row r="709">
      <c r="H709" s="252" t="s">
        <v>161</v>
      </c>
    </row>
    <row r="710">
      <c r="H710" s="252" t="s">
        <v>161</v>
      </c>
    </row>
    <row r="711">
      <c r="H711" s="252" t="s">
        <v>161</v>
      </c>
    </row>
    <row r="712">
      <c r="H712" s="252" t="s">
        <v>161</v>
      </c>
    </row>
    <row r="713">
      <c r="H713" s="252" t="s">
        <v>161</v>
      </c>
    </row>
    <row r="714">
      <c r="H714" s="252" t="s">
        <v>161</v>
      </c>
    </row>
    <row r="715">
      <c r="H715" s="252" t="s">
        <v>161</v>
      </c>
    </row>
    <row r="716">
      <c r="H716" s="252" t="s">
        <v>161</v>
      </c>
    </row>
    <row r="717">
      <c r="H717" s="252" t="s">
        <v>161</v>
      </c>
    </row>
    <row r="718">
      <c r="H718" s="252" t="s">
        <v>161</v>
      </c>
    </row>
    <row r="719">
      <c r="H719" s="252" t="s">
        <v>161</v>
      </c>
    </row>
    <row r="720">
      <c r="H720" s="252" t="s">
        <v>161</v>
      </c>
    </row>
    <row r="721">
      <c r="H721" s="252" t="s">
        <v>161</v>
      </c>
    </row>
    <row r="722">
      <c r="H722" s="252" t="s">
        <v>161</v>
      </c>
    </row>
    <row r="723">
      <c r="H723" s="252" t="s">
        <v>161</v>
      </c>
    </row>
    <row r="724">
      <c r="H724" s="252" t="s">
        <v>161</v>
      </c>
    </row>
    <row r="725">
      <c r="H725" s="252" t="s">
        <v>161</v>
      </c>
    </row>
    <row r="726">
      <c r="H726" s="252" t="s">
        <v>161</v>
      </c>
    </row>
    <row r="727">
      <c r="H727" s="252" t="s">
        <v>161</v>
      </c>
    </row>
    <row r="728">
      <c r="H728" s="252" t="s">
        <v>161</v>
      </c>
    </row>
    <row r="729">
      <c r="H729" s="252" t="s">
        <v>161</v>
      </c>
    </row>
    <row r="730">
      <c r="H730" s="252" t="s">
        <v>161</v>
      </c>
    </row>
    <row r="731">
      <c r="H731" s="252" t="s">
        <v>161</v>
      </c>
    </row>
    <row r="732">
      <c r="H732" s="252" t="s">
        <v>161</v>
      </c>
    </row>
    <row r="733">
      <c r="H733" s="252" t="s">
        <v>161</v>
      </c>
    </row>
    <row r="734">
      <c r="H734" s="252" t="s">
        <v>161</v>
      </c>
    </row>
    <row r="735">
      <c r="H735" s="252" t="s">
        <v>161</v>
      </c>
    </row>
    <row r="736">
      <c r="H736" s="252" t="s">
        <v>161</v>
      </c>
    </row>
    <row r="737">
      <c r="H737" s="252" t="s">
        <v>161</v>
      </c>
    </row>
    <row r="738">
      <c r="H738" s="252" t="s">
        <v>161</v>
      </c>
    </row>
    <row r="739">
      <c r="H739" s="252" t="s">
        <v>161</v>
      </c>
    </row>
    <row r="740">
      <c r="H740" s="252" t="s">
        <v>161</v>
      </c>
    </row>
    <row r="741">
      <c r="H741" s="252" t="s">
        <v>161</v>
      </c>
    </row>
    <row r="742">
      <c r="H742" s="252" t="s">
        <v>161</v>
      </c>
    </row>
    <row r="743">
      <c r="H743" s="252" t="s">
        <v>161</v>
      </c>
    </row>
    <row r="744">
      <c r="H744" s="252" t="s">
        <v>161</v>
      </c>
    </row>
    <row r="745">
      <c r="H745" s="252" t="s">
        <v>161</v>
      </c>
    </row>
    <row r="746">
      <c r="H746" s="252" t="s">
        <v>161</v>
      </c>
    </row>
    <row r="747">
      <c r="H747" s="252" t="s">
        <v>161</v>
      </c>
    </row>
    <row r="748">
      <c r="H748" s="252" t="s">
        <v>161</v>
      </c>
    </row>
    <row r="749">
      <c r="H749" s="252" t="s">
        <v>161</v>
      </c>
    </row>
    <row r="750">
      <c r="H750" s="252" t="s">
        <v>161</v>
      </c>
    </row>
    <row r="751">
      <c r="H751" s="252" t="s">
        <v>161</v>
      </c>
    </row>
    <row r="752">
      <c r="H752" s="252" t="s">
        <v>161</v>
      </c>
    </row>
    <row r="753">
      <c r="H753" s="252" t="s">
        <v>161</v>
      </c>
    </row>
    <row r="754">
      <c r="H754" s="252" t="s">
        <v>161</v>
      </c>
    </row>
    <row r="755">
      <c r="H755" s="252" t="s">
        <v>161</v>
      </c>
    </row>
    <row r="756">
      <c r="H756" s="252" t="s">
        <v>161</v>
      </c>
    </row>
    <row r="757">
      <c r="H757" s="252" t="s">
        <v>161</v>
      </c>
    </row>
    <row r="758">
      <c r="H758" s="252" t="s">
        <v>161</v>
      </c>
    </row>
    <row r="759">
      <c r="H759" s="252" t="s">
        <v>161</v>
      </c>
    </row>
    <row r="760">
      <c r="H760" s="252" t="s">
        <v>161</v>
      </c>
    </row>
    <row r="761">
      <c r="H761" s="252" t="s">
        <v>161</v>
      </c>
    </row>
    <row r="762">
      <c r="H762" s="252" t="s">
        <v>161</v>
      </c>
    </row>
    <row r="763">
      <c r="H763" s="252" t="s">
        <v>161</v>
      </c>
    </row>
    <row r="764">
      <c r="H764" s="252" t="s">
        <v>161</v>
      </c>
    </row>
    <row r="765">
      <c r="H765" s="252" t="s">
        <v>161</v>
      </c>
    </row>
    <row r="766">
      <c r="H766" s="252" t="s">
        <v>161</v>
      </c>
    </row>
    <row r="767">
      <c r="H767" s="252" t="s">
        <v>161</v>
      </c>
    </row>
    <row r="768">
      <c r="H768" s="252" t="s">
        <v>161</v>
      </c>
    </row>
    <row r="769">
      <c r="H769" s="252" t="s">
        <v>161</v>
      </c>
    </row>
    <row r="770">
      <c r="H770" s="252" t="s">
        <v>161</v>
      </c>
    </row>
    <row r="771">
      <c r="H771" s="252" t="s">
        <v>161</v>
      </c>
    </row>
    <row r="772">
      <c r="H772" s="252" t="s">
        <v>161</v>
      </c>
    </row>
    <row r="773">
      <c r="H773" s="252" t="s">
        <v>161</v>
      </c>
    </row>
    <row r="774">
      <c r="H774" s="252" t="s">
        <v>161</v>
      </c>
    </row>
    <row r="775">
      <c r="H775" s="252" t="s">
        <v>161</v>
      </c>
    </row>
    <row r="776">
      <c r="H776" s="252" t="s">
        <v>161</v>
      </c>
    </row>
    <row r="777">
      <c r="H777" s="252" t="s">
        <v>161</v>
      </c>
    </row>
    <row r="778">
      <c r="H778" s="252" t="s">
        <v>161</v>
      </c>
    </row>
    <row r="779">
      <c r="H779" s="252" t="s">
        <v>161</v>
      </c>
    </row>
    <row r="780">
      <c r="H780" s="252" t="s">
        <v>161</v>
      </c>
    </row>
    <row r="781">
      <c r="H781" s="252" t="s">
        <v>161</v>
      </c>
    </row>
    <row r="782">
      <c r="H782" s="252" t="s">
        <v>161</v>
      </c>
    </row>
    <row r="783">
      <c r="H783" s="252" t="s">
        <v>161</v>
      </c>
    </row>
    <row r="784">
      <c r="H784" s="252" t="s">
        <v>161</v>
      </c>
    </row>
    <row r="785">
      <c r="H785" s="252" t="s">
        <v>161</v>
      </c>
    </row>
    <row r="786">
      <c r="H786" s="252" t="s">
        <v>161</v>
      </c>
    </row>
    <row r="787">
      <c r="H787" s="252" t="s">
        <v>161</v>
      </c>
    </row>
    <row r="788">
      <c r="H788" s="252" t="s">
        <v>161</v>
      </c>
    </row>
    <row r="789">
      <c r="H789" s="252" t="s">
        <v>161</v>
      </c>
    </row>
    <row r="790">
      <c r="H790" s="252" t="s">
        <v>161</v>
      </c>
    </row>
    <row r="791">
      <c r="H791" s="252" t="s">
        <v>161</v>
      </c>
    </row>
    <row r="792">
      <c r="H792" s="252" t="s">
        <v>161</v>
      </c>
    </row>
    <row r="793">
      <c r="H793" s="252" t="s">
        <v>161</v>
      </c>
    </row>
    <row r="794">
      <c r="H794" s="252" t="s">
        <v>161</v>
      </c>
    </row>
    <row r="795">
      <c r="H795" s="252" t="s">
        <v>161</v>
      </c>
    </row>
    <row r="796">
      <c r="H796" s="252" t="s">
        <v>161</v>
      </c>
    </row>
    <row r="797">
      <c r="H797" s="252" t="s">
        <v>161</v>
      </c>
    </row>
    <row r="798">
      <c r="H798" s="252" t="s">
        <v>161</v>
      </c>
    </row>
    <row r="799">
      <c r="H799" s="252" t="s">
        <v>161</v>
      </c>
    </row>
    <row r="800">
      <c r="H800" s="252" t="s">
        <v>161</v>
      </c>
    </row>
    <row r="801">
      <c r="H801" s="252" t="s">
        <v>161</v>
      </c>
    </row>
    <row r="802">
      <c r="H802" s="252" t="s">
        <v>161</v>
      </c>
    </row>
    <row r="803">
      <c r="H803" s="252" t="s">
        <v>161</v>
      </c>
    </row>
    <row r="804">
      <c r="H804" s="252" t="s">
        <v>161</v>
      </c>
    </row>
    <row r="805">
      <c r="H805" s="252" t="s">
        <v>161</v>
      </c>
    </row>
    <row r="806">
      <c r="H806" s="252" t="s">
        <v>161</v>
      </c>
    </row>
    <row r="807">
      <c r="H807" s="252" t="s">
        <v>161</v>
      </c>
    </row>
    <row r="808">
      <c r="H808" s="252" t="s">
        <v>161</v>
      </c>
    </row>
    <row r="809">
      <c r="H809" s="252" t="s">
        <v>161</v>
      </c>
    </row>
    <row r="810">
      <c r="H810" s="252" t="s">
        <v>161</v>
      </c>
    </row>
    <row r="811">
      <c r="H811" s="252" t="s">
        <v>161</v>
      </c>
    </row>
    <row r="812">
      <c r="H812" s="252" t="s">
        <v>161</v>
      </c>
    </row>
    <row r="813">
      <c r="H813" s="252" t="s">
        <v>161</v>
      </c>
    </row>
    <row r="814">
      <c r="H814" s="252" t="s">
        <v>161</v>
      </c>
    </row>
    <row r="815">
      <c r="H815" s="252" t="s">
        <v>161</v>
      </c>
    </row>
    <row r="816">
      <c r="H816" s="252" t="s">
        <v>161</v>
      </c>
    </row>
    <row r="817">
      <c r="H817" s="252" t="s">
        <v>161</v>
      </c>
    </row>
    <row r="818">
      <c r="H818" s="252" t="s">
        <v>161</v>
      </c>
    </row>
    <row r="819">
      <c r="H819" s="252" t="s">
        <v>161</v>
      </c>
    </row>
    <row r="820">
      <c r="H820" s="252" t="s">
        <v>161</v>
      </c>
    </row>
    <row r="821">
      <c r="H821" s="252" t="s">
        <v>161</v>
      </c>
    </row>
    <row r="822">
      <c r="H822" s="252" t="s">
        <v>161</v>
      </c>
    </row>
    <row r="823">
      <c r="H823" s="252" t="s">
        <v>161</v>
      </c>
    </row>
    <row r="824">
      <c r="H824" s="252" t="s">
        <v>161</v>
      </c>
    </row>
    <row r="825">
      <c r="H825" s="252" t="s">
        <v>161</v>
      </c>
    </row>
    <row r="826">
      <c r="H826" s="252" t="s">
        <v>161</v>
      </c>
    </row>
    <row r="827">
      <c r="H827" s="252" t="s">
        <v>161</v>
      </c>
    </row>
    <row r="828">
      <c r="H828" s="252" t="s">
        <v>161</v>
      </c>
    </row>
    <row r="829">
      <c r="H829" s="252" t="s">
        <v>161</v>
      </c>
    </row>
    <row r="830">
      <c r="H830" s="252" t="s">
        <v>161</v>
      </c>
    </row>
    <row r="831">
      <c r="H831" s="252" t="s">
        <v>161</v>
      </c>
    </row>
    <row r="832">
      <c r="H832" s="252" t="s">
        <v>161</v>
      </c>
    </row>
    <row r="833">
      <c r="H833" s="252" t="s">
        <v>161</v>
      </c>
    </row>
    <row r="834">
      <c r="H834" s="252" t="s">
        <v>161</v>
      </c>
    </row>
    <row r="835">
      <c r="H835" s="252" t="s">
        <v>161</v>
      </c>
    </row>
    <row r="836">
      <c r="H836" s="252" t="s">
        <v>161</v>
      </c>
    </row>
    <row r="837">
      <c r="H837" s="252" t="s">
        <v>161</v>
      </c>
    </row>
    <row r="838">
      <c r="H838" s="252" t="s">
        <v>161</v>
      </c>
    </row>
    <row r="839">
      <c r="H839" s="252" t="s">
        <v>161</v>
      </c>
    </row>
    <row r="840">
      <c r="H840" s="252" t="s">
        <v>161</v>
      </c>
    </row>
    <row r="841">
      <c r="H841" s="252" t="s">
        <v>161</v>
      </c>
    </row>
    <row r="842">
      <c r="H842" s="252" t="s">
        <v>161</v>
      </c>
    </row>
    <row r="843">
      <c r="H843" s="252" t="s">
        <v>161</v>
      </c>
    </row>
    <row r="844">
      <c r="H844" s="252" t="s">
        <v>161</v>
      </c>
    </row>
    <row r="845">
      <c r="H845" s="252" t="s">
        <v>161</v>
      </c>
    </row>
    <row r="846">
      <c r="H846" s="252" t="s">
        <v>161</v>
      </c>
    </row>
    <row r="847">
      <c r="H847" s="252" t="s">
        <v>161</v>
      </c>
    </row>
    <row r="848">
      <c r="H848" s="252" t="s">
        <v>161</v>
      </c>
    </row>
    <row r="849">
      <c r="H849" s="252" t="s">
        <v>161</v>
      </c>
    </row>
    <row r="850">
      <c r="H850" s="252" t="s">
        <v>161</v>
      </c>
    </row>
    <row r="851">
      <c r="H851" s="252" t="s">
        <v>161</v>
      </c>
    </row>
    <row r="852">
      <c r="H852" s="252" t="s">
        <v>161</v>
      </c>
    </row>
    <row r="853">
      <c r="H853" s="252" t="s">
        <v>161</v>
      </c>
    </row>
    <row r="854">
      <c r="H854" s="252" t="s">
        <v>161</v>
      </c>
    </row>
    <row r="855">
      <c r="H855" s="252" t="s">
        <v>161</v>
      </c>
    </row>
    <row r="856">
      <c r="H856" s="252" t="s">
        <v>161</v>
      </c>
    </row>
    <row r="857">
      <c r="H857" s="252" t="s">
        <v>161</v>
      </c>
    </row>
    <row r="858">
      <c r="H858" s="252" t="s">
        <v>161</v>
      </c>
    </row>
    <row r="859">
      <c r="H859" s="252" t="s">
        <v>161</v>
      </c>
    </row>
    <row r="860">
      <c r="H860" s="252" t="s">
        <v>161</v>
      </c>
    </row>
    <row r="861">
      <c r="H861" s="252" t="s">
        <v>161</v>
      </c>
    </row>
    <row r="862">
      <c r="H862" s="252" t="s">
        <v>161</v>
      </c>
    </row>
    <row r="863">
      <c r="H863" s="252" t="s">
        <v>161</v>
      </c>
    </row>
    <row r="864">
      <c r="H864" s="252" t="s">
        <v>161</v>
      </c>
    </row>
    <row r="865">
      <c r="H865" s="252" t="s">
        <v>161</v>
      </c>
    </row>
    <row r="866">
      <c r="H866" s="252" t="s">
        <v>161</v>
      </c>
    </row>
    <row r="867">
      <c r="H867" s="252" t="s">
        <v>161</v>
      </c>
    </row>
    <row r="868">
      <c r="H868" s="252" t="s">
        <v>161</v>
      </c>
    </row>
    <row r="869">
      <c r="H869" s="252" t="s">
        <v>161</v>
      </c>
    </row>
    <row r="870">
      <c r="H870" s="252" t="s">
        <v>161</v>
      </c>
    </row>
    <row r="871">
      <c r="H871" s="252" t="s">
        <v>161</v>
      </c>
    </row>
    <row r="872">
      <c r="H872" s="252" t="s">
        <v>161</v>
      </c>
    </row>
    <row r="873">
      <c r="H873" s="252" t="s">
        <v>161</v>
      </c>
    </row>
    <row r="874">
      <c r="H874" s="252" t="s">
        <v>161</v>
      </c>
    </row>
    <row r="875">
      <c r="H875" s="252" t="s">
        <v>161</v>
      </c>
    </row>
    <row r="876">
      <c r="H876" s="252" t="s">
        <v>161</v>
      </c>
    </row>
    <row r="877">
      <c r="H877" s="252" t="s">
        <v>161</v>
      </c>
    </row>
    <row r="878">
      <c r="H878" s="252" t="s">
        <v>161</v>
      </c>
    </row>
    <row r="879">
      <c r="H879" s="252" t="s">
        <v>161</v>
      </c>
    </row>
    <row r="880">
      <c r="H880" s="252" t="s">
        <v>161</v>
      </c>
    </row>
    <row r="881">
      <c r="H881" s="252" t="s">
        <v>161</v>
      </c>
    </row>
    <row r="882">
      <c r="H882" s="252" t="s">
        <v>161</v>
      </c>
    </row>
    <row r="883">
      <c r="H883" s="252" t="s">
        <v>161</v>
      </c>
    </row>
    <row r="884">
      <c r="H884" s="252" t="s">
        <v>161</v>
      </c>
    </row>
    <row r="885">
      <c r="H885" s="252" t="s">
        <v>161</v>
      </c>
    </row>
    <row r="886">
      <c r="H886" s="252" t="s">
        <v>161</v>
      </c>
    </row>
    <row r="887">
      <c r="H887" s="252" t="s">
        <v>161</v>
      </c>
    </row>
    <row r="888">
      <c r="H888" s="252" t="s">
        <v>161</v>
      </c>
    </row>
    <row r="889">
      <c r="H889" s="252" t="s">
        <v>161</v>
      </c>
    </row>
    <row r="890">
      <c r="H890" s="252" t="s">
        <v>161</v>
      </c>
    </row>
    <row r="891">
      <c r="H891" s="252" t="s">
        <v>161</v>
      </c>
    </row>
    <row r="892">
      <c r="H892" s="252" t="s">
        <v>161</v>
      </c>
    </row>
    <row r="893">
      <c r="H893" s="252" t="s">
        <v>161</v>
      </c>
    </row>
    <row r="894">
      <c r="H894" s="252" t="s">
        <v>161</v>
      </c>
    </row>
    <row r="895">
      <c r="H895" s="252" t="s">
        <v>161</v>
      </c>
    </row>
    <row r="896">
      <c r="H896" s="252" t="s">
        <v>161</v>
      </c>
    </row>
    <row r="897">
      <c r="H897" s="252" t="s">
        <v>161</v>
      </c>
    </row>
    <row r="898">
      <c r="H898" s="252" t="s">
        <v>161</v>
      </c>
    </row>
    <row r="899">
      <c r="H899" s="252" t="s">
        <v>161</v>
      </c>
    </row>
    <row r="900">
      <c r="H900" s="252" t="s">
        <v>161</v>
      </c>
    </row>
    <row r="901">
      <c r="H901" s="252" t="s">
        <v>161</v>
      </c>
    </row>
    <row r="902">
      <c r="H902" s="252" t="s">
        <v>161</v>
      </c>
    </row>
    <row r="903">
      <c r="H903" s="252" t="s">
        <v>161</v>
      </c>
    </row>
    <row r="904">
      <c r="H904" s="252" t="s">
        <v>161</v>
      </c>
    </row>
    <row r="905">
      <c r="H905" s="252" t="s">
        <v>161</v>
      </c>
    </row>
    <row r="906">
      <c r="H906" s="252" t="s">
        <v>161</v>
      </c>
    </row>
    <row r="907">
      <c r="H907" s="252" t="s">
        <v>161</v>
      </c>
    </row>
    <row r="908">
      <c r="H908" s="252" t="s">
        <v>161</v>
      </c>
    </row>
    <row r="909">
      <c r="H909" s="252" t="s">
        <v>161</v>
      </c>
    </row>
    <row r="910">
      <c r="H910" s="252" t="s">
        <v>161</v>
      </c>
    </row>
    <row r="911">
      <c r="H911" s="252" t="s">
        <v>161</v>
      </c>
    </row>
    <row r="912">
      <c r="H912" s="252" t="s">
        <v>161</v>
      </c>
    </row>
    <row r="913">
      <c r="H913" s="252" t="s">
        <v>161</v>
      </c>
    </row>
    <row r="914">
      <c r="H914" s="252" t="s">
        <v>161</v>
      </c>
    </row>
    <row r="915">
      <c r="H915" s="252" t="s">
        <v>161</v>
      </c>
    </row>
    <row r="916">
      <c r="H916" s="252" t="s">
        <v>161</v>
      </c>
    </row>
    <row r="917">
      <c r="H917" s="252" t="s">
        <v>161</v>
      </c>
    </row>
    <row r="918">
      <c r="H918" s="252" t="s">
        <v>161</v>
      </c>
    </row>
    <row r="919">
      <c r="H919" s="252" t="s">
        <v>161</v>
      </c>
    </row>
    <row r="920">
      <c r="H920" s="252" t="s">
        <v>161</v>
      </c>
    </row>
    <row r="921">
      <c r="H921" s="252" t="s">
        <v>161</v>
      </c>
    </row>
    <row r="922">
      <c r="H922" s="252" t="s">
        <v>161</v>
      </c>
    </row>
    <row r="923">
      <c r="H923" s="252" t="s">
        <v>161</v>
      </c>
    </row>
    <row r="924">
      <c r="H924" s="252" t="s">
        <v>161</v>
      </c>
    </row>
    <row r="925">
      <c r="H925" s="252" t="s">
        <v>161</v>
      </c>
    </row>
    <row r="926">
      <c r="H926" s="252" t="s">
        <v>161</v>
      </c>
    </row>
    <row r="927">
      <c r="H927" s="252" t="s">
        <v>161</v>
      </c>
    </row>
    <row r="928">
      <c r="H928" s="252" t="s">
        <v>161</v>
      </c>
    </row>
    <row r="929">
      <c r="H929" s="252" t="s">
        <v>161</v>
      </c>
    </row>
    <row r="930">
      <c r="H930" s="252" t="s">
        <v>161</v>
      </c>
    </row>
    <row r="931">
      <c r="H931" s="252" t="s">
        <v>161</v>
      </c>
    </row>
    <row r="932">
      <c r="H932" s="252" t="s">
        <v>161</v>
      </c>
    </row>
    <row r="933">
      <c r="H933" s="252" t="s">
        <v>161</v>
      </c>
    </row>
    <row r="934">
      <c r="H934" s="252" t="s">
        <v>161</v>
      </c>
    </row>
    <row r="935">
      <c r="H935" s="252" t="s">
        <v>161</v>
      </c>
    </row>
    <row r="936">
      <c r="H936" s="252" t="s">
        <v>161</v>
      </c>
    </row>
    <row r="937">
      <c r="H937" s="252" t="s">
        <v>161</v>
      </c>
    </row>
    <row r="938">
      <c r="H938" s="252" t="s">
        <v>161</v>
      </c>
    </row>
    <row r="939">
      <c r="H939" s="252" t="s">
        <v>161</v>
      </c>
    </row>
    <row r="940">
      <c r="H940" s="252" t="s">
        <v>161</v>
      </c>
    </row>
    <row r="941">
      <c r="H941" s="252" t="s">
        <v>161</v>
      </c>
    </row>
    <row r="942">
      <c r="H942" s="252" t="s">
        <v>161</v>
      </c>
    </row>
    <row r="943">
      <c r="H943" s="252" t="s">
        <v>161</v>
      </c>
    </row>
    <row r="944">
      <c r="H944" s="252" t="s">
        <v>161</v>
      </c>
    </row>
    <row r="945">
      <c r="H945" s="252" t="s">
        <v>161</v>
      </c>
    </row>
    <row r="946">
      <c r="H946" s="252" t="s">
        <v>161</v>
      </c>
    </row>
    <row r="947">
      <c r="H947" s="252" t="s">
        <v>161</v>
      </c>
    </row>
    <row r="948">
      <c r="H948" s="252" t="s">
        <v>161</v>
      </c>
    </row>
    <row r="949">
      <c r="H949" s="252" t="s">
        <v>161</v>
      </c>
    </row>
    <row r="950">
      <c r="H950" s="252" t="s">
        <v>161</v>
      </c>
    </row>
    <row r="951">
      <c r="H951" s="252" t="s">
        <v>161</v>
      </c>
    </row>
    <row r="952">
      <c r="H952" s="252" t="s">
        <v>161</v>
      </c>
    </row>
    <row r="953">
      <c r="H953" s="252" t="s">
        <v>161</v>
      </c>
    </row>
    <row r="954">
      <c r="H954" s="252" t="s">
        <v>161</v>
      </c>
    </row>
    <row r="955">
      <c r="H955" s="252" t="s">
        <v>161</v>
      </c>
    </row>
    <row r="956">
      <c r="H956" s="252" t="s">
        <v>161</v>
      </c>
    </row>
    <row r="957">
      <c r="H957" s="252" t="s">
        <v>161</v>
      </c>
    </row>
    <row r="958">
      <c r="H958" s="252" t="s">
        <v>161</v>
      </c>
    </row>
    <row r="959">
      <c r="H959" s="252" t="s">
        <v>161</v>
      </c>
    </row>
    <row r="960">
      <c r="H960" s="252" t="s">
        <v>161</v>
      </c>
    </row>
    <row r="961">
      <c r="H961" s="252" t="s">
        <v>161</v>
      </c>
    </row>
    <row r="962">
      <c r="H962" s="252" t="s">
        <v>161</v>
      </c>
    </row>
    <row r="963">
      <c r="H963" s="252" t="s">
        <v>161</v>
      </c>
    </row>
    <row r="964">
      <c r="H964" s="252" t="s">
        <v>161</v>
      </c>
    </row>
    <row r="965">
      <c r="H965" s="252" t="s">
        <v>161</v>
      </c>
    </row>
    <row r="966">
      <c r="H966" s="252" t="s">
        <v>161</v>
      </c>
    </row>
    <row r="967">
      <c r="H967" s="252" t="s">
        <v>161</v>
      </c>
    </row>
    <row r="968">
      <c r="H968" s="252" t="s">
        <v>161</v>
      </c>
    </row>
    <row r="969">
      <c r="H969" s="252" t="s">
        <v>161</v>
      </c>
    </row>
    <row r="970">
      <c r="H970" s="252" t="s">
        <v>161</v>
      </c>
    </row>
    <row r="971">
      <c r="H971" s="252" t="s">
        <v>161</v>
      </c>
    </row>
    <row r="972">
      <c r="H972" s="252" t="s">
        <v>161</v>
      </c>
    </row>
    <row r="973">
      <c r="H973" s="252" t="s">
        <v>161</v>
      </c>
    </row>
    <row r="974">
      <c r="H974" s="252" t="s">
        <v>161</v>
      </c>
    </row>
    <row r="975">
      <c r="H975" s="252" t="s">
        <v>161</v>
      </c>
    </row>
    <row r="976">
      <c r="H976" s="252" t="s">
        <v>161</v>
      </c>
    </row>
    <row r="977">
      <c r="H977" s="252" t="s">
        <v>161</v>
      </c>
    </row>
    <row r="978">
      <c r="H978" s="252" t="s">
        <v>161</v>
      </c>
    </row>
    <row r="979">
      <c r="H979" s="252" t="s">
        <v>161</v>
      </c>
    </row>
    <row r="980">
      <c r="H980" s="252" t="s">
        <v>161</v>
      </c>
    </row>
    <row r="981">
      <c r="H981" s="252" t="s">
        <v>161</v>
      </c>
    </row>
    <row r="982">
      <c r="H982" s="252" t="s">
        <v>161</v>
      </c>
    </row>
    <row r="983">
      <c r="H983" s="252" t="s">
        <v>161</v>
      </c>
    </row>
    <row r="984">
      <c r="H984" s="252" t="s">
        <v>161</v>
      </c>
    </row>
    <row r="985">
      <c r="H985" s="252" t="s">
        <v>161</v>
      </c>
    </row>
    <row r="986">
      <c r="H986" s="252" t="s">
        <v>161</v>
      </c>
    </row>
    <row r="987">
      <c r="H987" s="252" t="s">
        <v>161</v>
      </c>
    </row>
    <row r="988">
      <c r="H988" s="252" t="s">
        <v>161</v>
      </c>
    </row>
    <row r="989">
      <c r="H989" s="252" t="s">
        <v>161</v>
      </c>
    </row>
    <row r="990">
      <c r="H990" s="252" t="s">
        <v>161</v>
      </c>
    </row>
    <row r="991">
      <c r="H991" s="252" t="s">
        <v>161</v>
      </c>
    </row>
    <row r="992">
      <c r="H992" s="252" t="s">
        <v>161</v>
      </c>
    </row>
    <row r="993">
      <c r="H993" s="252" t="s">
        <v>161</v>
      </c>
    </row>
    <row r="994">
      <c r="H994" s="252" t="s">
        <v>161</v>
      </c>
    </row>
    <row r="995">
      <c r="H995" s="252" t="s">
        <v>161</v>
      </c>
    </row>
    <row r="996">
      <c r="H996" s="252" t="s">
        <v>161</v>
      </c>
    </row>
    <row r="997">
      <c r="H997" s="252" t="s">
        <v>161</v>
      </c>
    </row>
    <row r="998">
      <c r="H998" s="252" t="s">
        <v>161</v>
      </c>
    </row>
    <row r="999">
      <c r="H999" s="252" t="s">
        <v>161</v>
      </c>
    </row>
    <row r="1000">
      <c r="H1000" s="252" t="s">
        <v>161</v>
      </c>
    </row>
  </sheetData>
  <autoFilter ref="$A$2:$AA$6"/>
  <mergeCells count="4">
    <mergeCell ref="L1:O1"/>
    <mergeCell ref="P1:S1"/>
    <mergeCell ref="T1:W1"/>
    <mergeCell ref="X1:AA1"/>
  </mergeCells>
  <conditionalFormatting sqref="O3:O6">
    <cfRule type="cellIs" dxfId="0" priority="1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25"/>
    <col customWidth="1" min="2" max="2" width="23.88"/>
    <col customWidth="1" min="3" max="3" width="14.75"/>
    <col customWidth="1" min="4" max="4" width="16.5"/>
    <col customWidth="1" min="6" max="6" width="13.0"/>
    <col customWidth="1" min="7" max="7" width="7.5"/>
    <col customWidth="1" min="8" max="8" width="9.5"/>
    <col customWidth="1" min="10" max="11" width="12.13"/>
    <col customWidth="1" min="12" max="12" width="15.63"/>
    <col customWidth="1" min="16" max="16" width="7.13"/>
  </cols>
  <sheetData>
    <row r="1">
      <c r="A1" s="713">
        <v>8.0</v>
      </c>
      <c r="B1" s="714"/>
      <c r="C1" s="714"/>
      <c r="D1" s="714"/>
      <c r="E1" s="714"/>
      <c r="F1" s="714"/>
      <c r="G1" s="714"/>
      <c r="H1" s="715"/>
      <c r="I1" s="716"/>
      <c r="J1" s="716"/>
      <c r="K1" s="716"/>
      <c r="L1" s="716"/>
      <c r="M1" s="717" t="s">
        <v>0</v>
      </c>
      <c r="N1" s="718"/>
      <c r="O1" s="718"/>
      <c r="P1" s="719"/>
      <c r="Q1" s="720" t="s">
        <v>536</v>
      </c>
      <c r="R1" s="718"/>
      <c r="S1" s="718"/>
      <c r="T1" s="718"/>
      <c r="U1" s="720" t="s">
        <v>429</v>
      </c>
      <c r="V1" s="718"/>
      <c r="W1" s="718"/>
      <c r="X1" s="718"/>
      <c r="Y1" s="720" t="s">
        <v>503</v>
      </c>
      <c r="Z1" s="718"/>
      <c r="AA1" s="718"/>
      <c r="AB1" s="718"/>
      <c r="AC1" s="718"/>
      <c r="AD1" s="721" t="s">
        <v>537</v>
      </c>
      <c r="AE1" s="718"/>
      <c r="AF1" s="718"/>
      <c r="AG1" s="718"/>
      <c r="AH1" s="721" t="s">
        <v>538</v>
      </c>
      <c r="AI1" s="718"/>
      <c r="AJ1" s="718"/>
      <c r="AK1" s="718"/>
      <c r="AL1" s="600"/>
      <c r="AM1" s="600"/>
      <c r="AN1" s="600"/>
      <c r="AO1" s="600"/>
      <c r="AP1" s="600"/>
      <c r="AQ1" s="600"/>
      <c r="AR1" s="600"/>
      <c r="AS1" s="600"/>
      <c r="AT1" s="600"/>
      <c r="AU1" s="600"/>
      <c r="AV1" s="600"/>
      <c r="AW1" s="600"/>
    </row>
    <row r="2">
      <c r="A2" s="557" t="s">
        <v>4</v>
      </c>
      <c r="B2" s="557" t="s">
        <v>351</v>
      </c>
      <c r="C2" s="557" t="s">
        <v>6</v>
      </c>
      <c r="D2" s="557" t="s">
        <v>171</v>
      </c>
      <c r="E2" s="557" t="s">
        <v>170</v>
      </c>
      <c r="F2" s="722" t="s">
        <v>7</v>
      </c>
      <c r="G2" s="723" t="s">
        <v>8</v>
      </c>
      <c r="H2" s="724" t="s">
        <v>9</v>
      </c>
      <c r="I2" s="264" t="s">
        <v>172</v>
      </c>
      <c r="J2" s="264" t="s">
        <v>11</v>
      </c>
      <c r="K2" s="264" t="s">
        <v>173</v>
      </c>
      <c r="L2" s="725" t="s">
        <v>539</v>
      </c>
      <c r="M2" s="726" t="s">
        <v>174</v>
      </c>
      <c r="N2" s="726" t="s">
        <v>14</v>
      </c>
      <c r="O2" s="726" t="s">
        <v>540</v>
      </c>
      <c r="P2" s="727" t="s">
        <v>16</v>
      </c>
      <c r="Q2" s="728" t="s">
        <v>174</v>
      </c>
      <c r="R2" s="729" t="s">
        <v>14</v>
      </c>
      <c r="S2" s="729" t="s">
        <v>540</v>
      </c>
      <c r="T2" s="730"/>
      <c r="U2" s="731" t="s">
        <v>174</v>
      </c>
      <c r="V2" s="732" t="s">
        <v>14</v>
      </c>
      <c r="W2" s="732" t="s">
        <v>15</v>
      </c>
      <c r="X2" s="733"/>
      <c r="Y2" s="734" t="s">
        <v>174</v>
      </c>
      <c r="Z2" s="735" t="s">
        <v>174</v>
      </c>
      <c r="AA2" s="736" t="s">
        <v>14</v>
      </c>
      <c r="AB2" s="736" t="s">
        <v>15</v>
      </c>
      <c r="AC2" s="737"/>
      <c r="AD2" s="738" t="s">
        <v>174</v>
      </c>
      <c r="AE2" s="739" t="s">
        <v>14</v>
      </c>
      <c r="AF2" s="739" t="s">
        <v>15</v>
      </c>
      <c r="AG2" s="740"/>
      <c r="AH2" s="605" t="s">
        <v>174</v>
      </c>
      <c r="AI2" s="741" t="s">
        <v>14</v>
      </c>
      <c r="AJ2" s="741" t="s">
        <v>15</v>
      </c>
      <c r="AK2" s="742"/>
      <c r="AL2" s="596"/>
      <c r="AM2" s="594" t="s">
        <v>18</v>
      </c>
      <c r="AN2" s="596"/>
      <c r="AO2" s="596"/>
      <c r="AP2" s="596"/>
      <c r="AQ2" s="596"/>
      <c r="AR2" s="596"/>
      <c r="AS2" s="596"/>
      <c r="AT2" s="596"/>
      <c r="AU2" s="596"/>
      <c r="AV2" s="596"/>
      <c r="AW2" s="596"/>
    </row>
    <row r="3">
      <c r="A3" s="743" t="s">
        <v>541</v>
      </c>
      <c r="B3" s="743" t="s">
        <v>542</v>
      </c>
      <c r="C3" s="743"/>
      <c r="D3" s="743"/>
      <c r="E3" s="743"/>
      <c r="F3" s="278"/>
      <c r="G3" s="278" t="s">
        <v>96</v>
      </c>
      <c r="H3" s="319" t="str">
        <f t="array" ref="H3:H1000">IF(A3:A1000="", "", 
  IF(G3:G1000="KM", 
    IFERROR(VLOOKUP(A3:A1000, DATA_LIMPIA!A:C, 3, FALSE), "Sin Datos"), 
    IFERROR(VLOOKUP(A3:A1000, DATA_LIMPIA!A:C, 2, FALSE), "Sin Datos")
  )
)</f>
        <v>Sin Datos</v>
      </c>
      <c r="I3" s="744"/>
      <c r="J3" s="744"/>
      <c r="K3" s="744"/>
      <c r="L3" s="744"/>
      <c r="M3" s="745"/>
      <c r="N3" s="746"/>
      <c r="O3" s="746"/>
      <c r="P3" s="746" t="str">
        <f t="array" ref="P3:P4">IF(A3:A1000="", "", 
  IF(G3:G1000="KM", 
    IFERROR(VLOOKUP(A3:A1000, DATA_LIMPIA!A:C, 3, FALSE), "Sin Datos"), 
    IFERROR(VLOOKUP(A3:A1000, DATA_LIMPIA!A:C, 2, FALSE), "Sin Datos")
  )
)</f>
        <v>#REF!</v>
      </c>
      <c r="Q3" s="747"/>
      <c r="R3" s="748"/>
      <c r="S3" s="748"/>
      <c r="T3" s="749"/>
      <c r="U3" s="750"/>
      <c r="V3" s="751"/>
      <c r="W3" s="751"/>
      <c r="X3" s="751"/>
      <c r="Y3" s="752"/>
      <c r="Z3" s="753"/>
      <c r="AA3" s="754"/>
      <c r="AB3" s="754"/>
      <c r="AC3" s="752"/>
      <c r="AD3" s="755"/>
      <c r="AE3" s="756"/>
      <c r="AF3" s="756"/>
      <c r="AG3" s="756"/>
      <c r="AH3" s="323"/>
      <c r="AI3" s="319"/>
      <c r="AJ3" s="319"/>
      <c r="AK3" s="319"/>
      <c r="AL3" s="258"/>
      <c r="AM3" s="258"/>
      <c r="AN3" s="258"/>
      <c r="AO3" s="258"/>
      <c r="AP3" s="258"/>
      <c r="AQ3" s="258"/>
      <c r="AR3" s="258"/>
      <c r="AS3" s="258"/>
      <c r="AT3" s="258"/>
      <c r="AU3" s="258"/>
      <c r="AV3" s="258"/>
      <c r="AW3" s="258"/>
    </row>
    <row r="4">
      <c r="A4" s="743"/>
      <c r="B4" s="743" t="s">
        <v>543</v>
      </c>
      <c r="C4" s="743"/>
      <c r="D4" s="743"/>
      <c r="E4" s="743"/>
      <c r="F4" s="278"/>
      <c r="G4" s="278" t="s">
        <v>96</v>
      </c>
      <c r="H4" s="541" t="s">
        <v>161</v>
      </c>
      <c r="I4" s="757"/>
      <c r="J4" s="757"/>
      <c r="K4" s="757"/>
      <c r="L4" s="758" t="s">
        <v>544</v>
      </c>
      <c r="M4" s="759">
        <v>45139.0</v>
      </c>
      <c r="N4" s="760">
        <v>0.0</v>
      </c>
      <c r="O4" s="760">
        <f>N4+250</f>
        <v>250</v>
      </c>
      <c r="P4" s="760">
        <f t="shared" ref="P4:P11" si="1">O4-H4</f>
        <v>250</v>
      </c>
      <c r="Q4" s="761"/>
      <c r="R4" s="762"/>
      <c r="S4" s="762"/>
      <c r="T4" s="763"/>
      <c r="U4" s="764"/>
      <c r="V4" s="765"/>
      <c r="W4" s="765"/>
      <c r="X4" s="765"/>
      <c r="Y4" s="766"/>
      <c r="Z4" s="767"/>
      <c r="AA4" s="768"/>
      <c r="AB4" s="768"/>
      <c r="AC4" s="766"/>
      <c r="AD4" s="769"/>
      <c r="AE4" s="770"/>
      <c r="AF4" s="770"/>
      <c r="AG4" s="770"/>
      <c r="AH4" s="689"/>
      <c r="AI4" s="325"/>
      <c r="AJ4" s="325"/>
      <c r="AK4" s="325"/>
      <c r="AL4" s="596"/>
      <c r="AM4" s="596"/>
      <c r="AN4" s="596"/>
      <c r="AO4" s="596"/>
      <c r="AP4" s="596"/>
      <c r="AQ4" s="596"/>
      <c r="AR4" s="596"/>
      <c r="AS4" s="596"/>
      <c r="AT4" s="596"/>
      <c r="AU4" s="596"/>
      <c r="AV4" s="596"/>
      <c r="AW4" s="596"/>
    </row>
    <row r="5">
      <c r="A5" s="743" t="s">
        <v>545</v>
      </c>
      <c r="B5" s="743" t="s">
        <v>546</v>
      </c>
      <c r="C5" s="771" t="s">
        <v>379</v>
      </c>
      <c r="D5" s="772" t="s">
        <v>547</v>
      </c>
      <c r="E5" s="773" t="s">
        <v>548</v>
      </c>
      <c r="F5" s="278" t="s">
        <v>37</v>
      </c>
      <c r="G5" s="278" t="s">
        <v>96</v>
      </c>
      <c r="H5" s="576">
        <v>738.0</v>
      </c>
      <c r="I5" s="757"/>
      <c r="J5" s="757"/>
      <c r="K5" s="757"/>
      <c r="L5" s="758" t="s">
        <v>544</v>
      </c>
      <c r="M5" s="774">
        <v>45881.0</v>
      </c>
      <c r="N5" s="775">
        <v>489.0</v>
      </c>
      <c r="O5" s="760">
        <f t="shared" ref="O5:O11" si="2">N5+350</f>
        <v>839</v>
      </c>
      <c r="P5" s="760">
        <f t="shared" si="1"/>
        <v>101</v>
      </c>
      <c r="Q5" s="747"/>
      <c r="R5" s="748"/>
      <c r="S5" s="748"/>
      <c r="T5" s="749"/>
      <c r="U5" s="750"/>
      <c r="V5" s="751"/>
      <c r="W5" s="751"/>
      <c r="X5" s="751"/>
      <c r="Y5" s="752"/>
      <c r="Z5" s="753"/>
      <c r="AA5" s="754"/>
      <c r="AB5" s="754"/>
      <c r="AC5" s="752"/>
      <c r="AD5" s="755"/>
      <c r="AE5" s="756"/>
      <c r="AF5" s="756"/>
      <c r="AG5" s="756"/>
      <c r="AH5" s="323"/>
      <c r="AI5" s="319"/>
      <c r="AJ5" s="319"/>
      <c r="AK5" s="319"/>
      <c r="AL5" s="258"/>
      <c r="AM5" s="258"/>
      <c r="AN5" s="258"/>
      <c r="AO5" s="258"/>
      <c r="AP5" s="258"/>
      <c r="AQ5" s="258"/>
      <c r="AR5" s="258"/>
      <c r="AS5" s="258"/>
      <c r="AT5" s="258"/>
      <c r="AU5" s="258"/>
      <c r="AV5" s="258"/>
      <c r="AW5" s="426">
        <v>15.0</v>
      </c>
    </row>
    <row r="6">
      <c r="A6" s="743" t="s">
        <v>549</v>
      </c>
      <c r="B6" s="743" t="s">
        <v>546</v>
      </c>
      <c r="C6" s="776" t="s">
        <v>550</v>
      </c>
      <c r="D6" s="771" t="s">
        <v>551</v>
      </c>
      <c r="E6" s="743"/>
      <c r="F6" s="278"/>
      <c r="G6" s="278" t="s">
        <v>96</v>
      </c>
      <c r="H6" s="578">
        <v>22330.0</v>
      </c>
      <c r="I6" s="757"/>
      <c r="J6" s="757"/>
      <c r="K6" s="757"/>
      <c r="L6" s="758" t="s">
        <v>552</v>
      </c>
      <c r="M6" s="774">
        <v>45791.0</v>
      </c>
      <c r="N6" s="775">
        <v>22027.0</v>
      </c>
      <c r="O6" s="760">
        <f t="shared" si="2"/>
        <v>22377</v>
      </c>
      <c r="P6" s="760">
        <f t="shared" si="1"/>
        <v>47</v>
      </c>
      <c r="Q6" s="777">
        <v>45791.0</v>
      </c>
      <c r="R6" s="778">
        <v>21605.0</v>
      </c>
      <c r="S6" s="779">
        <f>R6+2000</f>
        <v>23605</v>
      </c>
      <c r="T6" s="780">
        <f>S6-H6</f>
        <v>1275</v>
      </c>
      <c r="U6" s="781">
        <v>45791.0</v>
      </c>
      <c r="V6" s="782">
        <v>21605.0</v>
      </c>
      <c r="W6" s="751"/>
      <c r="X6" s="751"/>
      <c r="Y6" s="752"/>
      <c r="Z6" s="753"/>
      <c r="AA6" s="754"/>
      <c r="AB6" s="754"/>
      <c r="AC6" s="752"/>
      <c r="AD6" s="783">
        <v>45791.0</v>
      </c>
      <c r="AE6" s="784">
        <v>21605.0</v>
      </c>
      <c r="AF6" s="756"/>
      <c r="AG6" s="756"/>
      <c r="AH6" s="785">
        <v>45791.0</v>
      </c>
      <c r="AI6" s="320">
        <v>21605.0</v>
      </c>
      <c r="AJ6" s="319"/>
      <c r="AK6" s="319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</row>
    <row r="7">
      <c r="A7" s="743" t="s">
        <v>553</v>
      </c>
      <c r="B7" s="743" t="s">
        <v>546</v>
      </c>
      <c r="C7" s="776" t="s">
        <v>550</v>
      </c>
      <c r="D7" s="776" t="s">
        <v>551</v>
      </c>
      <c r="E7" s="743"/>
      <c r="F7" s="278"/>
      <c r="G7" s="278"/>
      <c r="H7" s="578">
        <v>4864.0</v>
      </c>
      <c r="I7" s="757"/>
      <c r="J7" s="757"/>
      <c r="K7" s="757"/>
      <c r="L7" s="758" t="s">
        <v>552</v>
      </c>
      <c r="M7" s="774">
        <v>46065.0</v>
      </c>
      <c r="N7" s="775">
        <v>4824.0</v>
      </c>
      <c r="O7" s="760">
        <f t="shared" si="2"/>
        <v>5174</v>
      </c>
      <c r="P7" s="760">
        <f t="shared" si="1"/>
        <v>310</v>
      </c>
      <c r="Q7" s="747"/>
      <c r="R7" s="778"/>
      <c r="S7" s="779"/>
      <c r="T7" s="780"/>
      <c r="U7" s="786"/>
      <c r="V7" s="751"/>
      <c r="W7" s="751"/>
      <c r="X7" s="751"/>
      <c r="Y7" s="752"/>
      <c r="Z7" s="753"/>
      <c r="AA7" s="754"/>
      <c r="AB7" s="754"/>
      <c r="AC7" s="752"/>
      <c r="AD7" s="787"/>
      <c r="AE7" s="756"/>
      <c r="AF7" s="756"/>
      <c r="AG7" s="756"/>
      <c r="AH7" s="324"/>
      <c r="AI7" s="319"/>
      <c r="AJ7" s="319"/>
      <c r="AK7" s="319"/>
      <c r="AL7" s="258"/>
      <c r="AM7" s="258"/>
      <c r="AN7" s="258"/>
      <c r="AO7" s="258"/>
      <c r="AP7" s="258"/>
      <c r="AQ7" s="258"/>
      <c r="AR7" s="258"/>
      <c r="AS7" s="258"/>
      <c r="AT7" s="258"/>
      <c r="AU7" s="258"/>
      <c r="AV7" s="258"/>
      <c r="AW7" s="258"/>
    </row>
    <row r="8">
      <c r="A8" s="743" t="s">
        <v>554</v>
      </c>
      <c r="B8" s="743" t="s">
        <v>546</v>
      </c>
      <c r="C8" s="776" t="s">
        <v>550</v>
      </c>
      <c r="D8" s="773" t="s">
        <v>555</v>
      </c>
      <c r="E8" s="743"/>
      <c r="F8" s="278"/>
      <c r="G8" s="278"/>
      <c r="H8" s="578">
        <v>2929.0</v>
      </c>
      <c r="I8" s="757"/>
      <c r="J8" s="757"/>
      <c r="K8" s="757"/>
      <c r="L8" s="758" t="s">
        <v>552</v>
      </c>
      <c r="M8" s="774">
        <v>46088.0</v>
      </c>
      <c r="N8" s="775">
        <v>2901.0</v>
      </c>
      <c r="O8" s="760">
        <f t="shared" si="2"/>
        <v>3251</v>
      </c>
      <c r="P8" s="760">
        <f t="shared" si="1"/>
        <v>322</v>
      </c>
      <c r="Q8" s="788">
        <v>45932.0</v>
      </c>
      <c r="R8" s="789">
        <v>2528.0</v>
      </c>
      <c r="S8" s="779">
        <f>R8+2000</f>
        <v>4528</v>
      </c>
      <c r="T8" s="780">
        <f>S8-H8</f>
        <v>1599</v>
      </c>
      <c r="U8" s="790"/>
      <c r="V8" s="782"/>
      <c r="W8" s="751"/>
      <c r="X8" s="751"/>
      <c r="Y8" s="791">
        <v>45932.0</v>
      </c>
      <c r="Z8" s="792">
        <v>2528.0</v>
      </c>
      <c r="AA8" s="754"/>
      <c r="AB8" s="754"/>
      <c r="AC8" s="793"/>
      <c r="AD8" s="794">
        <v>45932.0</v>
      </c>
      <c r="AE8" s="784">
        <v>2528.0</v>
      </c>
      <c r="AF8" s="756"/>
      <c r="AG8" s="756"/>
      <c r="AH8" s="324"/>
      <c r="AI8" s="319"/>
      <c r="AJ8" s="319"/>
      <c r="AK8" s="319"/>
      <c r="AL8" s="258"/>
      <c r="AM8" s="258"/>
      <c r="AN8" s="258"/>
      <c r="AO8" s="258"/>
      <c r="AP8" s="258"/>
      <c r="AQ8" s="258"/>
      <c r="AR8" s="258"/>
      <c r="AS8" s="258"/>
      <c r="AT8" s="258"/>
      <c r="AU8" s="258"/>
      <c r="AV8" s="258"/>
      <c r="AW8" s="258"/>
    </row>
    <row r="9">
      <c r="A9" s="743" t="s">
        <v>556</v>
      </c>
      <c r="B9" s="743" t="s">
        <v>557</v>
      </c>
      <c r="C9" s="743" t="s">
        <v>558</v>
      </c>
      <c r="D9" s="743" t="s">
        <v>559</v>
      </c>
      <c r="E9" s="743"/>
      <c r="F9" s="795"/>
      <c r="G9" s="795" t="s">
        <v>96</v>
      </c>
      <c r="H9" s="576">
        <v>1.0</v>
      </c>
      <c r="I9" s="757"/>
      <c r="J9" s="757"/>
      <c r="K9" s="757"/>
      <c r="L9" s="758" t="s">
        <v>560</v>
      </c>
      <c r="M9" s="759">
        <v>45351.0</v>
      </c>
      <c r="N9" s="760">
        <v>1657.0</v>
      </c>
      <c r="O9" s="760">
        <f t="shared" si="2"/>
        <v>2007</v>
      </c>
      <c r="P9" s="760">
        <f t="shared" si="1"/>
        <v>2006</v>
      </c>
      <c r="Q9" s="747"/>
      <c r="R9" s="748"/>
      <c r="S9" s="748"/>
      <c r="T9" s="749"/>
      <c r="U9" s="750"/>
      <c r="V9" s="751"/>
      <c r="W9" s="751"/>
      <c r="X9" s="751"/>
      <c r="Y9" s="752"/>
      <c r="Z9" s="753"/>
      <c r="AA9" s="754"/>
      <c r="AB9" s="754"/>
      <c r="AC9" s="793"/>
      <c r="AD9" s="755"/>
      <c r="AE9" s="756"/>
      <c r="AF9" s="756"/>
      <c r="AG9" s="756"/>
      <c r="AH9" s="323"/>
      <c r="AI9" s="319"/>
      <c r="AJ9" s="319"/>
      <c r="AK9" s="319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8"/>
    </row>
    <row r="10">
      <c r="A10" s="743" t="s">
        <v>561</v>
      </c>
      <c r="B10" s="743" t="s">
        <v>557</v>
      </c>
      <c r="C10" s="743" t="s">
        <v>562</v>
      </c>
      <c r="D10" s="743" t="s">
        <v>563</v>
      </c>
      <c r="E10" s="776" t="s">
        <v>564</v>
      </c>
      <c r="F10" s="795"/>
      <c r="G10" s="795" t="s">
        <v>96</v>
      </c>
      <c r="H10" s="576">
        <v>8195.0</v>
      </c>
      <c r="I10" s="757"/>
      <c r="J10" s="757"/>
      <c r="K10" s="757"/>
      <c r="L10" s="796" t="s">
        <v>565</v>
      </c>
      <c r="M10" s="774">
        <v>45922.0</v>
      </c>
      <c r="N10" s="775">
        <v>8146.0</v>
      </c>
      <c r="O10" s="760">
        <f t="shared" si="2"/>
        <v>8496</v>
      </c>
      <c r="P10" s="760">
        <f t="shared" si="1"/>
        <v>301</v>
      </c>
      <c r="Q10" s="747"/>
      <c r="R10" s="748"/>
      <c r="S10" s="748"/>
      <c r="T10" s="749"/>
      <c r="U10" s="750"/>
      <c r="V10" s="751"/>
      <c r="W10" s="751"/>
      <c r="X10" s="751"/>
      <c r="Y10" s="752"/>
      <c r="Z10" s="753"/>
      <c r="AA10" s="754"/>
      <c r="AB10" s="754"/>
      <c r="AC10" s="793"/>
      <c r="AD10" s="755"/>
      <c r="AE10" s="756"/>
      <c r="AF10" s="756"/>
      <c r="AG10" s="756"/>
      <c r="AH10" s="323"/>
      <c r="AI10" s="319"/>
      <c r="AJ10" s="319"/>
      <c r="AK10" s="319"/>
      <c r="AL10" s="258"/>
      <c r="AM10" s="258"/>
      <c r="AN10" s="258"/>
      <c r="AO10" s="258"/>
      <c r="AP10" s="258"/>
      <c r="AQ10" s="258"/>
      <c r="AR10" s="258"/>
      <c r="AS10" s="258"/>
      <c r="AT10" s="258"/>
      <c r="AU10" s="258"/>
      <c r="AV10" s="258"/>
      <c r="AW10" s="258"/>
    </row>
    <row r="11" ht="16.5" customHeight="1">
      <c r="A11" s="743" t="s">
        <v>566</v>
      </c>
      <c r="B11" s="743" t="s">
        <v>557</v>
      </c>
      <c r="C11" s="776" t="s">
        <v>567</v>
      </c>
      <c r="D11" s="776" t="s">
        <v>568</v>
      </c>
      <c r="E11" s="743"/>
      <c r="F11" s="278"/>
      <c r="G11" s="278"/>
      <c r="H11" s="320">
        <v>1198.0</v>
      </c>
      <c r="I11" s="744"/>
      <c r="J11" s="744"/>
      <c r="K11" s="744"/>
      <c r="L11" s="482" t="s">
        <v>565</v>
      </c>
      <c r="M11" s="774">
        <v>45923.0</v>
      </c>
      <c r="N11" s="775">
        <v>1198.0</v>
      </c>
      <c r="O11" s="760">
        <f t="shared" si="2"/>
        <v>1548</v>
      </c>
      <c r="P11" s="760">
        <f t="shared" si="1"/>
        <v>350</v>
      </c>
      <c r="Q11" s="747"/>
      <c r="R11" s="748"/>
      <c r="S11" s="748"/>
      <c r="T11" s="749"/>
      <c r="U11" s="750"/>
      <c r="V11" s="751"/>
      <c r="W11" s="751"/>
      <c r="X11" s="751"/>
      <c r="Y11" s="752"/>
      <c r="Z11" s="753"/>
      <c r="AA11" s="754"/>
      <c r="AB11" s="754"/>
      <c r="AC11" s="797"/>
      <c r="AD11" s="755"/>
      <c r="AE11" s="756"/>
      <c r="AF11" s="756"/>
      <c r="AG11" s="756"/>
      <c r="AH11" s="323"/>
      <c r="AI11" s="319"/>
      <c r="AJ11" s="319"/>
      <c r="AK11" s="319"/>
      <c r="AL11" s="258"/>
      <c r="AM11" s="258"/>
      <c r="AN11" s="258"/>
      <c r="AO11" s="258"/>
      <c r="AP11" s="258"/>
      <c r="AQ11" s="258"/>
      <c r="AR11" s="258"/>
      <c r="AS11" s="258"/>
      <c r="AT11" s="258"/>
      <c r="AU11" s="258"/>
      <c r="AV11" s="258"/>
      <c r="AW11" s="258"/>
    </row>
    <row r="12" ht="16.5" customHeight="1">
      <c r="A12" s="776" t="s">
        <v>569</v>
      </c>
      <c r="B12" s="743" t="s">
        <v>557</v>
      </c>
      <c r="C12" s="776" t="s">
        <v>567</v>
      </c>
      <c r="D12" s="776" t="s">
        <v>570</v>
      </c>
      <c r="E12" s="776" t="s">
        <v>571</v>
      </c>
      <c r="F12" s="278"/>
      <c r="G12" s="278"/>
      <c r="H12" s="320">
        <v>3003.0</v>
      </c>
      <c r="I12" s="744"/>
      <c r="J12" s="744"/>
      <c r="K12" s="744"/>
      <c r="L12" s="482" t="s">
        <v>572</v>
      </c>
      <c r="M12" s="745"/>
      <c r="N12" s="746"/>
      <c r="O12" s="746"/>
      <c r="P12" s="760"/>
      <c r="Q12" s="747"/>
      <c r="R12" s="748"/>
      <c r="S12" s="748"/>
      <c r="T12" s="749"/>
      <c r="U12" s="750"/>
      <c r="V12" s="751"/>
      <c r="W12" s="751"/>
      <c r="X12" s="751"/>
      <c r="Y12" s="752"/>
      <c r="Z12" s="753"/>
      <c r="AA12" s="754"/>
      <c r="AB12" s="754"/>
      <c r="AC12" s="797"/>
      <c r="AD12" s="755"/>
      <c r="AE12" s="756"/>
      <c r="AF12" s="756"/>
      <c r="AG12" s="756"/>
      <c r="AH12" s="323"/>
      <c r="AI12" s="319"/>
      <c r="AJ12" s="319"/>
      <c r="AK12" s="319"/>
      <c r="AL12" s="258"/>
      <c r="AM12" s="258"/>
      <c r="AN12" s="258"/>
      <c r="AO12" s="258"/>
      <c r="AP12" s="258"/>
      <c r="AQ12" s="258"/>
      <c r="AR12" s="258"/>
      <c r="AS12" s="258"/>
      <c r="AT12" s="258"/>
      <c r="AU12" s="258"/>
      <c r="AV12" s="258"/>
      <c r="AW12" s="258"/>
    </row>
    <row r="13" ht="16.5" customHeight="1">
      <c r="A13" s="743" t="s">
        <v>573</v>
      </c>
      <c r="B13" s="743" t="s">
        <v>574</v>
      </c>
      <c r="C13" s="743"/>
      <c r="D13" s="743"/>
      <c r="E13" s="743"/>
      <c r="F13" s="278"/>
      <c r="G13" s="278" t="s">
        <v>96</v>
      </c>
      <c r="H13" s="319" t="s">
        <v>575</v>
      </c>
      <c r="I13" s="744"/>
      <c r="J13" s="744"/>
      <c r="K13" s="744"/>
      <c r="L13" s="482" t="s">
        <v>576</v>
      </c>
      <c r="M13" s="745"/>
      <c r="N13" s="746"/>
      <c r="O13" s="746"/>
      <c r="P13" s="760" t="str">
        <f t="shared" ref="P13:P22" si="3">O13-H13</f>
        <v>#VALUE!</v>
      </c>
      <c r="Q13" s="747"/>
      <c r="R13" s="748"/>
      <c r="S13" s="748"/>
      <c r="T13" s="749"/>
      <c r="U13" s="750"/>
      <c r="V13" s="751"/>
      <c r="W13" s="751"/>
      <c r="X13" s="751"/>
      <c r="Y13" s="752"/>
      <c r="Z13" s="753"/>
      <c r="AA13" s="754"/>
      <c r="AB13" s="754"/>
      <c r="AC13" s="752"/>
      <c r="AD13" s="755"/>
      <c r="AE13" s="756"/>
      <c r="AF13" s="756"/>
      <c r="AG13" s="756"/>
      <c r="AH13" s="323"/>
      <c r="AI13" s="319"/>
      <c r="AJ13" s="319"/>
      <c r="AK13" s="319"/>
      <c r="AL13" s="258"/>
      <c r="AM13" s="258"/>
      <c r="AN13" s="258"/>
      <c r="AO13" s="258"/>
      <c r="AP13" s="258"/>
      <c r="AQ13" s="258"/>
      <c r="AR13" s="258"/>
      <c r="AS13" s="258"/>
      <c r="AT13" s="258"/>
      <c r="AU13" s="258"/>
      <c r="AV13" s="258"/>
      <c r="AW13" s="258"/>
    </row>
    <row r="14">
      <c r="A14" s="798" t="s">
        <v>577</v>
      </c>
      <c r="B14" s="798" t="s">
        <v>578</v>
      </c>
      <c r="C14" s="798" t="s">
        <v>411</v>
      </c>
      <c r="D14" s="799" t="s">
        <v>579</v>
      </c>
      <c r="E14" s="798" t="s">
        <v>580</v>
      </c>
      <c r="F14" s="800" t="s">
        <v>37</v>
      </c>
      <c r="G14" s="800" t="s">
        <v>96</v>
      </c>
      <c r="H14" s="538">
        <v>8531.0</v>
      </c>
      <c r="I14" s="801"/>
      <c r="J14" s="801"/>
      <c r="K14" s="801"/>
      <c r="L14" s="802" t="s">
        <v>581</v>
      </c>
      <c r="M14" s="803">
        <v>46001.0</v>
      </c>
      <c r="N14" s="775">
        <v>8430.0</v>
      </c>
      <c r="O14" s="760">
        <f t="shared" ref="O14:O18" si="4">N14+350</f>
        <v>8780</v>
      </c>
      <c r="P14" s="760">
        <f t="shared" si="3"/>
        <v>249</v>
      </c>
      <c r="Q14" s="804">
        <v>45530.0</v>
      </c>
      <c r="R14" s="762"/>
      <c r="S14" s="762"/>
      <c r="T14" s="763"/>
      <c r="U14" s="764"/>
      <c r="V14" s="765"/>
      <c r="W14" s="765"/>
      <c r="X14" s="765"/>
      <c r="Y14" s="766"/>
      <c r="Z14" s="767"/>
      <c r="AA14" s="768"/>
      <c r="AB14" s="768"/>
      <c r="AC14" s="766"/>
      <c r="AD14" s="769"/>
      <c r="AE14" s="770"/>
      <c r="AF14" s="770"/>
      <c r="AG14" s="770"/>
      <c r="AH14" s="805"/>
      <c r="AI14" s="806"/>
      <c r="AJ14" s="806"/>
      <c r="AK14" s="806"/>
      <c r="AL14" s="807"/>
      <c r="AM14" s="807"/>
      <c r="AN14" s="807"/>
      <c r="AO14" s="807"/>
      <c r="AP14" s="807"/>
      <c r="AQ14" s="807"/>
      <c r="AR14" s="807"/>
      <c r="AS14" s="807"/>
      <c r="AT14" s="807"/>
      <c r="AU14" s="807"/>
      <c r="AV14" s="807"/>
      <c r="AW14" s="807"/>
    </row>
    <row r="15">
      <c r="A15" s="743" t="s">
        <v>582</v>
      </c>
      <c r="B15" s="743" t="s">
        <v>578</v>
      </c>
      <c r="C15" s="743" t="s">
        <v>583</v>
      </c>
      <c r="D15" s="771"/>
      <c r="E15" s="773" t="s">
        <v>584</v>
      </c>
      <c r="F15" s="278" t="s">
        <v>146</v>
      </c>
      <c r="G15" s="278" t="s">
        <v>96</v>
      </c>
      <c r="H15" s="576">
        <v>2092.0</v>
      </c>
      <c r="I15" s="401">
        <v>46295.0</v>
      </c>
      <c r="J15" s="401">
        <v>46295.0</v>
      </c>
      <c r="K15" s="401">
        <v>47070.0</v>
      </c>
      <c r="L15" s="654" t="s">
        <v>581</v>
      </c>
      <c r="M15" s="808">
        <v>45979.0</v>
      </c>
      <c r="N15" s="775">
        <v>1746.0</v>
      </c>
      <c r="O15" s="760">
        <f t="shared" si="4"/>
        <v>2096</v>
      </c>
      <c r="P15" s="760">
        <f t="shared" si="3"/>
        <v>4</v>
      </c>
      <c r="Q15" s="761"/>
      <c r="R15" s="762"/>
      <c r="S15" s="762"/>
      <c r="T15" s="763"/>
      <c r="U15" s="764"/>
      <c r="V15" s="765"/>
      <c r="W15" s="765"/>
      <c r="X15" s="765"/>
      <c r="Y15" s="766"/>
      <c r="Z15" s="767"/>
      <c r="AA15" s="768"/>
      <c r="AB15" s="768"/>
      <c r="AC15" s="766"/>
      <c r="AD15" s="769"/>
      <c r="AE15" s="770"/>
      <c r="AF15" s="770"/>
      <c r="AG15" s="770"/>
      <c r="AH15" s="689"/>
      <c r="AI15" s="325"/>
      <c r="AJ15" s="325"/>
      <c r="AK15" s="325"/>
      <c r="AL15" s="596"/>
      <c r="AM15" s="596"/>
      <c r="AN15" s="596"/>
      <c r="AO15" s="596"/>
      <c r="AP15" s="596"/>
      <c r="AQ15" s="596"/>
      <c r="AR15" s="596"/>
      <c r="AS15" s="596"/>
      <c r="AT15" s="596"/>
      <c r="AU15" s="596"/>
      <c r="AV15" s="596"/>
      <c r="AW15" s="596"/>
    </row>
    <row r="16" ht="15.75" customHeight="1">
      <c r="A16" s="743" t="s">
        <v>585</v>
      </c>
      <c r="B16" s="743" t="s">
        <v>578</v>
      </c>
      <c r="C16" s="743" t="s">
        <v>586</v>
      </c>
      <c r="D16" s="771" t="s">
        <v>587</v>
      </c>
      <c r="E16" s="773" t="s">
        <v>588</v>
      </c>
      <c r="F16" s="278"/>
      <c r="G16" s="278" t="s">
        <v>96</v>
      </c>
      <c r="H16" s="576">
        <v>2249.0</v>
      </c>
      <c r="I16" s="744"/>
      <c r="J16" s="744"/>
      <c r="K16" s="744"/>
      <c r="L16" s="654" t="s">
        <v>581</v>
      </c>
      <c r="M16" s="745"/>
      <c r="N16" s="760">
        <v>1947.0</v>
      </c>
      <c r="O16" s="760">
        <f t="shared" si="4"/>
        <v>2297</v>
      </c>
      <c r="P16" s="760">
        <f t="shared" si="3"/>
        <v>48</v>
      </c>
      <c r="Q16" s="761"/>
      <c r="R16" s="762"/>
      <c r="S16" s="762"/>
      <c r="T16" s="763"/>
      <c r="U16" s="764"/>
      <c r="V16" s="765"/>
      <c r="W16" s="765"/>
      <c r="X16" s="765"/>
      <c r="Y16" s="766"/>
      <c r="Z16" s="767"/>
      <c r="AA16" s="768"/>
      <c r="AB16" s="768"/>
      <c r="AC16" s="766"/>
      <c r="AD16" s="769"/>
      <c r="AE16" s="770"/>
      <c r="AF16" s="770"/>
      <c r="AG16" s="770"/>
      <c r="AH16" s="689"/>
      <c r="AI16" s="325"/>
      <c r="AJ16" s="325"/>
      <c r="AK16" s="325"/>
      <c r="AL16" s="596"/>
      <c r="AM16" s="596"/>
      <c r="AN16" s="596"/>
      <c r="AO16" s="596"/>
      <c r="AP16" s="596"/>
      <c r="AQ16" s="596"/>
      <c r="AR16" s="596"/>
      <c r="AS16" s="596"/>
      <c r="AT16" s="596"/>
      <c r="AU16" s="596"/>
      <c r="AV16" s="596"/>
      <c r="AW16" s="596"/>
    </row>
    <row r="17">
      <c r="A17" s="743" t="s">
        <v>589</v>
      </c>
      <c r="B17" s="743" t="s">
        <v>590</v>
      </c>
      <c r="C17" s="743" t="s">
        <v>586</v>
      </c>
      <c r="D17" s="772" t="s">
        <v>591</v>
      </c>
      <c r="E17" s="776" t="s">
        <v>592</v>
      </c>
      <c r="F17" s="278"/>
      <c r="G17" s="278" t="s">
        <v>96</v>
      </c>
      <c r="H17" s="578">
        <v>6499.0</v>
      </c>
      <c r="I17" s="744"/>
      <c r="J17" s="744"/>
      <c r="K17" s="744"/>
      <c r="L17" s="654" t="s">
        <v>581</v>
      </c>
      <c r="M17" s="808">
        <v>45852.0</v>
      </c>
      <c r="N17" s="775">
        <v>6262.0</v>
      </c>
      <c r="O17" s="760">
        <f t="shared" si="4"/>
        <v>6612</v>
      </c>
      <c r="P17" s="760">
        <f t="shared" si="3"/>
        <v>113</v>
      </c>
      <c r="Q17" s="761"/>
      <c r="R17" s="762"/>
      <c r="S17" s="762"/>
      <c r="T17" s="763"/>
      <c r="U17" s="764"/>
      <c r="V17" s="765"/>
      <c r="W17" s="765"/>
      <c r="X17" s="765"/>
      <c r="Y17" s="766"/>
      <c r="Z17" s="767"/>
      <c r="AA17" s="768"/>
      <c r="AB17" s="768"/>
      <c r="AC17" s="766"/>
      <c r="AD17" s="809">
        <v>45852.0</v>
      </c>
      <c r="AE17" s="810">
        <v>6262.0</v>
      </c>
      <c r="AF17" s="770">
        <f>AE17+2000</f>
        <v>8262</v>
      </c>
      <c r="AG17" s="770">
        <f>AF17-O17</f>
        <v>1650</v>
      </c>
      <c r="AH17" s="811">
        <v>45852.0</v>
      </c>
      <c r="AI17" s="482">
        <v>6262.0</v>
      </c>
      <c r="AJ17" s="325">
        <f>AI17+2000</f>
        <v>8262</v>
      </c>
      <c r="AK17" s="325">
        <f>AJ17-O17</f>
        <v>1650</v>
      </c>
      <c r="AL17" s="596"/>
      <c r="AM17" s="596"/>
      <c r="AN17" s="596"/>
      <c r="AO17" s="596"/>
      <c r="AP17" s="596"/>
      <c r="AQ17" s="596"/>
      <c r="AR17" s="596"/>
      <c r="AS17" s="596"/>
      <c r="AT17" s="596"/>
      <c r="AU17" s="596"/>
      <c r="AV17" s="596"/>
      <c r="AW17" s="596"/>
    </row>
    <row r="18">
      <c r="A18" s="743" t="s">
        <v>593</v>
      </c>
      <c r="B18" s="743" t="s">
        <v>594</v>
      </c>
      <c r="C18" s="776" t="s">
        <v>595</v>
      </c>
      <c r="D18" s="812" t="s">
        <v>596</v>
      </c>
      <c r="E18" s="773" t="s">
        <v>597</v>
      </c>
      <c r="F18" s="278"/>
      <c r="G18" s="278" t="s">
        <v>96</v>
      </c>
      <c r="H18" s="576">
        <v>413.0</v>
      </c>
      <c r="I18" s="482" t="s">
        <v>598</v>
      </c>
      <c r="J18" s="482" t="s">
        <v>598</v>
      </c>
      <c r="K18" s="482" t="s">
        <v>598</v>
      </c>
      <c r="L18" s="654" t="s">
        <v>581</v>
      </c>
      <c r="M18" s="808">
        <v>46091.0</v>
      </c>
      <c r="N18" s="775">
        <v>335.0</v>
      </c>
      <c r="O18" s="760">
        <f t="shared" si="4"/>
        <v>685</v>
      </c>
      <c r="P18" s="760">
        <f t="shared" si="3"/>
        <v>272</v>
      </c>
      <c r="Q18" s="761"/>
      <c r="R18" s="762"/>
      <c r="S18" s="762"/>
      <c r="T18" s="763"/>
      <c r="U18" s="764"/>
      <c r="V18" s="765"/>
      <c r="W18" s="765"/>
      <c r="X18" s="765"/>
      <c r="Y18" s="766"/>
      <c r="Z18" s="767"/>
      <c r="AA18" s="768"/>
      <c r="AB18" s="768"/>
      <c r="AC18" s="766"/>
      <c r="AD18" s="769"/>
      <c r="AE18" s="770"/>
      <c r="AF18" s="770"/>
      <c r="AG18" s="770"/>
      <c r="AH18" s="689"/>
      <c r="AI18" s="325"/>
      <c r="AJ18" s="325"/>
      <c r="AK18" s="325"/>
      <c r="AL18" s="596"/>
      <c r="AM18" s="596"/>
      <c r="AN18" s="596"/>
      <c r="AO18" s="596"/>
      <c r="AP18" s="596"/>
      <c r="AQ18" s="596"/>
      <c r="AR18" s="596"/>
      <c r="AS18" s="596"/>
      <c r="AT18" s="596"/>
      <c r="AU18" s="596"/>
      <c r="AV18" s="596"/>
      <c r="AW18" s="596"/>
    </row>
    <row r="19">
      <c r="A19" s="776" t="s">
        <v>599</v>
      </c>
      <c r="B19" s="776" t="s">
        <v>600</v>
      </c>
      <c r="C19" s="776" t="s">
        <v>364</v>
      </c>
      <c r="D19" s="812" t="s">
        <v>601</v>
      </c>
      <c r="E19" s="776" t="s">
        <v>535</v>
      </c>
      <c r="F19" s="278" t="s">
        <v>342</v>
      </c>
      <c r="G19" s="278" t="s">
        <v>96</v>
      </c>
      <c r="H19" s="541" t="s">
        <v>575</v>
      </c>
      <c r="I19" s="744"/>
      <c r="J19" s="744"/>
      <c r="K19" s="744"/>
      <c r="L19" s="482" t="s">
        <v>552</v>
      </c>
      <c r="M19" s="745"/>
      <c r="N19" s="760"/>
      <c r="O19" s="760"/>
      <c r="P19" s="760" t="str">
        <f t="shared" si="3"/>
        <v>#VALUE!</v>
      </c>
      <c r="Q19" s="761"/>
      <c r="R19" s="762"/>
      <c r="S19" s="762"/>
      <c r="T19" s="763"/>
      <c r="U19" s="764"/>
      <c r="V19" s="765"/>
      <c r="W19" s="765"/>
      <c r="X19" s="765"/>
      <c r="Y19" s="766"/>
      <c r="Z19" s="767"/>
      <c r="AA19" s="768"/>
      <c r="AB19" s="768"/>
      <c r="AC19" s="766"/>
      <c r="AD19" s="769"/>
      <c r="AE19" s="770"/>
      <c r="AF19" s="770"/>
      <c r="AG19" s="770"/>
      <c r="AH19" s="689"/>
      <c r="AI19" s="325"/>
      <c r="AJ19" s="325"/>
      <c r="AK19" s="325"/>
      <c r="AL19" s="596"/>
      <c r="AM19" s="596"/>
      <c r="AN19" s="596"/>
      <c r="AO19" s="596"/>
      <c r="AP19" s="596"/>
      <c r="AQ19" s="596"/>
      <c r="AR19" s="596"/>
      <c r="AS19" s="596"/>
      <c r="AT19" s="596"/>
      <c r="AU19" s="596"/>
      <c r="AV19" s="596"/>
      <c r="AW19" s="596"/>
    </row>
    <row r="20">
      <c r="A20" s="743" t="s">
        <v>602</v>
      </c>
      <c r="B20" s="743" t="s">
        <v>603</v>
      </c>
      <c r="C20" s="743"/>
      <c r="D20" s="771"/>
      <c r="E20" s="743"/>
      <c r="F20" s="278"/>
      <c r="G20" s="278" t="s">
        <v>96</v>
      </c>
      <c r="H20" s="541">
        <v>8529.0</v>
      </c>
      <c r="I20" s="744"/>
      <c r="J20" s="744"/>
      <c r="K20" s="744"/>
      <c r="L20" s="482" t="s">
        <v>552</v>
      </c>
      <c r="M20" s="745"/>
      <c r="N20" s="775">
        <v>8529.0</v>
      </c>
      <c r="O20" s="760">
        <f t="shared" ref="O20:O21" si="5">N20+350</f>
        <v>8879</v>
      </c>
      <c r="P20" s="760">
        <f t="shared" si="3"/>
        <v>350</v>
      </c>
      <c r="Q20" s="761"/>
      <c r="R20" s="762"/>
      <c r="S20" s="762"/>
      <c r="T20" s="763"/>
      <c r="U20" s="764"/>
      <c r="V20" s="765"/>
      <c r="W20" s="765"/>
      <c r="X20" s="765"/>
      <c r="Y20" s="766"/>
      <c r="Z20" s="767"/>
      <c r="AA20" s="768"/>
      <c r="AB20" s="768"/>
      <c r="AC20" s="766"/>
      <c r="AD20" s="769"/>
      <c r="AE20" s="770"/>
      <c r="AF20" s="770"/>
      <c r="AG20" s="770"/>
      <c r="AH20" s="689"/>
      <c r="AI20" s="325"/>
      <c r="AJ20" s="325"/>
      <c r="AK20" s="325"/>
      <c r="AL20" s="596"/>
      <c r="AM20" s="596"/>
      <c r="AN20" s="596"/>
      <c r="AO20" s="596"/>
      <c r="AP20" s="596"/>
      <c r="AQ20" s="596"/>
      <c r="AR20" s="596"/>
      <c r="AS20" s="596"/>
      <c r="AT20" s="596"/>
      <c r="AU20" s="596"/>
      <c r="AV20" s="596"/>
      <c r="AW20" s="596"/>
    </row>
    <row r="21">
      <c r="A21" s="743" t="s">
        <v>604</v>
      </c>
      <c r="B21" s="743" t="s">
        <v>605</v>
      </c>
      <c r="C21" s="771" t="s">
        <v>606</v>
      </c>
      <c r="D21" s="771" t="s">
        <v>607</v>
      </c>
      <c r="E21" s="776" t="s">
        <v>608</v>
      </c>
      <c r="F21" s="278"/>
      <c r="G21" s="278" t="s">
        <v>96</v>
      </c>
      <c r="H21" s="578">
        <v>1408.0</v>
      </c>
      <c r="I21" s="744"/>
      <c r="J21" s="744"/>
      <c r="K21" s="744"/>
      <c r="L21" s="654" t="s">
        <v>581</v>
      </c>
      <c r="M21" s="808">
        <v>45915.0</v>
      </c>
      <c r="N21" s="813">
        <v>1189.0</v>
      </c>
      <c r="O21" s="760">
        <f t="shared" si="5"/>
        <v>1539</v>
      </c>
      <c r="P21" s="760">
        <f t="shared" si="3"/>
        <v>131</v>
      </c>
      <c r="Q21" s="814"/>
      <c r="R21" s="815"/>
      <c r="S21" s="815"/>
      <c r="T21" s="816"/>
      <c r="U21" s="817"/>
      <c r="V21" s="818"/>
      <c r="W21" s="818"/>
      <c r="X21" s="818"/>
      <c r="Y21" s="819"/>
      <c r="Z21" s="820"/>
      <c r="AA21" s="821"/>
      <c r="AB21" s="821"/>
      <c r="AC21" s="819"/>
      <c r="AD21" s="822"/>
      <c r="AE21" s="823"/>
      <c r="AF21" s="823"/>
      <c r="AG21" s="823"/>
      <c r="AH21" s="824"/>
      <c r="AI21" s="825"/>
      <c r="AJ21" s="825"/>
      <c r="AK21" s="825"/>
      <c r="AL21" s="596"/>
      <c r="AM21" s="596"/>
      <c r="AN21" s="596"/>
      <c r="AO21" s="596"/>
      <c r="AP21" s="596"/>
      <c r="AQ21" s="596"/>
      <c r="AR21" s="596"/>
      <c r="AS21" s="596"/>
      <c r="AT21" s="596"/>
      <c r="AU21" s="596"/>
      <c r="AV21" s="596"/>
      <c r="AW21" s="596"/>
    </row>
    <row r="22">
      <c r="A22" s="45" t="s">
        <v>609</v>
      </c>
      <c r="B22" s="45" t="s">
        <v>610</v>
      </c>
      <c r="C22" s="45" t="s">
        <v>611</v>
      </c>
      <c r="D22" s="45" t="s">
        <v>612</v>
      </c>
      <c r="E22" s="45" t="s">
        <v>613</v>
      </c>
      <c r="F22" s="45" t="s">
        <v>37</v>
      </c>
      <c r="G22" s="45" t="s">
        <v>96</v>
      </c>
      <c r="H22" s="826" t="s">
        <v>575</v>
      </c>
      <c r="I22" s="826"/>
      <c r="J22" s="826"/>
      <c r="K22" s="826"/>
      <c r="L22" s="826"/>
      <c r="M22" s="827"/>
      <c r="N22" s="813">
        <v>0.0</v>
      </c>
      <c r="O22" s="775">
        <v>0.0</v>
      </c>
      <c r="P22" s="760" t="str">
        <f t="shared" si="3"/>
        <v>#VALUE!</v>
      </c>
      <c r="Q22" s="762"/>
      <c r="R22" s="762"/>
      <c r="S22" s="762"/>
      <c r="T22" s="762"/>
      <c r="U22" s="765"/>
      <c r="V22" s="765"/>
      <c r="W22" s="765"/>
      <c r="X22" s="765"/>
      <c r="Y22" s="768"/>
      <c r="Z22" s="768"/>
      <c r="AA22" s="768"/>
      <c r="AB22" s="768"/>
      <c r="AC22" s="768"/>
      <c r="AD22" s="770"/>
      <c r="AE22" s="770"/>
      <c r="AF22" s="770"/>
      <c r="AG22" s="770"/>
      <c r="AH22" s="325"/>
      <c r="AI22" s="325"/>
      <c r="AJ22" s="325"/>
      <c r="AK22" s="325"/>
      <c r="AL22" s="596"/>
      <c r="AM22" s="596"/>
      <c r="AN22" s="596"/>
      <c r="AO22" s="596"/>
      <c r="AP22" s="596"/>
      <c r="AQ22" s="596"/>
      <c r="AR22" s="596"/>
      <c r="AS22" s="596"/>
      <c r="AT22" s="596"/>
      <c r="AU22" s="596"/>
      <c r="AV22" s="596"/>
      <c r="AW22" s="596"/>
    </row>
    <row r="23">
      <c r="A23" s="106" t="s">
        <v>614</v>
      </c>
      <c r="B23" s="45" t="s">
        <v>605</v>
      </c>
      <c r="C23" s="45" t="s">
        <v>615</v>
      </c>
      <c r="D23" s="826"/>
      <c r="E23" s="45" t="s">
        <v>616</v>
      </c>
      <c r="F23" s="826"/>
      <c r="G23" s="826"/>
      <c r="H23" s="826" t="s">
        <v>575</v>
      </c>
      <c r="I23" s="826"/>
      <c r="J23" s="826"/>
      <c r="K23" s="826"/>
      <c r="L23" s="826"/>
      <c r="M23" s="826"/>
      <c r="N23" s="826"/>
      <c r="O23" s="826"/>
      <c r="P23" s="826"/>
      <c r="Q23" s="826"/>
      <c r="R23" s="826"/>
      <c r="S23" s="826"/>
      <c r="T23" s="826"/>
      <c r="U23" s="826"/>
      <c r="V23" s="826"/>
      <c r="W23" s="826"/>
      <c r="X23" s="826"/>
      <c r="Y23" s="826"/>
      <c r="Z23" s="826"/>
      <c r="AA23" s="826"/>
      <c r="AB23" s="826"/>
      <c r="AC23" s="826"/>
      <c r="AD23" s="826"/>
      <c r="AE23" s="826"/>
      <c r="AF23" s="826"/>
      <c r="AG23" s="826"/>
      <c r="AH23" s="826"/>
      <c r="AI23" s="826"/>
      <c r="AJ23" s="826"/>
      <c r="AK23" s="826"/>
    </row>
    <row r="24">
      <c r="H24" s="252" t="s">
        <v>161</v>
      </c>
    </row>
    <row r="25">
      <c r="H25" s="252" t="s">
        <v>161</v>
      </c>
    </row>
    <row r="26">
      <c r="H26" s="252" t="s">
        <v>161</v>
      </c>
    </row>
    <row r="27">
      <c r="E27" s="254"/>
      <c r="F27" s="254"/>
      <c r="H27" s="252" t="s">
        <v>161</v>
      </c>
    </row>
    <row r="28">
      <c r="H28" s="252" t="s">
        <v>161</v>
      </c>
    </row>
    <row r="29">
      <c r="H29" s="252" t="s">
        <v>161</v>
      </c>
    </row>
    <row r="30">
      <c r="H30" s="252" t="s">
        <v>161</v>
      </c>
    </row>
    <row r="31">
      <c r="H31" s="252" t="s">
        <v>161</v>
      </c>
    </row>
    <row r="32">
      <c r="H32" s="252" t="s">
        <v>161</v>
      </c>
    </row>
    <row r="33">
      <c r="H33" s="252" t="s">
        <v>161</v>
      </c>
    </row>
    <row r="34">
      <c r="H34" s="252" t="s">
        <v>161</v>
      </c>
    </row>
    <row r="35">
      <c r="H35" s="252" t="s">
        <v>161</v>
      </c>
    </row>
    <row r="36">
      <c r="H36" s="252" t="s">
        <v>161</v>
      </c>
    </row>
    <row r="37">
      <c r="H37" s="252" t="s">
        <v>161</v>
      </c>
    </row>
    <row r="38">
      <c r="H38" s="252" t="s">
        <v>161</v>
      </c>
    </row>
    <row r="39">
      <c r="H39" s="252" t="s">
        <v>161</v>
      </c>
    </row>
    <row r="40">
      <c r="H40" s="252" t="s">
        <v>161</v>
      </c>
    </row>
    <row r="41">
      <c r="H41" s="252" t="s">
        <v>161</v>
      </c>
    </row>
    <row r="42">
      <c r="H42" s="252" t="s">
        <v>161</v>
      </c>
    </row>
    <row r="43">
      <c r="H43" s="252" t="s">
        <v>161</v>
      </c>
    </row>
    <row r="44">
      <c r="H44" s="252" t="s">
        <v>161</v>
      </c>
    </row>
    <row r="45">
      <c r="H45" s="252" t="s">
        <v>161</v>
      </c>
    </row>
    <row r="46">
      <c r="H46" s="252" t="s">
        <v>161</v>
      </c>
    </row>
    <row r="47">
      <c r="H47" s="252" t="s">
        <v>161</v>
      </c>
    </row>
    <row r="48">
      <c r="H48" s="252" t="s">
        <v>161</v>
      </c>
    </row>
    <row r="49">
      <c r="H49" s="252" t="s">
        <v>161</v>
      </c>
    </row>
    <row r="50">
      <c r="H50" s="252" t="s">
        <v>161</v>
      </c>
    </row>
    <row r="51">
      <c r="H51" s="252" t="s">
        <v>161</v>
      </c>
    </row>
    <row r="52">
      <c r="H52" s="252" t="s">
        <v>161</v>
      </c>
    </row>
    <row r="53">
      <c r="H53" s="252" t="s">
        <v>161</v>
      </c>
    </row>
    <row r="54">
      <c r="H54" s="252" t="s">
        <v>161</v>
      </c>
    </row>
    <row r="55">
      <c r="H55" s="252" t="s">
        <v>161</v>
      </c>
    </row>
    <row r="56">
      <c r="H56" s="252" t="s">
        <v>161</v>
      </c>
    </row>
    <row r="57">
      <c r="H57" s="252" t="s">
        <v>161</v>
      </c>
    </row>
    <row r="58">
      <c r="H58" s="252" t="s">
        <v>161</v>
      </c>
    </row>
    <row r="59">
      <c r="H59" s="252" t="s">
        <v>161</v>
      </c>
    </row>
    <row r="60">
      <c r="H60" s="252" t="s">
        <v>161</v>
      </c>
    </row>
    <row r="61">
      <c r="H61" s="252" t="s">
        <v>161</v>
      </c>
    </row>
    <row r="62">
      <c r="H62" s="252" t="s">
        <v>161</v>
      </c>
    </row>
    <row r="63">
      <c r="H63" s="252" t="s">
        <v>161</v>
      </c>
    </row>
    <row r="64">
      <c r="H64" s="252" t="s">
        <v>161</v>
      </c>
    </row>
    <row r="65">
      <c r="H65" s="252" t="s">
        <v>161</v>
      </c>
    </row>
    <row r="66">
      <c r="H66" s="252" t="s">
        <v>161</v>
      </c>
    </row>
    <row r="67">
      <c r="H67" s="252" t="s">
        <v>161</v>
      </c>
    </row>
    <row r="68">
      <c r="H68" s="252" t="s">
        <v>161</v>
      </c>
    </row>
    <row r="69">
      <c r="H69" s="252" t="s">
        <v>161</v>
      </c>
    </row>
    <row r="70">
      <c r="H70" s="252" t="s">
        <v>161</v>
      </c>
    </row>
    <row r="71">
      <c r="H71" s="252" t="s">
        <v>161</v>
      </c>
    </row>
    <row r="72">
      <c r="H72" s="252" t="s">
        <v>161</v>
      </c>
    </row>
    <row r="73">
      <c r="H73" s="252" t="s">
        <v>161</v>
      </c>
    </row>
    <row r="74">
      <c r="H74" s="252" t="s">
        <v>161</v>
      </c>
    </row>
    <row r="75">
      <c r="H75" s="252" t="s">
        <v>161</v>
      </c>
    </row>
    <row r="76">
      <c r="H76" s="252" t="s">
        <v>161</v>
      </c>
    </row>
    <row r="77">
      <c r="H77" s="252" t="s">
        <v>161</v>
      </c>
    </row>
    <row r="78">
      <c r="H78" s="252" t="s">
        <v>161</v>
      </c>
    </row>
    <row r="79">
      <c r="H79" s="252" t="s">
        <v>161</v>
      </c>
    </row>
    <row r="80">
      <c r="H80" s="252" t="s">
        <v>161</v>
      </c>
    </row>
    <row r="81">
      <c r="H81" s="252" t="s">
        <v>161</v>
      </c>
    </row>
    <row r="82">
      <c r="H82" s="252" t="s">
        <v>161</v>
      </c>
    </row>
    <row r="83">
      <c r="H83" s="252" t="s">
        <v>161</v>
      </c>
    </row>
    <row r="84">
      <c r="H84" s="252" t="s">
        <v>161</v>
      </c>
    </row>
    <row r="85">
      <c r="H85" s="252" t="s">
        <v>161</v>
      </c>
    </row>
    <row r="86">
      <c r="H86" s="252" t="s">
        <v>161</v>
      </c>
    </row>
    <row r="87">
      <c r="H87" s="252" t="s">
        <v>161</v>
      </c>
    </row>
    <row r="88">
      <c r="H88" s="252" t="s">
        <v>161</v>
      </c>
    </row>
    <row r="89">
      <c r="H89" s="252" t="s">
        <v>161</v>
      </c>
    </row>
    <row r="90">
      <c r="H90" s="252" t="s">
        <v>161</v>
      </c>
    </row>
    <row r="91">
      <c r="H91" s="252" t="s">
        <v>161</v>
      </c>
    </row>
    <row r="92">
      <c r="H92" s="252" t="s">
        <v>161</v>
      </c>
    </row>
    <row r="93">
      <c r="H93" s="252" t="s">
        <v>161</v>
      </c>
    </row>
    <row r="94">
      <c r="H94" s="252" t="s">
        <v>161</v>
      </c>
    </row>
    <row r="95">
      <c r="H95" s="252" t="s">
        <v>161</v>
      </c>
    </row>
    <row r="96">
      <c r="H96" s="252" t="s">
        <v>161</v>
      </c>
    </row>
    <row r="97">
      <c r="H97" s="252" t="s">
        <v>161</v>
      </c>
    </row>
    <row r="98">
      <c r="H98" s="252" t="s">
        <v>161</v>
      </c>
    </row>
    <row r="99">
      <c r="H99" s="252" t="s">
        <v>161</v>
      </c>
    </row>
    <row r="100">
      <c r="H100" s="252" t="s">
        <v>161</v>
      </c>
    </row>
    <row r="101">
      <c r="H101" s="252" t="s">
        <v>161</v>
      </c>
    </row>
    <row r="102">
      <c r="H102" s="252" t="s">
        <v>161</v>
      </c>
    </row>
    <row r="103">
      <c r="H103" s="252" t="s">
        <v>161</v>
      </c>
    </row>
    <row r="104">
      <c r="H104" s="252" t="s">
        <v>161</v>
      </c>
    </row>
    <row r="105">
      <c r="H105" s="252" t="s">
        <v>161</v>
      </c>
    </row>
    <row r="106">
      <c r="H106" s="252" t="s">
        <v>161</v>
      </c>
    </row>
    <row r="107">
      <c r="H107" s="252" t="s">
        <v>161</v>
      </c>
    </row>
    <row r="108">
      <c r="H108" s="252" t="s">
        <v>161</v>
      </c>
    </row>
    <row r="109">
      <c r="H109" s="252" t="s">
        <v>161</v>
      </c>
    </row>
    <row r="110">
      <c r="H110" s="252" t="s">
        <v>161</v>
      </c>
    </row>
    <row r="111">
      <c r="H111" s="252" t="s">
        <v>161</v>
      </c>
    </row>
    <row r="112">
      <c r="H112" s="252" t="s">
        <v>161</v>
      </c>
    </row>
    <row r="113">
      <c r="H113" s="252" t="s">
        <v>161</v>
      </c>
    </row>
    <row r="114">
      <c r="H114" s="252" t="s">
        <v>161</v>
      </c>
    </row>
    <row r="115">
      <c r="H115" s="252" t="s">
        <v>161</v>
      </c>
    </row>
    <row r="116">
      <c r="H116" s="252" t="s">
        <v>161</v>
      </c>
    </row>
    <row r="117">
      <c r="H117" s="252" t="s">
        <v>161</v>
      </c>
    </row>
    <row r="118">
      <c r="H118" s="252" t="s">
        <v>161</v>
      </c>
    </row>
    <row r="119">
      <c r="H119" s="252" t="s">
        <v>161</v>
      </c>
    </row>
    <row r="120">
      <c r="H120" s="252" t="s">
        <v>161</v>
      </c>
    </row>
    <row r="121">
      <c r="H121" s="252" t="s">
        <v>161</v>
      </c>
    </row>
    <row r="122">
      <c r="H122" s="252" t="s">
        <v>161</v>
      </c>
    </row>
    <row r="123">
      <c r="H123" s="252" t="s">
        <v>161</v>
      </c>
    </row>
    <row r="124">
      <c r="H124" s="252" t="s">
        <v>161</v>
      </c>
    </row>
    <row r="125">
      <c r="H125" s="252" t="s">
        <v>161</v>
      </c>
    </row>
    <row r="126">
      <c r="H126" s="252" t="s">
        <v>161</v>
      </c>
    </row>
    <row r="127">
      <c r="H127" s="252" t="s">
        <v>161</v>
      </c>
    </row>
    <row r="128">
      <c r="H128" s="252" t="s">
        <v>161</v>
      </c>
    </row>
    <row r="129">
      <c r="H129" s="252" t="s">
        <v>161</v>
      </c>
    </row>
    <row r="130">
      <c r="H130" s="252" t="s">
        <v>161</v>
      </c>
    </row>
    <row r="131">
      <c r="H131" s="252" t="s">
        <v>161</v>
      </c>
    </row>
    <row r="132">
      <c r="H132" s="252" t="s">
        <v>161</v>
      </c>
    </row>
    <row r="133">
      <c r="H133" s="252" t="s">
        <v>161</v>
      </c>
    </row>
    <row r="134">
      <c r="H134" s="252" t="s">
        <v>161</v>
      </c>
    </row>
    <row r="135">
      <c r="H135" s="252" t="s">
        <v>161</v>
      </c>
    </row>
    <row r="136">
      <c r="H136" s="252" t="s">
        <v>161</v>
      </c>
    </row>
    <row r="137">
      <c r="H137" s="252" t="s">
        <v>161</v>
      </c>
    </row>
    <row r="138">
      <c r="H138" s="252" t="s">
        <v>161</v>
      </c>
    </row>
    <row r="139">
      <c r="H139" s="252" t="s">
        <v>161</v>
      </c>
    </row>
    <row r="140">
      <c r="H140" s="252" t="s">
        <v>161</v>
      </c>
    </row>
    <row r="141">
      <c r="H141" s="252" t="s">
        <v>161</v>
      </c>
    </row>
    <row r="142">
      <c r="H142" s="252" t="s">
        <v>161</v>
      </c>
    </row>
    <row r="143">
      <c r="H143" s="252" t="s">
        <v>161</v>
      </c>
    </row>
    <row r="144">
      <c r="H144" s="252" t="s">
        <v>161</v>
      </c>
    </row>
    <row r="145">
      <c r="H145" s="252" t="s">
        <v>161</v>
      </c>
    </row>
    <row r="146">
      <c r="H146" s="252" t="s">
        <v>161</v>
      </c>
    </row>
    <row r="147">
      <c r="H147" s="252" t="s">
        <v>161</v>
      </c>
    </row>
    <row r="148">
      <c r="H148" s="252" t="s">
        <v>161</v>
      </c>
    </row>
    <row r="149">
      <c r="H149" s="252" t="s">
        <v>161</v>
      </c>
    </row>
    <row r="150">
      <c r="H150" s="252" t="s">
        <v>161</v>
      </c>
    </row>
    <row r="151">
      <c r="H151" s="252" t="s">
        <v>161</v>
      </c>
    </row>
    <row r="152">
      <c r="H152" s="252" t="s">
        <v>161</v>
      </c>
    </row>
    <row r="153">
      <c r="H153" s="252" t="s">
        <v>161</v>
      </c>
    </row>
    <row r="154">
      <c r="H154" s="252" t="s">
        <v>161</v>
      </c>
    </row>
    <row r="155">
      <c r="H155" s="252" t="s">
        <v>161</v>
      </c>
    </row>
    <row r="156">
      <c r="H156" s="252" t="s">
        <v>161</v>
      </c>
    </row>
    <row r="157">
      <c r="H157" s="252" t="s">
        <v>161</v>
      </c>
    </row>
    <row r="158">
      <c r="H158" s="252" t="s">
        <v>161</v>
      </c>
    </row>
    <row r="159">
      <c r="H159" s="252" t="s">
        <v>161</v>
      </c>
    </row>
    <row r="160">
      <c r="H160" s="252" t="s">
        <v>161</v>
      </c>
    </row>
    <row r="161">
      <c r="H161" s="252" t="s">
        <v>161</v>
      </c>
    </row>
    <row r="162">
      <c r="H162" s="252" t="s">
        <v>161</v>
      </c>
    </row>
    <row r="163">
      <c r="H163" s="252" t="s">
        <v>161</v>
      </c>
    </row>
    <row r="164">
      <c r="H164" s="252" t="s">
        <v>161</v>
      </c>
    </row>
    <row r="165">
      <c r="H165" s="252" t="s">
        <v>161</v>
      </c>
    </row>
    <row r="166">
      <c r="H166" s="252" t="s">
        <v>161</v>
      </c>
    </row>
    <row r="167">
      <c r="H167" s="252" t="s">
        <v>161</v>
      </c>
    </row>
    <row r="168">
      <c r="H168" s="252" t="s">
        <v>161</v>
      </c>
    </row>
    <row r="169">
      <c r="H169" s="252" t="s">
        <v>161</v>
      </c>
    </row>
    <row r="170">
      <c r="H170" s="252" t="s">
        <v>161</v>
      </c>
    </row>
    <row r="171">
      <c r="H171" s="252" t="s">
        <v>161</v>
      </c>
    </row>
    <row r="172">
      <c r="H172" s="252" t="s">
        <v>161</v>
      </c>
    </row>
    <row r="173">
      <c r="H173" s="252" t="s">
        <v>161</v>
      </c>
    </row>
    <row r="174">
      <c r="H174" s="252" t="s">
        <v>161</v>
      </c>
    </row>
    <row r="175">
      <c r="H175" s="252" t="s">
        <v>161</v>
      </c>
    </row>
    <row r="176">
      <c r="H176" s="252" t="s">
        <v>161</v>
      </c>
    </row>
    <row r="177">
      <c r="H177" s="252" t="s">
        <v>161</v>
      </c>
    </row>
    <row r="178">
      <c r="H178" s="252" t="s">
        <v>161</v>
      </c>
    </row>
    <row r="179">
      <c r="H179" s="252" t="s">
        <v>161</v>
      </c>
    </row>
    <row r="180">
      <c r="H180" s="252" t="s">
        <v>161</v>
      </c>
    </row>
    <row r="181">
      <c r="H181" s="252" t="s">
        <v>161</v>
      </c>
    </row>
    <row r="182">
      <c r="H182" s="252" t="s">
        <v>161</v>
      </c>
    </row>
    <row r="183">
      <c r="H183" s="252" t="s">
        <v>161</v>
      </c>
    </row>
    <row r="184">
      <c r="H184" s="252" t="s">
        <v>161</v>
      </c>
    </row>
    <row r="185">
      <c r="H185" s="252" t="s">
        <v>161</v>
      </c>
    </row>
    <row r="186">
      <c r="H186" s="252" t="s">
        <v>161</v>
      </c>
    </row>
    <row r="187">
      <c r="H187" s="252" t="s">
        <v>161</v>
      </c>
    </row>
    <row r="188">
      <c r="H188" s="252" t="s">
        <v>161</v>
      </c>
    </row>
    <row r="189">
      <c r="H189" s="252" t="s">
        <v>161</v>
      </c>
    </row>
    <row r="190">
      <c r="H190" s="252" t="s">
        <v>161</v>
      </c>
    </row>
    <row r="191">
      <c r="H191" s="252" t="s">
        <v>161</v>
      </c>
    </row>
    <row r="192">
      <c r="H192" s="252" t="s">
        <v>161</v>
      </c>
    </row>
    <row r="193">
      <c r="H193" s="252" t="s">
        <v>161</v>
      </c>
    </row>
    <row r="194">
      <c r="H194" s="252" t="s">
        <v>161</v>
      </c>
    </row>
    <row r="195">
      <c r="H195" s="252" t="s">
        <v>161</v>
      </c>
    </row>
    <row r="196">
      <c r="H196" s="252" t="s">
        <v>161</v>
      </c>
    </row>
    <row r="197">
      <c r="H197" s="252" t="s">
        <v>161</v>
      </c>
    </row>
    <row r="198">
      <c r="H198" s="252" t="s">
        <v>161</v>
      </c>
    </row>
    <row r="199">
      <c r="H199" s="252" t="s">
        <v>161</v>
      </c>
    </row>
    <row r="200">
      <c r="H200" s="252" t="s">
        <v>161</v>
      </c>
    </row>
    <row r="201">
      <c r="H201" s="252" t="s">
        <v>161</v>
      </c>
    </row>
    <row r="202">
      <c r="H202" s="252" t="s">
        <v>161</v>
      </c>
    </row>
    <row r="203">
      <c r="H203" s="252" t="s">
        <v>161</v>
      </c>
    </row>
    <row r="204">
      <c r="H204" s="252" t="s">
        <v>161</v>
      </c>
    </row>
    <row r="205">
      <c r="H205" s="252" t="s">
        <v>161</v>
      </c>
    </row>
    <row r="206">
      <c r="H206" s="252" t="s">
        <v>161</v>
      </c>
    </row>
    <row r="207">
      <c r="H207" s="252" t="s">
        <v>161</v>
      </c>
    </row>
    <row r="208">
      <c r="H208" s="252" t="s">
        <v>161</v>
      </c>
    </row>
    <row r="209">
      <c r="H209" s="252" t="s">
        <v>161</v>
      </c>
    </row>
    <row r="210">
      <c r="H210" s="252" t="s">
        <v>161</v>
      </c>
    </row>
    <row r="211">
      <c r="H211" s="252" t="s">
        <v>161</v>
      </c>
    </row>
    <row r="212">
      <c r="H212" s="252" t="s">
        <v>161</v>
      </c>
    </row>
    <row r="213">
      <c r="H213" s="252" t="s">
        <v>161</v>
      </c>
    </row>
    <row r="214">
      <c r="H214" s="252" t="s">
        <v>161</v>
      </c>
    </row>
    <row r="215">
      <c r="H215" s="252" t="s">
        <v>161</v>
      </c>
    </row>
    <row r="216">
      <c r="H216" s="252" t="s">
        <v>161</v>
      </c>
    </row>
    <row r="217">
      <c r="H217" s="252" t="s">
        <v>161</v>
      </c>
    </row>
    <row r="218">
      <c r="H218" s="252" t="s">
        <v>161</v>
      </c>
    </row>
    <row r="219">
      <c r="H219" s="252" t="s">
        <v>161</v>
      </c>
    </row>
    <row r="220">
      <c r="H220" s="252" t="s">
        <v>161</v>
      </c>
    </row>
    <row r="221">
      <c r="H221" s="252" t="s">
        <v>161</v>
      </c>
    </row>
    <row r="222">
      <c r="H222" s="252" t="s">
        <v>161</v>
      </c>
    </row>
    <row r="223">
      <c r="H223" s="252" t="s">
        <v>161</v>
      </c>
    </row>
    <row r="224">
      <c r="H224" s="252" t="s">
        <v>161</v>
      </c>
    </row>
    <row r="225">
      <c r="H225" s="252" t="s">
        <v>161</v>
      </c>
    </row>
    <row r="226">
      <c r="H226" s="252" t="s">
        <v>161</v>
      </c>
    </row>
    <row r="227">
      <c r="H227" s="252" t="s">
        <v>161</v>
      </c>
    </row>
    <row r="228">
      <c r="H228" s="252" t="s">
        <v>161</v>
      </c>
    </row>
    <row r="229">
      <c r="H229" s="252" t="s">
        <v>161</v>
      </c>
    </row>
    <row r="230">
      <c r="H230" s="252" t="s">
        <v>161</v>
      </c>
    </row>
    <row r="231">
      <c r="H231" s="252" t="s">
        <v>161</v>
      </c>
    </row>
    <row r="232">
      <c r="H232" s="252" t="s">
        <v>161</v>
      </c>
    </row>
    <row r="233">
      <c r="H233" s="252" t="s">
        <v>161</v>
      </c>
    </row>
    <row r="234">
      <c r="H234" s="252" t="s">
        <v>161</v>
      </c>
    </row>
    <row r="235">
      <c r="H235" s="252" t="s">
        <v>161</v>
      </c>
    </row>
    <row r="236">
      <c r="H236" s="252" t="s">
        <v>161</v>
      </c>
    </row>
    <row r="237">
      <c r="H237" s="252" t="s">
        <v>161</v>
      </c>
    </row>
    <row r="238">
      <c r="H238" s="252" t="s">
        <v>161</v>
      </c>
    </row>
    <row r="239">
      <c r="H239" s="252" t="s">
        <v>161</v>
      </c>
    </row>
    <row r="240">
      <c r="H240" s="252" t="s">
        <v>161</v>
      </c>
    </row>
    <row r="241">
      <c r="H241" s="252" t="s">
        <v>161</v>
      </c>
    </row>
    <row r="242">
      <c r="H242" s="252" t="s">
        <v>161</v>
      </c>
    </row>
    <row r="243">
      <c r="H243" s="252" t="s">
        <v>161</v>
      </c>
    </row>
    <row r="244">
      <c r="H244" s="252" t="s">
        <v>161</v>
      </c>
    </row>
    <row r="245">
      <c r="H245" s="252" t="s">
        <v>161</v>
      </c>
    </row>
    <row r="246">
      <c r="H246" s="252" t="s">
        <v>161</v>
      </c>
    </row>
    <row r="247">
      <c r="H247" s="252" t="s">
        <v>161</v>
      </c>
    </row>
    <row r="248">
      <c r="H248" s="252" t="s">
        <v>161</v>
      </c>
    </row>
    <row r="249">
      <c r="H249" s="252" t="s">
        <v>161</v>
      </c>
    </row>
    <row r="250">
      <c r="H250" s="252" t="s">
        <v>161</v>
      </c>
    </row>
    <row r="251">
      <c r="H251" s="252" t="s">
        <v>161</v>
      </c>
    </row>
    <row r="252">
      <c r="H252" s="252" t="s">
        <v>161</v>
      </c>
    </row>
    <row r="253">
      <c r="H253" s="252" t="s">
        <v>161</v>
      </c>
    </row>
    <row r="254">
      <c r="H254" s="252" t="s">
        <v>161</v>
      </c>
    </row>
    <row r="255">
      <c r="H255" s="252" t="s">
        <v>161</v>
      </c>
    </row>
    <row r="256">
      <c r="H256" s="252" t="s">
        <v>161</v>
      </c>
    </row>
    <row r="257">
      <c r="H257" s="252" t="s">
        <v>161</v>
      </c>
    </row>
    <row r="258">
      <c r="H258" s="252" t="s">
        <v>161</v>
      </c>
    </row>
    <row r="259">
      <c r="H259" s="252" t="s">
        <v>161</v>
      </c>
    </row>
    <row r="260">
      <c r="H260" s="252" t="s">
        <v>161</v>
      </c>
    </row>
    <row r="261">
      <c r="H261" s="252" t="s">
        <v>161</v>
      </c>
    </row>
    <row r="262">
      <c r="H262" s="252" t="s">
        <v>161</v>
      </c>
    </row>
    <row r="263">
      <c r="H263" s="252" t="s">
        <v>161</v>
      </c>
    </row>
    <row r="264">
      <c r="H264" s="252" t="s">
        <v>161</v>
      </c>
    </row>
    <row r="265">
      <c r="H265" s="252" t="s">
        <v>161</v>
      </c>
    </row>
    <row r="266">
      <c r="H266" s="252" t="s">
        <v>161</v>
      </c>
    </row>
    <row r="267">
      <c r="H267" s="252" t="s">
        <v>161</v>
      </c>
    </row>
    <row r="268">
      <c r="H268" s="252" t="s">
        <v>161</v>
      </c>
    </row>
    <row r="269">
      <c r="H269" s="252" t="s">
        <v>161</v>
      </c>
    </row>
    <row r="270">
      <c r="H270" s="252" t="s">
        <v>161</v>
      </c>
    </row>
    <row r="271">
      <c r="H271" s="252" t="s">
        <v>161</v>
      </c>
    </row>
    <row r="272">
      <c r="H272" s="252" t="s">
        <v>161</v>
      </c>
    </row>
    <row r="273">
      <c r="H273" s="252" t="s">
        <v>161</v>
      </c>
    </row>
    <row r="274">
      <c r="H274" s="252" t="s">
        <v>161</v>
      </c>
    </row>
    <row r="275">
      <c r="H275" s="252" t="s">
        <v>161</v>
      </c>
    </row>
    <row r="276">
      <c r="H276" s="252" t="s">
        <v>161</v>
      </c>
    </row>
    <row r="277">
      <c r="H277" s="252" t="s">
        <v>161</v>
      </c>
    </row>
    <row r="278">
      <c r="H278" s="252" t="s">
        <v>161</v>
      </c>
    </row>
    <row r="279">
      <c r="H279" s="252" t="s">
        <v>161</v>
      </c>
    </row>
    <row r="280">
      <c r="H280" s="252" t="s">
        <v>161</v>
      </c>
    </row>
    <row r="281">
      <c r="H281" s="252" t="s">
        <v>161</v>
      </c>
    </row>
    <row r="282">
      <c r="H282" s="252" t="s">
        <v>161</v>
      </c>
    </row>
    <row r="283">
      <c r="H283" s="252" t="s">
        <v>161</v>
      </c>
    </row>
    <row r="284">
      <c r="H284" s="252" t="s">
        <v>161</v>
      </c>
    </row>
    <row r="285">
      <c r="H285" s="252" t="s">
        <v>161</v>
      </c>
    </row>
    <row r="286">
      <c r="H286" s="252" t="s">
        <v>161</v>
      </c>
    </row>
    <row r="287">
      <c r="H287" s="252" t="s">
        <v>161</v>
      </c>
    </row>
    <row r="288">
      <c r="H288" s="252" t="s">
        <v>161</v>
      </c>
    </row>
    <row r="289">
      <c r="H289" s="252" t="s">
        <v>161</v>
      </c>
    </row>
    <row r="290">
      <c r="H290" s="252" t="s">
        <v>161</v>
      </c>
    </row>
    <row r="291">
      <c r="H291" s="252" t="s">
        <v>161</v>
      </c>
    </row>
    <row r="292">
      <c r="H292" s="252" t="s">
        <v>161</v>
      </c>
    </row>
    <row r="293">
      <c r="H293" s="252" t="s">
        <v>161</v>
      </c>
    </row>
    <row r="294">
      <c r="H294" s="252" t="s">
        <v>161</v>
      </c>
    </row>
    <row r="295">
      <c r="H295" s="252" t="s">
        <v>161</v>
      </c>
    </row>
    <row r="296">
      <c r="H296" s="252" t="s">
        <v>161</v>
      </c>
    </row>
    <row r="297">
      <c r="H297" s="252" t="s">
        <v>161</v>
      </c>
    </row>
    <row r="298">
      <c r="H298" s="252" t="s">
        <v>161</v>
      </c>
    </row>
    <row r="299">
      <c r="H299" s="252" t="s">
        <v>161</v>
      </c>
    </row>
    <row r="300">
      <c r="H300" s="252" t="s">
        <v>161</v>
      </c>
    </row>
    <row r="301">
      <c r="H301" s="252" t="s">
        <v>161</v>
      </c>
    </row>
    <row r="302">
      <c r="H302" s="252" t="s">
        <v>161</v>
      </c>
    </row>
    <row r="303">
      <c r="H303" s="252" t="s">
        <v>161</v>
      </c>
    </row>
    <row r="304">
      <c r="H304" s="252" t="s">
        <v>161</v>
      </c>
    </row>
    <row r="305">
      <c r="H305" s="252" t="s">
        <v>161</v>
      </c>
    </row>
    <row r="306">
      <c r="H306" s="252" t="s">
        <v>161</v>
      </c>
    </row>
    <row r="307">
      <c r="H307" s="252" t="s">
        <v>161</v>
      </c>
    </row>
    <row r="308">
      <c r="H308" s="252" t="s">
        <v>161</v>
      </c>
    </row>
    <row r="309">
      <c r="H309" s="252" t="s">
        <v>161</v>
      </c>
    </row>
    <row r="310">
      <c r="H310" s="252" t="s">
        <v>161</v>
      </c>
    </row>
    <row r="311">
      <c r="H311" s="252" t="s">
        <v>161</v>
      </c>
    </row>
    <row r="312">
      <c r="H312" s="252" t="s">
        <v>161</v>
      </c>
    </row>
    <row r="313">
      <c r="H313" s="252" t="s">
        <v>161</v>
      </c>
    </row>
    <row r="314">
      <c r="H314" s="252" t="s">
        <v>161</v>
      </c>
    </row>
    <row r="315">
      <c r="H315" s="252" t="s">
        <v>161</v>
      </c>
    </row>
    <row r="316">
      <c r="H316" s="252" t="s">
        <v>161</v>
      </c>
    </row>
    <row r="317">
      <c r="H317" s="252" t="s">
        <v>161</v>
      </c>
    </row>
    <row r="318">
      <c r="H318" s="252" t="s">
        <v>161</v>
      </c>
    </row>
    <row r="319">
      <c r="H319" s="252" t="s">
        <v>161</v>
      </c>
    </row>
    <row r="320">
      <c r="H320" s="252" t="s">
        <v>161</v>
      </c>
    </row>
    <row r="321">
      <c r="H321" s="252" t="s">
        <v>161</v>
      </c>
    </row>
    <row r="322">
      <c r="H322" s="252" t="s">
        <v>161</v>
      </c>
    </row>
    <row r="323">
      <c r="H323" s="252" t="s">
        <v>161</v>
      </c>
    </row>
    <row r="324">
      <c r="H324" s="252" t="s">
        <v>161</v>
      </c>
    </row>
    <row r="325">
      <c r="H325" s="252" t="s">
        <v>161</v>
      </c>
    </row>
    <row r="326">
      <c r="H326" s="252" t="s">
        <v>161</v>
      </c>
    </row>
    <row r="327">
      <c r="H327" s="252" t="s">
        <v>161</v>
      </c>
    </row>
    <row r="328">
      <c r="H328" s="252" t="s">
        <v>161</v>
      </c>
    </row>
    <row r="329">
      <c r="H329" s="252" t="s">
        <v>161</v>
      </c>
    </row>
    <row r="330">
      <c r="H330" s="252" t="s">
        <v>161</v>
      </c>
    </row>
    <row r="331">
      <c r="H331" s="252" t="s">
        <v>161</v>
      </c>
    </row>
    <row r="332">
      <c r="H332" s="252" t="s">
        <v>161</v>
      </c>
    </row>
    <row r="333">
      <c r="H333" s="252" t="s">
        <v>161</v>
      </c>
    </row>
    <row r="334">
      <c r="H334" s="252" t="s">
        <v>161</v>
      </c>
    </row>
    <row r="335">
      <c r="H335" s="252" t="s">
        <v>161</v>
      </c>
    </row>
    <row r="336">
      <c r="H336" s="252" t="s">
        <v>161</v>
      </c>
    </row>
    <row r="337">
      <c r="H337" s="252" t="s">
        <v>161</v>
      </c>
    </row>
    <row r="338">
      <c r="H338" s="252" t="s">
        <v>161</v>
      </c>
    </row>
    <row r="339">
      <c r="H339" s="252" t="s">
        <v>161</v>
      </c>
    </row>
    <row r="340">
      <c r="H340" s="252" t="s">
        <v>161</v>
      </c>
    </row>
    <row r="341">
      <c r="H341" s="252" t="s">
        <v>161</v>
      </c>
    </row>
    <row r="342">
      <c r="H342" s="252" t="s">
        <v>161</v>
      </c>
    </row>
    <row r="343">
      <c r="H343" s="252" t="s">
        <v>161</v>
      </c>
    </row>
    <row r="344">
      <c r="H344" s="252" t="s">
        <v>161</v>
      </c>
    </row>
    <row r="345">
      <c r="H345" s="252" t="s">
        <v>161</v>
      </c>
    </row>
    <row r="346">
      <c r="H346" s="252" t="s">
        <v>161</v>
      </c>
    </row>
    <row r="347">
      <c r="H347" s="252" t="s">
        <v>161</v>
      </c>
    </row>
    <row r="348">
      <c r="H348" s="252" t="s">
        <v>161</v>
      </c>
    </row>
    <row r="349">
      <c r="H349" s="252" t="s">
        <v>161</v>
      </c>
    </row>
    <row r="350">
      <c r="H350" s="252" t="s">
        <v>161</v>
      </c>
    </row>
    <row r="351">
      <c r="H351" s="252" t="s">
        <v>161</v>
      </c>
    </row>
    <row r="352">
      <c r="H352" s="252" t="s">
        <v>161</v>
      </c>
    </row>
    <row r="353">
      <c r="H353" s="252" t="s">
        <v>161</v>
      </c>
    </row>
    <row r="354">
      <c r="H354" s="252" t="s">
        <v>161</v>
      </c>
    </row>
    <row r="355">
      <c r="H355" s="252" t="s">
        <v>161</v>
      </c>
    </row>
    <row r="356">
      <c r="H356" s="252" t="s">
        <v>161</v>
      </c>
    </row>
    <row r="357">
      <c r="H357" s="252" t="s">
        <v>161</v>
      </c>
    </row>
    <row r="358">
      <c r="H358" s="252" t="s">
        <v>161</v>
      </c>
    </row>
    <row r="359">
      <c r="H359" s="252" t="s">
        <v>161</v>
      </c>
    </row>
    <row r="360">
      <c r="H360" s="252" t="s">
        <v>161</v>
      </c>
    </row>
    <row r="361">
      <c r="H361" s="252" t="s">
        <v>161</v>
      </c>
    </row>
    <row r="362">
      <c r="H362" s="252" t="s">
        <v>161</v>
      </c>
    </row>
    <row r="363">
      <c r="H363" s="252" t="s">
        <v>161</v>
      </c>
    </row>
    <row r="364">
      <c r="H364" s="252" t="s">
        <v>161</v>
      </c>
    </row>
    <row r="365">
      <c r="H365" s="252" t="s">
        <v>161</v>
      </c>
    </row>
    <row r="366">
      <c r="H366" s="252" t="s">
        <v>161</v>
      </c>
    </row>
    <row r="367">
      <c r="H367" s="252" t="s">
        <v>161</v>
      </c>
    </row>
    <row r="368">
      <c r="H368" s="252" t="s">
        <v>161</v>
      </c>
    </row>
    <row r="369">
      <c r="H369" s="252" t="s">
        <v>161</v>
      </c>
    </row>
    <row r="370">
      <c r="H370" s="252" t="s">
        <v>161</v>
      </c>
    </row>
    <row r="371">
      <c r="H371" s="252" t="s">
        <v>161</v>
      </c>
    </row>
    <row r="372">
      <c r="H372" s="252" t="s">
        <v>161</v>
      </c>
    </row>
    <row r="373">
      <c r="H373" s="252" t="s">
        <v>161</v>
      </c>
    </row>
    <row r="374">
      <c r="H374" s="252" t="s">
        <v>161</v>
      </c>
    </row>
    <row r="375">
      <c r="H375" s="252" t="s">
        <v>161</v>
      </c>
    </row>
    <row r="376">
      <c r="H376" s="252" t="s">
        <v>161</v>
      </c>
    </row>
    <row r="377">
      <c r="H377" s="252" t="s">
        <v>161</v>
      </c>
    </row>
    <row r="378">
      <c r="H378" s="252" t="s">
        <v>161</v>
      </c>
    </row>
    <row r="379">
      <c r="H379" s="252" t="s">
        <v>161</v>
      </c>
    </row>
    <row r="380">
      <c r="H380" s="252" t="s">
        <v>161</v>
      </c>
    </row>
    <row r="381">
      <c r="H381" s="252" t="s">
        <v>161</v>
      </c>
    </row>
    <row r="382">
      <c r="H382" s="252" t="s">
        <v>161</v>
      </c>
    </row>
    <row r="383">
      <c r="H383" s="252" t="s">
        <v>161</v>
      </c>
    </row>
    <row r="384">
      <c r="H384" s="252" t="s">
        <v>161</v>
      </c>
    </row>
    <row r="385">
      <c r="H385" s="252" t="s">
        <v>161</v>
      </c>
    </row>
    <row r="386">
      <c r="H386" s="252" t="s">
        <v>161</v>
      </c>
    </row>
    <row r="387">
      <c r="H387" s="252" t="s">
        <v>161</v>
      </c>
    </row>
    <row r="388">
      <c r="H388" s="252" t="s">
        <v>161</v>
      </c>
    </row>
    <row r="389">
      <c r="H389" s="252" t="s">
        <v>161</v>
      </c>
    </row>
    <row r="390">
      <c r="H390" s="252" t="s">
        <v>161</v>
      </c>
    </row>
    <row r="391">
      <c r="H391" s="252" t="s">
        <v>161</v>
      </c>
    </row>
    <row r="392">
      <c r="H392" s="252" t="s">
        <v>161</v>
      </c>
    </row>
    <row r="393">
      <c r="H393" s="252" t="s">
        <v>161</v>
      </c>
    </row>
    <row r="394">
      <c r="H394" s="252" t="s">
        <v>161</v>
      </c>
    </row>
    <row r="395">
      <c r="H395" s="252" t="s">
        <v>161</v>
      </c>
    </row>
    <row r="396">
      <c r="H396" s="252" t="s">
        <v>161</v>
      </c>
    </row>
    <row r="397">
      <c r="H397" s="252" t="s">
        <v>161</v>
      </c>
    </row>
    <row r="398">
      <c r="H398" s="252" t="s">
        <v>161</v>
      </c>
    </row>
    <row r="399">
      <c r="H399" s="252" t="s">
        <v>161</v>
      </c>
    </row>
    <row r="400">
      <c r="H400" s="252" t="s">
        <v>161</v>
      </c>
    </row>
    <row r="401">
      <c r="H401" s="252" t="s">
        <v>161</v>
      </c>
    </row>
    <row r="402">
      <c r="H402" s="252" t="s">
        <v>161</v>
      </c>
    </row>
    <row r="403">
      <c r="H403" s="252" t="s">
        <v>161</v>
      </c>
    </row>
    <row r="404">
      <c r="H404" s="252" t="s">
        <v>161</v>
      </c>
    </row>
    <row r="405">
      <c r="H405" s="252" t="s">
        <v>161</v>
      </c>
    </row>
    <row r="406">
      <c r="H406" s="252" t="s">
        <v>161</v>
      </c>
    </row>
    <row r="407">
      <c r="H407" s="252" t="s">
        <v>161</v>
      </c>
    </row>
    <row r="408">
      <c r="H408" s="252" t="s">
        <v>161</v>
      </c>
    </row>
    <row r="409">
      <c r="H409" s="252" t="s">
        <v>161</v>
      </c>
    </row>
    <row r="410">
      <c r="H410" s="252" t="s">
        <v>161</v>
      </c>
    </row>
    <row r="411">
      <c r="H411" s="252" t="s">
        <v>161</v>
      </c>
    </row>
    <row r="412">
      <c r="H412" s="252" t="s">
        <v>161</v>
      </c>
    </row>
    <row r="413">
      <c r="H413" s="252" t="s">
        <v>161</v>
      </c>
    </row>
    <row r="414">
      <c r="H414" s="252" t="s">
        <v>161</v>
      </c>
    </row>
    <row r="415">
      <c r="H415" s="252" t="s">
        <v>161</v>
      </c>
    </row>
    <row r="416">
      <c r="H416" s="252" t="s">
        <v>161</v>
      </c>
    </row>
    <row r="417">
      <c r="H417" s="252" t="s">
        <v>161</v>
      </c>
    </row>
    <row r="418">
      <c r="H418" s="252" t="s">
        <v>161</v>
      </c>
    </row>
    <row r="419">
      <c r="H419" s="252" t="s">
        <v>161</v>
      </c>
    </row>
    <row r="420">
      <c r="H420" s="252" t="s">
        <v>161</v>
      </c>
    </row>
    <row r="421">
      <c r="H421" s="252" t="s">
        <v>161</v>
      </c>
    </row>
    <row r="422">
      <c r="H422" s="252" t="s">
        <v>161</v>
      </c>
    </row>
    <row r="423">
      <c r="H423" s="252" t="s">
        <v>161</v>
      </c>
    </row>
    <row r="424">
      <c r="H424" s="252" t="s">
        <v>161</v>
      </c>
    </row>
    <row r="425">
      <c r="H425" s="252" t="s">
        <v>161</v>
      </c>
    </row>
    <row r="426">
      <c r="H426" s="252" t="s">
        <v>161</v>
      </c>
    </row>
    <row r="427">
      <c r="H427" s="252" t="s">
        <v>161</v>
      </c>
    </row>
    <row r="428">
      <c r="H428" s="252" t="s">
        <v>161</v>
      </c>
    </row>
    <row r="429">
      <c r="H429" s="252" t="s">
        <v>161</v>
      </c>
    </row>
    <row r="430">
      <c r="H430" s="252" t="s">
        <v>161</v>
      </c>
    </row>
    <row r="431">
      <c r="H431" s="252" t="s">
        <v>161</v>
      </c>
    </row>
    <row r="432">
      <c r="H432" s="252" t="s">
        <v>161</v>
      </c>
    </row>
    <row r="433">
      <c r="H433" s="252" t="s">
        <v>161</v>
      </c>
    </row>
    <row r="434">
      <c r="H434" s="252" t="s">
        <v>161</v>
      </c>
    </row>
    <row r="435">
      <c r="H435" s="252" t="s">
        <v>161</v>
      </c>
    </row>
    <row r="436">
      <c r="H436" s="252" t="s">
        <v>161</v>
      </c>
    </row>
    <row r="437">
      <c r="H437" s="252" t="s">
        <v>161</v>
      </c>
    </row>
    <row r="438">
      <c r="H438" s="252" t="s">
        <v>161</v>
      </c>
    </row>
    <row r="439">
      <c r="H439" s="252" t="s">
        <v>161</v>
      </c>
    </row>
    <row r="440">
      <c r="H440" s="252" t="s">
        <v>161</v>
      </c>
    </row>
    <row r="441">
      <c r="H441" s="252" t="s">
        <v>161</v>
      </c>
    </row>
    <row r="442">
      <c r="H442" s="252" t="s">
        <v>161</v>
      </c>
    </row>
    <row r="443">
      <c r="H443" s="252" t="s">
        <v>161</v>
      </c>
    </row>
    <row r="444">
      <c r="H444" s="252" t="s">
        <v>161</v>
      </c>
    </row>
    <row r="445">
      <c r="H445" s="252" t="s">
        <v>161</v>
      </c>
    </row>
    <row r="446">
      <c r="H446" s="252" t="s">
        <v>161</v>
      </c>
    </row>
    <row r="447">
      <c r="H447" s="252" t="s">
        <v>161</v>
      </c>
    </row>
    <row r="448">
      <c r="H448" s="252" t="s">
        <v>161</v>
      </c>
    </row>
    <row r="449">
      <c r="H449" s="252" t="s">
        <v>161</v>
      </c>
    </row>
    <row r="450">
      <c r="H450" s="252" t="s">
        <v>161</v>
      </c>
    </row>
    <row r="451">
      <c r="H451" s="252" t="s">
        <v>161</v>
      </c>
    </row>
    <row r="452">
      <c r="H452" s="252" t="s">
        <v>161</v>
      </c>
    </row>
    <row r="453">
      <c r="H453" s="252" t="s">
        <v>161</v>
      </c>
    </row>
    <row r="454">
      <c r="H454" s="252" t="s">
        <v>161</v>
      </c>
    </row>
    <row r="455">
      <c r="H455" s="252" t="s">
        <v>161</v>
      </c>
    </row>
    <row r="456">
      <c r="H456" s="252" t="s">
        <v>161</v>
      </c>
    </row>
    <row r="457">
      <c r="H457" s="252" t="s">
        <v>161</v>
      </c>
    </row>
    <row r="458">
      <c r="H458" s="252" t="s">
        <v>161</v>
      </c>
    </row>
    <row r="459">
      <c r="H459" s="252" t="s">
        <v>161</v>
      </c>
    </row>
    <row r="460">
      <c r="H460" s="252" t="s">
        <v>161</v>
      </c>
    </row>
    <row r="461">
      <c r="H461" s="252" t="s">
        <v>161</v>
      </c>
    </row>
    <row r="462">
      <c r="H462" s="252" t="s">
        <v>161</v>
      </c>
    </row>
    <row r="463">
      <c r="H463" s="252" t="s">
        <v>161</v>
      </c>
    </row>
    <row r="464">
      <c r="H464" s="252" t="s">
        <v>161</v>
      </c>
    </row>
    <row r="465">
      <c r="H465" s="252" t="s">
        <v>161</v>
      </c>
    </row>
    <row r="466">
      <c r="H466" s="252" t="s">
        <v>161</v>
      </c>
    </row>
    <row r="467">
      <c r="H467" s="252" t="s">
        <v>161</v>
      </c>
    </row>
    <row r="468">
      <c r="H468" s="252" t="s">
        <v>161</v>
      </c>
    </row>
    <row r="469">
      <c r="H469" s="252" t="s">
        <v>161</v>
      </c>
    </row>
    <row r="470">
      <c r="H470" s="252" t="s">
        <v>161</v>
      </c>
    </row>
    <row r="471">
      <c r="H471" s="252" t="s">
        <v>161</v>
      </c>
    </row>
    <row r="472">
      <c r="H472" s="252" t="s">
        <v>161</v>
      </c>
    </row>
    <row r="473">
      <c r="H473" s="252" t="s">
        <v>161</v>
      </c>
    </row>
    <row r="474">
      <c r="H474" s="252" t="s">
        <v>161</v>
      </c>
    </row>
    <row r="475">
      <c r="H475" s="252" t="s">
        <v>161</v>
      </c>
    </row>
    <row r="476">
      <c r="H476" s="252" t="s">
        <v>161</v>
      </c>
    </row>
    <row r="477">
      <c r="H477" s="252" t="s">
        <v>161</v>
      </c>
    </row>
    <row r="478">
      <c r="H478" s="252" t="s">
        <v>161</v>
      </c>
    </row>
    <row r="479">
      <c r="H479" s="252" t="s">
        <v>161</v>
      </c>
    </row>
    <row r="480">
      <c r="H480" s="252" t="s">
        <v>161</v>
      </c>
    </row>
    <row r="481">
      <c r="H481" s="252" t="s">
        <v>161</v>
      </c>
    </row>
    <row r="482">
      <c r="H482" s="252" t="s">
        <v>161</v>
      </c>
    </row>
    <row r="483">
      <c r="H483" s="252" t="s">
        <v>161</v>
      </c>
    </row>
    <row r="484">
      <c r="H484" s="252" t="s">
        <v>161</v>
      </c>
    </row>
    <row r="485">
      <c r="H485" s="252" t="s">
        <v>161</v>
      </c>
    </row>
    <row r="486">
      <c r="H486" s="252" t="s">
        <v>161</v>
      </c>
    </row>
    <row r="487">
      <c r="H487" s="252" t="s">
        <v>161</v>
      </c>
    </row>
    <row r="488">
      <c r="H488" s="252" t="s">
        <v>161</v>
      </c>
    </row>
    <row r="489">
      <c r="H489" s="252" t="s">
        <v>161</v>
      </c>
    </row>
    <row r="490">
      <c r="H490" s="252" t="s">
        <v>161</v>
      </c>
    </row>
    <row r="491">
      <c r="H491" s="252" t="s">
        <v>161</v>
      </c>
    </row>
    <row r="492">
      <c r="H492" s="252" t="s">
        <v>161</v>
      </c>
    </row>
    <row r="493">
      <c r="H493" s="252" t="s">
        <v>161</v>
      </c>
    </row>
    <row r="494">
      <c r="H494" s="252" t="s">
        <v>161</v>
      </c>
    </row>
    <row r="495">
      <c r="H495" s="252" t="s">
        <v>161</v>
      </c>
    </row>
    <row r="496">
      <c r="H496" s="252" t="s">
        <v>161</v>
      </c>
    </row>
    <row r="497">
      <c r="H497" s="252" t="s">
        <v>161</v>
      </c>
    </row>
    <row r="498">
      <c r="H498" s="252" t="s">
        <v>161</v>
      </c>
    </row>
    <row r="499">
      <c r="H499" s="252" t="s">
        <v>161</v>
      </c>
    </row>
    <row r="500">
      <c r="H500" s="252" t="s">
        <v>161</v>
      </c>
    </row>
    <row r="501">
      <c r="H501" s="252" t="s">
        <v>161</v>
      </c>
    </row>
    <row r="502">
      <c r="H502" s="252" t="s">
        <v>161</v>
      </c>
    </row>
    <row r="503">
      <c r="H503" s="252" t="s">
        <v>161</v>
      </c>
    </row>
    <row r="504">
      <c r="H504" s="252" t="s">
        <v>161</v>
      </c>
    </row>
    <row r="505">
      <c r="H505" s="252" t="s">
        <v>161</v>
      </c>
    </row>
    <row r="506">
      <c r="H506" s="252" t="s">
        <v>161</v>
      </c>
    </row>
    <row r="507">
      <c r="H507" s="252" t="s">
        <v>161</v>
      </c>
    </row>
    <row r="508">
      <c r="H508" s="252" t="s">
        <v>161</v>
      </c>
    </row>
    <row r="509">
      <c r="H509" s="252" t="s">
        <v>161</v>
      </c>
    </row>
    <row r="510">
      <c r="H510" s="252" t="s">
        <v>161</v>
      </c>
    </row>
    <row r="511">
      <c r="H511" s="252" t="s">
        <v>161</v>
      </c>
    </row>
    <row r="512">
      <c r="H512" s="252" t="s">
        <v>161</v>
      </c>
    </row>
    <row r="513">
      <c r="H513" s="252" t="s">
        <v>161</v>
      </c>
    </row>
    <row r="514">
      <c r="H514" s="252" t="s">
        <v>161</v>
      </c>
    </row>
    <row r="515">
      <c r="H515" s="252" t="s">
        <v>161</v>
      </c>
    </row>
    <row r="516">
      <c r="H516" s="252" t="s">
        <v>161</v>
      </c>
    </row>
    <row r="517">
      <c r="H517" s="252" t="s">
        <v>161</v>
      </c>
    </row>
    <row r="518">
      <c r="H518" s="252" t="s">
        <v>161</v>
      </c>
    </row>
    <row r="519">
      <c r="H519" s="252" t="s">
        <v>161</v>
      </c>
    </row>
    <row r="520">
      <c r="H520" s="252" t="s">
        <v>161</v>
      </c>
    </row>
    <row r="521">
      <c r="H521" s="252" t="s">
        <v>161</v>
      </c>
    </row>
    <row r="522">
      <c r="H522" s="252" t="s">
        <v>161</v>
      </c>
    </row>
    <row r="523">
      <c r="H523" s="252" t="s">
        <v>161</v>
      </c>
    </row>
    <row r="524">
      <c r="H524" s="252" t="s">
        <v>161</v>
      </c>
    </row>
    <row r="525">
      <c r="H525" s="252" t="s">
        <v>161</v>
      </c>
    </row>
    <row r="526">
      <c r="H526" s="252" t="s">
        <v>161</v>
      </c>
    </row>
    <row r="527">
      <c r="H527" s="252" t="s">
        <v>161</v>
      </c>
    </row>
    <row r="528">
      <c r="H528" s="252" t="s">
        <v>161</v>
      </c>
    </row>
    <row r="529">
      <c r="H529" s="252" t="s">
        <v>161</v>
      </c>
    </row>
    <row r="530">
      <c r="H530" s="252" t="s">
        <v>161</v>
      </c>
    </row>
    <row r="531">
      <c r="H531" s="252" t="s">
        <v>161</v>
      </c>
    </row>
    <row r="532">
      <c r="H532" s="252" t="s">
        <v>161</v>
      </c>
    </row>
    <row r="533">
      <c r="H533" s="252" t="s">
        <v>161</v>
      </c>
    </row>
    <row r="534">
      <c r="H534" s="252" t="s">
        <v>161</v>
      </c>
    </row>
    <row r="535">
      <c r="H535" s="252" t="s">
        <v>161</v>
      </c>
    </row>
    <row r="536">
      <c r="H536" s="252" t="s">
        <v>161</v>
      </c>
    </row>
    <row r="537">
      <c r="H537" s="252" t="s">
        <v>161</v>
      </c>
    </row>
    <row r="538">
      <c r="H538" s="252" t="s">
        <v>161</v>
      </c>
    </row>
    <row r="539">
      <c r="H539" s="252" t="s">
        <v>161</v>
      </c>
    </row>
    <row r="540">
      <c r="H540" s="252" t="s">
        <v>161</v>
      </c>
    </row>
    <row r="541">
      <c r="H541" s="252" t="s">
        <v>161</v>
      </c>
    </row>
    <row r="542">
      <c r="H542" s="252" t="s">
        <v>161</v>
      </c>
    </row>
    <row r="543">
      <c r="H543" s="252" t="s">
        <v>161</v>
      </c>
    </row>
    <row r="544">
      <c r="H544" s="252" t="s">
        <v>161</v>
      </c>
    </row>
    <row r="545">
      <c r="H545" s="252" t="s">
        <v>161</v>
      </c>
    </row>
    <row r="546">
      <c r="H546" s="252" t="s">
        <v>161</v>
      </c>
    </row>
    <row r="547">
      <c r="H547" s="252" t="s">
        <v>161</v>
      </c>
    </row>
    <row r="548">
      <c r="H548" s="252" t="s">
        <v>161</v>
      </c>
    </row>
    <row r="549">
      <c r="H549" s="252" t="s">
        <v>161</v>
      </c>
    </row>
    <row r="550">
      <c r="H550" s="252" t="s">
        <v>161</v>
      </c>
    </row>
    <row r="551">
      <c r="H551" s="252" t="s">
        <v>161</v>
      </c>
    </row>
    <row r="552">
      <c r="H552" s="252" t="s">
        <v>161</v>
      </c>
    </row>
    <row r="553">
      <c r="H553" s="252" t="s">
        <v>161</v>
      </c>
    </row>
    <row r="554">
      <c r="H554" s="252" t="s">
        <v>161</v>
      </c>
    </row>
    <row r="555">
      <c r="H555" s="252" t="s">
        <v>161</v>
      </c>
    </row>
    <row r="556">
      <c r="H556" s="252" t="s">
        <v>161</v>
      </c>
    </row>
    <row r="557">
      <c r="H557" s="252" t="s">
        <v>161</v>
      </c>
    </row>
    <row r="558">
      <c r="H558" s="252" t="s">
        <v>161</v>
      </c>
    </row>
    <row r="559">
      <c r="H559" s="252" t="s">
        <v>161</v>
      </c>
    </row>
    <row r="560">
      <c r="H560" s="252" t="s">
        <v>161</v>
      </c>
    </row>
    <row r="561">
      <c r="H561" s="252" t="s">
        <v>161</v>
      </c>
    </row>
    <row r="562">
      <c r="H562" s="252" t="s">
        <v>161</v>
      </c>
    </row>
    <row r="563">
      <c r="H563" s="252" t="s">
        <v>161</v>
      </c>
    </row>
    <row r="564">
      <c r="H564" s="252" t="s">
        <v>161</v>
      </c>
    </row>
    <row r="565">
      <c r="H565" s="252" t="s">
        <v>161</v>
      </c>
    </row>
    <row r="566">
      <c r="H566" s="252" t="s">
        <v>161</v>
      </c>
    </row>
    <row r="567">
      <c r="H567" s="252" t="s">
        <v>161</v>
      </c>
    </row>
    <row r="568">
      <c r="H568" s="252" t="s">
        <v>161</v>
      </c>
    </row>
    <row r="569">
      <c r="H569" s="252" t="s">
        <v>161</v>
      </c>
    </row>
    <row r="570">
      <c r="H570" s="252" t="s">
        <v>161</v>
      </c>
    </row>
    <row r="571">
      <c r="H571" s="252" t="s">
        <v>161</v>
      </c>
    </row>
    <row r="572">
      <c r="H572" s="252" t="s">
        <v>161</v>
      </c>
    </row>
    <row r="573">
      <c r="H573" s="252" t="s">
        <v>161</v>
      </c>
    </row>
    <row r="574">
      <c r="H574" s="252" t="s">
        <v>161</v>
      </c>
    </row>
    <row r="575">
      <c r="H575" s="252" t="s">
        <v>161</v>
      </c>
    </row>
    <row r="576">
      <c r="H576" s="252" t="s">
        <v>161</v>
      </c>
    </row>
    <row r="577">
      <c r="H577" s="252" t="s">
        <v>161</v>
      </c>
    </row>
    <row r="578">
      <c r="H578" s="252" t="s">
        <v>161</v>
      </c>
    </row>
    <row r="579">
      <c r="H579" s="252" t="s">
        <v>161</v>
      </c>
    </row>
    <row r="580">
      <c r="H580" s="252" t="s">
        <v>161</v>
      </c>
    </row>
    <row r="581">
      <c r="H581" s="252" t="s">
        <v>161</v>
      </c>
    </row>
    <row r="582">
      <c r="H582" s="252" t="s">
        <v>161</v>
      </c>
    </row>
    <row r="583">
      <c r="H583" s="252" t="s">
        <v>161</v>
      </c>
    </row>
    <row r="584">
      <c r="H584" s="252" t="s">
        <v>161</v>
      </c>
    </row>
    <row r="585">
      <c r="H585" s="252" t="s">
        <v>161</v>
      </c>
    </row>
    <row r="586">
      <c r="H586" s="252" t="s">
        <v>161</v>
      </c>
    </row>
    <row r="587">
      <c r="H587" s="252" t="s">
        <v>161</v>
      </c>
    </row>
    <row r="588">
      <c r="H588" s="252" t="s">
        <v>161</v>
      </c>
    </row>
    <row r="589">
      <c r="H589" s="252" t="s">
        <v>161</v>
      </c>
    </row>
    <row r="590">
      <c r="H590" s="252" t="s">
        <v>161</v>
      </c>
    </row>
    <row r="591">
      <c r="H591" s="252" t="s">
        <v>161</v>
      </c>
    </row>
    <row r="592">
      <c r="H592" s="252" t="s">
        <v>161</v>
      </c>
    </row>
    <row r="593">
      <c r="H593" s="252" t="s">
        <v>161</v>
      </c>
    </row>
    <row r="594">
      <c r="H594" s="252" t="s">
        <v>161</v>
      </c>
    </row>
    <row r="595">
      <c r="H595" s="252" t="s">
        <v>161</v>
      </c>
    </row>
    <row r="596">
      <c r="H596" s="252" t="s">
        <v>161</v>
      </c>
    </row>
    <row r="597">
      <c r="H597" s="252" t="s">
        <v>161</v>
      </c>
    </row>
    <row r="598">
      <c r="H598" s="252" t="s">
        <v>161</v>
      </c>
    </row>
    <row r="599">
      <c r="H599" s="252" t="s">
        <v>161</v>
      </c>
    </row>
    <row r="600">
      <c r="H600" s="252" t="s">
        <v>161</v>
      </c>
    </row>
    <row r="601">
      <c r="H601" s="252" t="s">
        <v>161</v>
      </c>
    </row>
    <row r="602">
      <c r="H602" s="252" t="s">
        <v>161</v>
      </c>
    </row>
    <row r="603">
      <c r="H603" s="252" t="s">
        <v>161</v>
      </c>
    </row>
    <row r="604">
      <c r="H604" s="252" t="s">
        <v>161</v>
      </c>
    </row>
    <row r="605">
      <c r="H605" s="252" t="s">
        <v>161</v>
      </c>
    </row>
    <row r="606">
      <c r="H606" s="252" t="s">
        <v>161</v>
      </c>
    </row>
    <row r="607">
      <c r="H607" s="252" t="s">
        <v>161</v>
      </c>
    </row>
    <row r="608">
      <c r="H608" s="252" t="s">
        <v>161</v>
      </c>
    </row>
    <row r="609">
      <c r="H609" s="252" t="s">
        <v>161</v>
      </c>
    </row>
    <row r="610">
      <c r="H610" s="252" t="s">
        <v>161</v>
      </c>
    </row>
    <row r="611">
      <c r="H611" s="252" t="s">
        <v>161</v>
      </c>
    </row>
    <row r="612">
      <c r="H612" s="252" t="s">
        <v>161</v>
      </c>
    </row>
    <row r="613">
      <c r="H613" s="252" t="s">
        <v>161</v>
      </c>
    </row>
    <row r="614">
      <c r="H614" s="252" t="s">
        <v>161</v>
      </c>
    </row>
    <row r="615">
      <c r="H615" s="252" t="s">
        <v>161</v>
      </c>
    </row>
    <row r="616">
      <c r="H616" s="252" t="s">
        <v>161</v>
      </c>
    </row>
    <row r="617">
      <c r="H617" s="252" t="s">
        <v>161</v>
      </c>
    </row>
    <row r="618">
      <c r="H618" s="252" t="s">
        <v>161</v>
      </c>
    </row>
    <row r="619">
      <c r="H619" s="252" t="s">
        <v>161</v>
      </c>
    </row>
    <row r="620">
      <c r="H620" s="252" t="s">
        <v>161</v>
      </c>
    </row>
    <row r="621">
      <c r="H621" s="252" t="s">
        <v>161</v>
      </c>
    </row>
    <row r="622">
      <c r="H622" s="252" t="s">
        <v>161</v>
      </c>
    </row>
    <row r="623">
      <c r="H623" s="252" t="s">
        <v>161</v>
      </c>
    </row>
    <row r="624">
      <c r="H624" s="252" t="s">
        <v>161</v>
      </c>
    </row>
    <row r="625">
      <c r="H625" s="252" t="s">
        <v>161</v>
      </c>
    </row>
    <row r="626">
      <c r="H626" s="252" t="s">
        <v>161</v>
      </c>
    </row>
    <row r="627">
      <c r="H627" s="252" t="s">
        <v>161</v>
      </c>
    </row>
    <row r="628">
      <c r="H628" s="252" t="s">
        <v>161</v>
      </c>
    </row>
    <row r="629">
      <c r="H629" s="252" t="s">
        <v>161</v>
      </c>
    </row>
    <row r="630">
      <c r="H630" s="252" t="s">
        <v>161</v>
      </c>
    </row>
    <row r="631">
      <c r="H631" s="252" t="s">
        <v>161</v>
      </c>
    </row>
    <row r="632">
      <c r="H632" s="252" t="s">
        <v>161</v>
      </c>
    </row>
    <row r="633">
      <c r="H633" s="252" t="s">
        <v>161</v>
      </c>
    </row>
    <row r="634">
      <c r="H634" s="252" t="s">
        <v>161</v>
      </c>
    </row>
    <row r="635">
      <c r="H635" s="252" t="s">
        <v>161</v>
      </c>
    </row>
    <row r="636">
      <c r="H636" s="252" t="s">
        <v>161</v>
      </c>
    </row>
    <row r="637">
      <c r="H637" s="252" t="s">
        <v>161</v>
      </c>
    </row>
    <row r="638">
      <c r="H638" s="252" t="s">
        <v>161</v>
      </c>
    </row>
    <row r="639">
      <c r="H639" s="252" t="s">
        <v>161</v>
      </c>
    </row>
    <row r="640">
      <c r="H640" s="252" t="s">
        <v>161</v>
      </c>
    </row>
    <row r="641">
      <c r="H641" s="252" t="s">
        <v>161</v>
      </c>
    </row>
    <row r="642">
      <c r="H642" s="252" t="s">
        <v>161</v>
      </c>
    </row>
    <row r="643">
      <c r="H643" s="252" t="s">
        <v>161</v>
      </c>
    </row>
    <row r="644">
      <c r="H644" s="252" t="s">
        <v>161</v>
      </c>
    </row>
    <row r="645">
      <c r="H645" s="252" t="s">
        <v>161</v>
      </c>
    </row>
    <row r="646">
      <c r="H646" s="252" t="s">
        <v>161</v>
      </c>
    </row>
    <row r="647">
      <c r="H647" s="252" t="s">
        <v>161</v>
      </c>
    </row>
    <row r="648">
      <c r="H648" s="252" t="s">
        <v>161</v>
      </c>
    </row>
    <row r="649">
      <c r="H649" s="252" t="s">
        <v>161</v>
      </c>
    </row>
    <row r="650">
      <c r="H650" s="252" t="s">
        <v>161</v>
      </c>
    </row>
    <row r="651">
      <c r="H651" s="252" t="s">
        <v>161</v>
      </c>
    </row>
    <row r="652">
      <c r="H652" s="252" t="s">
        <v>161</v>
      </c>
    </row>
    <row r="653">
      <c r="H653" s="252" t="s">
        <v>161</v>
      </c>
    </row>
    <row r="654">
      <c r="H654" s="252" t="s">
        <v>161</v>
      </c>
    </row>
    <row r="655">
      <c r="H655" s="252" t="s">
        <v>161</v>
      </c>
    </row>
    <row r="656">
      <c r="H656" s="252" t="s">
        <v>161</v>
      </c>
    </row>
    <row r="657">
      <c r="H657" s="252" t="s">
        <v>161</v>
      </c>
    </row>
    <row r="658">
      <c r="H658" s="252" t="s">
        <v>161</v>
      </c>
    </row>
    <row r="659">
      <c r="H659" s="252" t="s">
        <v>161</v>
      </c>
    </row>
    <row r="660">
      <c r="H660" s="252" t="s">
        <v>161</v>
      </c>
    </row>
    <row r="661">
      <c r="H661" s="252" t="s">
        <v>161</v>
      </c>
    </row>
    <row r="662">
      <c r="H662" s="252" t="s">
        <v>161</v>
      </c>
    </row>
    <row r="663">
      <c r="H663" s="252" t="s">
        <v>161</v>
      </c>
    </row>
    <row r="664">
      <c r="H664" s="252" t="s">
        <v>161</v>
      </c>
    </row>
    <row r="665">
      <c r="H665" s="252" t="s">
        <v>161</v>
      </c>
    </row>
    <row r="666">
      <c r="H666" s="252" t="s">
        <v>161</v>
      </c>
    </row>
    <row r="667">
      <c r="H667" s="252" t="s">
        <v>161</v>
      </c>
    </row>
    <row r="668">
      <c r="H668" s="252" t="s">
        <v>161</v>
      </c>
    </row>
    <row r="669">
      <c r="H669" s="252" t="s">
        <v>161</v>
      </c>
    </row>
    <row r="670">
      <c r="H670" s="252" t="s">
        <v>161</v>
      </c>
    </row>
    <row r="671">
      <c r="H671" s="252" t="s">
        <v>161</v>
      </c>
    </row>
    <row r="672">
      <c r="H672" s="252" t="s">
        <v>161</v>
      </c>
    </row>
    <row r="673">
      <c r="H673" s="252" t="s">
        <v>161</v>
      </c>
    </row>
    <row r="674">
      <c r="H674" s="252" t="s">
        <v>161</v>
      </c>
    </row>
    <row r="675">
      <c r="H675" s="252" t="s">
        <v>161</v>
      </c>
    </row>
    <row r="676">
      <c r="H676" s="252" t="s">
        <v>161</v>
      </c>
    </row>
    <row r="677">
      <c r="H677" s="252" t="s">
        <v>161</v>
      </c>
    </row>
    <row r="678">
      <c r="H678" s="252" t="s">
        <v>161</v>
      </c>
    </row>
    <row r="679">
      <c r="H679" s="252" t="s">
        <v>161</v>
      </c>
    </row>
    <row r="680">
      <c r="H680" s="252" t="s">
        <v>161</v>
      </c>
    </row>
    <row r="681">
      <c r="H681" s="252" t="s">
        <v>161</v>
      </c>
    </row>
    <row r="682">
      <c r="H682" s="252" t="s">
        <v>161</v>
      </c>
    </row>
    <row r="683">
      <c r="H683" s="252" t="s">
        <v>161</v>
      </c>
    </row>
    <row r="684">
      <c r="H684" s="252" t="s">
        <v>161</v>
      </c>
    </row>
    <row r="685">
      <c r="H685" s="252" t="s">
        <v>161</v>
      </c>
    </row>
    <row r="686">
      <c r="H686" s="252" t="s">
        <v>161</v>
      </c>
    </row>
    <row r="687">
      <c r="H687" s="252" t="s">
        <v>161</v>
      </c>
    </row>
    <row r="688">
      <c r="H688" s="252" t="s">
        <v>161</v>
      </c>
    </row>
    <row r="689">
      <c r="H689" s="252" t="s">
        <v>161</v>
      </c>
    </row>
    <row r="690">
      <c r="H690" s="252" t="s">
        <v>161</v>
      </c>
    </row>
    <row r="691">
      <c r="H691" s="252" t="s">
        <v>161</v>
      </c>
    </row>
    <row r="692">
      <c r="H692" s="252" t="s">
        <v>161</v>
      </c>
    </row>
    <row r="693">
      <c r="H693" s="252" t="s">
        <v>161</v>
      </c>
    </row>
    <row r="694">
      <c r="H694" s="252" t="s">
        <v>161</v>
      </c>
    </row>
    <row r="695">
      <c r="H695" s="252" t="s">
        <v>161</v>
      </c>
    </row>
    <row r="696">
      <c r="H696" s="252" t="s">
        <v>161</v>
      </c>
    </row>
    <row r="697">
      <c r="H697" s="252" t="s">
        <v>161</v>
      </c>
    </row>
    <row r="698">
      <c r="H698" s="252" t="s">
        <v>161</v>
      </c>
    </row>
    <row r="699">
      <c r="H699" s="252" t="s">
        <v>161</v>
      </c>
    </row>
    <row r="700">
      <c r="H700" s="252" t="s">
        <v>161</v>
      </c>
    </row>
    <row r="701">
      <c r="H701" s="252" t="s">
        <v>161</v>
      </c>
    </row>
    <row r="702">
      <c r="H702" s="252" t="s">
        <v>161</v>
      </c>
    </row>
    <row r="703">
      <c r="H703" s="252" t="s">
        <v>161</v>
      </c>
    </row>
    <row r="704">
      <c r="H704" s="252" t="s">
        <v>161</v>
      </c>
    </row>
    <row r="705">
      <c r="H705" s="252" t="s">
        <v>161</v>
      </c>
    </row>
    <row r="706">
      <c r="H706" s="252" t="s">
        <v>161</v>
      </c>
    </row>
    <row r="707">
      <c r="H707" s="252" t="s">
        <v>161</v>
      </c>
    </row>
    <row r="708">
      <c r="H708" s="252" t="s">
        <v>161</v>
      </c>
    </row>
    <row r="709">
      <c r="H709" s="252" t="s">
        <v>161</v>
      </c>
    </row>
    <row r="710">
      <c r="H710" s="252" t="s">
        <v>161</v>
      </c>
    </row>
    <row r="711">
      <c r="H711" s="252" t="s">
        <v>161</v>
      </c>
    </row>
    <row r="712">
      <c r="H712" s="252" t="s">
        <v>161</v>
      </c>
    </row>
    <row r="713">
      <c r="H713" s="252" t="s">
        <v>161</v>
      </c>
    </row>
    <row r="714">
      <c r="H714" s="252" t="s">
        <v>161</v>
      </c>
    </row>
    <row r="715">
      <c r="H715" s="252" t="s">
        <v>161</v>
      </c>
    </row>
    <row r="716">
      <c r="H716" s="252" t="s">
        <v>161</v>
      </c>
    </row>
    <row r="717">
      <c r="H717" s="252" t="s">
        <v>161</v>
      </c>
    </row>
    <row r="718">
      <c r="H718" s="252" t="s">
        <v>161</v>
      </c>
    </row>
    <row r="719">
      <c r="H719" s="252" t="s">
        <v>161</v>
      </c>
    </row>
    <row r="720">
      <c r="H720" s="252" t="s">
        <v>161</v>
      </c>
    </row>
    <row r="721">
      <c r="H721" s="252" t="s">
        <v>161</v>
      </c>
    </row>
    <row r="722">
      <c r="H722" s="252" t="s">
        <v>161</v>
      </c>
    </row>
    <row r="723">
      <c r="H723" s="252" t="s">
        <v>161</v>
      </c>
    </row>
    <row r="724">
      <c r="H724" s="252" t="s">
        <v>161</v>
      </c>
    </row>
    <row r="725">
      <c r="H725" s="252" t="s">
        <v>161</v>
      </c>
    </row>
    <row r="726">
      <c r="H726" s="252" t="s">
        <v>161</v>
      </c>
    </row>
    <row r="727">
      <c r="H727" s="252" t="s">
        <v>161</v>
      </c>
    </row>
    <row r="728">
      <c r="H728" s="252" t="s">
        <v>161</v>
      </c>
    </row>
    <row r="729">
      <c r="H729" s="252" t="s">
        <v>161</v>
      </c>
    </row>
    <row r="730">
      <c r="H730" s="252" t="s">
        <v>161</v>
      </c>
    </row>
    <row r="731">
      <c r="H731" s="252" t="s">
        <v>161</v>
      </c>
    </row>
    <row r="732">
      <c r="H732" s="252" t="s">
        <v>161</v>
      </c>
    </row>
    <row r="733">
      <c r="H733" s="252" t="s">
        <v>161</v>
      </c>
    </row>
    <row r="734">
      <c r="H734" s="252" t="s">
        <v>161</v>
      </c>
    </row>
    <row r="735">
      <c r="H735" s="252" t="s">
        <v>161</v>
      </c>
    </row>
    <row r="736">
      <c r="H736" s="252" t="s">
        <v>161</v>
      </c>
    </row>
    <row r="737">
      <c r="H737" s="252" t="s">
        <v>161</v>
      </c>
    </row>
    <row r="738">
      <c r="H738" s="252" t="s">
        <v>161</v>
      </c>
    </row>
    <row r="739">
      <c r="H739" s="252" t="s">
        <v>161</v>
      </c>
    </row>
    <row r="740">
      <c r="H740" s="252" t="s">
        <v>161</v>
      </c>
    </row>
    <row r="741">
      <c r="H741" s="252" t="s">
        <v>161</v>
      </c>
    </row>
    <row r="742">
      <c r="H742" s="252" t="s">
        <v>161</v>
      </c>
    </row>
    <row r="743">
      <c r="H743" s="252" t="s">
        <v>161</v>
      </c>
    </row>
    <row r="744">
      <c r="H744" s="252" t="s">
        <v>161</v>
      </c>
    </row>
    <row r="745">
      <c r="H745" s="252" t="s">
        <v>161</v>
      </c>
    </row>
    <row r="746">
      <c r="H746" s="252" t="s">
        <v>161</v>
      </c>
    </row>
    <row r="747">
      <c r="H747" s="252" t="s">
        <v>161</v>
      </c>
    </row>
    <row r="748">
      <c r="H748" s="252" t="s">
        <v>161</v>
      </c>
    </row>
    <row r="749">
      <c r="H749" s="252" t="s">
        <v>161</v>
      </c>
    </row>
    <row r="750">
      <c r="H750" s="252" t="s">
        <v>161</v>
      </c>
    </row>
    <row r="751">
      <c r="H751" s="252" t="s">
        <v>161</v>
      </c>
    </row>
    <row r="752">
      <c r="H752" s="252" t="s">
        <v>161</v>
      </c>
    </row>
    <row r="753">
      <c r="H753" s="252" t="s">
        <v>161</v>
      </c>
    </row>
    <row r="754">
      <c r="H754" s="252" t="s">
        <v>161</v>
      </c>
    </row>
    <row r="755">
      <c r="H755" s="252" t="s">
        <v>161</v>
      </c>
    </row>
    <row r="756">
      <c r="H756" s="252" t="s">
        <v>161</v>
      </c>
    </row>
    <row r="757">
      <c r="H757" s="252" t="s">
        <v>161</v>
      </c>
    </row>
    <row r="758">
      <c r="H758" s="252" t="s">
        <v>161</v>
      </c>
    </row>
    <row r="759">
      <c r="H759" s="252" t="s">
        <v>161</v>
      </c>
    </row>
    <row r="760">
      <c r="H760" s="252" t="s">
        <v>161</v>
      </c>
    </row>
    <row r="761">
      <c r="H761" s="252" t="s">
        <v>161</v>
      </c>
    </row>
    <row r="762">
      <c r="H762" s="252" t="s">
        <v>161</v>
      </c>
    </row>
    <row r="763">
      <c r="H763" s="252" t="s">
        <v>161</v>
      </c>
    </row>
    <row r="764">
      <c r="H764" s="252" t="s">
        <v>161</v>
      </c>
    </row>
    <row r="765">
      <c r="H765" s="252" t="s">
        <v>161</v>
      </c>
    </row>
    <row r="766">
      <c r="H766" s="252" t="s">
        <v>161</v>
      </c>
    </row>
    <row r="767">
      <c r="H767" s="252" t="s">
        <v>161</v>
      </c>
    </row>
    <row r="768">
      <c r="H768" s="252" t="s">
        <v>161</v>
      </c>
    </row>
    <row r="769">
      <c r="H769" s="252" t="s">
        <v>161</v>
      </c>
    </row>
    <row r="770">
      <c r="H770" s="252" t="s">
        <v>161</v>
      </c>
    </row>
    <row r="771">
      <c r="H771" s="252" t="s">
        <v>161</v>
      </c>
    </row>
    <row r="772">
      <c r="H772" s="252" t="s">
        <v>161</v>
      </c>
    </row>
    <row r="773">
      <c r="H773" s="252" t="s">
        <v>161</v>
      </c>
    </row>
    <row r="774">
      <c r="H774" s="252" t="s">
        <v>161</v>
      </c>
    </row>
    <row r="775">
      <c r="H775" s="252" t="s">
        <v>161</v>
      </c>
    </row>
    <row r="776">
      <c r="H776" s="252" t="s">
        <v>161</v>
      </c>
    </row>
    <row r="777">
      <c r="H777" s="252" t="s">
        <v>161</v>
      </c>
    </row>
    <row r="778">
      <c r="H778" s="252" t="s">
        <v>161</v>
      </c>
    </row>
    <row r="779">
      <c r="H779" s="252" t="s">
        <v>161</v>
      </c>
    </row>
    <row r="780">
      <c r="H780" s="252" t="s">
        <v>161</v>
      </c>
    </row>
    <row r="781">
      <c r="H781" s="252" t="s">
        <v>161</v>
      </c>
    </row>
    <row r="782">
      <c r="H782" s="252" t="s">
        <v>161</v>
      </c>
    </row>
    <row r="783">
      <c r="H783" s="252" t="s">
        <v>161</v>
      </c>
    </row>
    <row r="784">
      <c r="H784" s="252" t="s">
        <v>161</v>
      </c>
    </row>
    <row r="785">
      <c r="H785" s="252" t="s">
        <v>161</v>
      </c>
    </row>
    <row r="786">
      <c r="H786" s="252" t="s">
        <v>161</v>
      </c>
    </row>
    <row r="787">
      <c r="H787" s="252" t="s">
        <v>161</v>
      </c>
    </row>
    <row r="788">
      <c r="H788" s="252" t="s">
        <v>161</v>
      </c>
    </row>
    <row r="789">
      <c r="H789" s="252" t="s">
        <v>161</v>
      </c>
    </row>
    <row r="790">
      <c r="H790" s="252" t="s">
        <v>161</v>
      </c>
    </row>
    <row r="791">
      <c r="H791" s="252" t="s">
        <v>161</v>
      </c>
    </row>
    <row r="792">
      <c r="H792" s="252" t="s">
        <v>161</v>
      </c>
    </row>
    <row r="793">
      <c r="H793" s="252" t="s">
        <v>161</v>
      </c>
    </row>
    <row r="794">
      <c r="H794" s="252" t="s">
        <v>161</v>
      </c>
    </row>
    <row r="795">
      <c r="H795" s="252" t="s">
        <v>161</v>
      </c>
    </row>
    <row r="796">
      <c r="H796" s="252" t="s">
        <v>161</v>
      </c>
    </row>
    <row r="797">
      <c r="H797" s="252" t="s">
        <v>161</v>
      </c>
    </row>
    <row r="798">
      <c r="H798" s="252" t="s">
        <v>161</v>
      </c>
    </row>
    <row r="799">
      <c r="H799" s="252" t="s">
        <v>161</v>
      </c>
    </row>
    <row r="800">
      <c r="H800" s="252" t="s">
        <v>161</v>
      </c>
    </row>
    <row r="801">
      <c r="H801" s="252" t="s">
        <v>161</v>
      </c>
    </row>
    <row r="802">
      <c r="H802" s="252" t="s">
        <v>161</v>
      </c>
    </row>
    <row r="803">
      <c r="H803" s="252" t="s">
        <v>161</v>
      </c>
    </row>
    <row r="804">
      <c r="H804" s="252" t="s">
        <v>161</v>
      </c>
    </row>
    <row r="805">
      <c r="H805" s="252" t="s">
        <v>161</v>
      </c>
    </row>
    <row r="806">
      <c r="H806" s="252" t="s">
        <v>161</v>
      </c>
    </row>
    <row r="807">
      <c r="H807" s="252" t="s">
        <v>161</v>
      </c>
    </row>
    <row r="808">
      <c r="H808" s="252" t="s">
        <v>161</v>
      </c>
    </row>
    <row r="809">
      <c r="H809" s="252" t="s">
        <v>161</v>
      </c>
    </row>
    <row r="810">
      <c r="H810" s="252" t="s">
        <v>161</v>
      </c>
    </row>
    <row r="811">
      <c r="H811" s="252" t="s">
        <v>161</v>
      </c>
    </row>
    <row r="812">
      <c r="H812" s="252" t="s">
        <v>161</v>
      </c>
    </row>
    <row r="813">
      <c r="H813" s="252" t="s">
        <v>161</v>
      </c>
    </row>
    <row r="814">
      <c r="H814" s="252" t="s">
        <v>161</v>
      </c>
    </row>
    <row r="815">
      <c r="H815" s="252" t="s">
        <v>161</v>
      </c>
    </row>
    <row r="816">
      <c r="H816" s="252" t="s">
        <v>161</v>
      </c>
    </row>
    <row r="817">
      <c r="H817" s="252" t="s">
        <v>161</v>
      </c>
    </row>
    <row r="818">
      <c r="H818" s="252" t="s">
        <v>161</v>
      </c>
    </row>
    <row r="819">
      <c r="H819" s="252" t="s">
        <v>161</v>
      </c>
    </row>
    <row r="820">
      <c r="H820" s="252" t="s">
        <v>161</v>
      </c>
    </row>
    <row r="821">
      <c r="H821" s="252" t="s">
        <v>161</v>
      </c>
    </row>
    <row r="822">
      <c r="H822" s="252" t="s">
        <v>161</v>
      </c>
    </row>
    <row r="823">
      <c r="H823" s="252" t="s">
        <v>161</v>
      </c>
    </row>
    <row r="824">
      <c r="H824" s="252" t="s">
        <v>161</v>
      </c>
    </row>
    <row r="825">
      <c r="H825" s="252" t="s">
        <v>161</v>
      </c>
    </row>
    <row r="826">
      <c r="H826" s="252" t="s">
        <v>161</v>
      </c>
    </row>
    <row r="827">
      <c r="H827" s="252" t="s">
        <v>161</v>
      </c>
    </row>
    <row r="828">
      <c r="H828" s="252" t="s">
        <v>161</v>
      </c>
    </row>
    <row r="829">
      <c r="H829" s="252" t="s">
        <v>161</v>
      </c>
    </row>
    <row r="830">
      <c r="H830" s="252" t="s">
        <v>161</v>
      </c>
    </row>
    <row r="831">
      <c r="H831" s="252" t="s">
        <v>161</v>
      </c>
    </row>
    <row r="832">
      <c r="H832" s="252" t="s">
        <v>161</v>
      </c>
    </row>
    <row r="833">
      <c r="H833" s="252" t="s">
        <v>161</v>
      </c>
    </row>
    <row r="834">
      <c r="H834" s="252" t="s">
        <v>161</v>
      </c>
    </row>
    <row r="835">
      <c r="H835" s="252" t="s">
        <v>161</v>
      </c>
    </row>
    <row r="836">
      <c r="H836" s="252" t="s">
        <v>161</v>
      </c>
    </row>
    <row r="837">
      <c r="H837" s="252" t="s">
        <v>161</v>
      </c>
    </row>
    <row r="838">
      <c r="H838" s="252" t="s">
        <v>161</v>
      </c>
    </row>
    <row r="839">
      <c r="H839" s="252" t="s">
        <v>161</v>
      </c>
    </row>
    <row r="840">
      <c r="H840" s="252" t="s">
        <v>161</v>
      </c>
    </row>
    <row r="841">
      <c r="H841" s="252" t="s">
        <v>161</v>
      </c>
    </row>
    <row r="842">
      <c r="H842" s="252" t="s">
        <v>161</v>
      </c>
    </row>
    <row r="843">
      <c r="H843" s="252" t="s">
        <v>161</v>
      </c>
    </row>
    <row r="844">
      <c r="H844" s="252" t="s">
        <v>161</v>
      </c>
    </row>
    <row r="845">
      <c r="H845" s="252" t="s">
        <v>161</v>
      </c>
    </row>
    <row r="846">
      <c r="H846" s="252" t="s">
        <v>161</v>
      </c>
    </row>
    <row r="847">
      <c r="H847" s="252" t="s">
        <v>161</v>
      </c>
    </row>
    <row r="848">
      <c r="H848" s="252" t="s">
        <v>161</v>
      </c>
    </row>
    <row r="849">
      <c r="H849" s="252" t="s">
        <v>161</v>
      </c>
    </row>
    <row r="850">
      <c r="H850" s="252" t="s">
        <v>161</v>
      </c>
    </row>
    <row r="851">
      <c r="H851" s="252" t="s">
        <v>161</v>
      </c>
    </row>
    <row r="852">
      <c r="H852" s="252" t="s">
        <v>161</v>
      </c>
    </row>
    <row r="853">
      <c r="H853" s="252" t="s">
        <v>161</v>
      </c>
    </row>
    <row r="854">
      <c r="H854" s="252" t="s">
        <v>161</v>
      </c>
    </row>
    <row r="855">
      <c r="H855" s="252" t="s">
        <v>161</v>
      </c>
    </row>
    <row r="856">
      <c r="H856" s="252" t="s">
        <v>161</v>
      </c>
    </row>
    <row r="857">
      <c r="H857" s="252" t="s">
        <v>161</v>
      </c>
    </row>
    <row r="858">
      <c r="H858" s="252" t="s">
        <v>161</v>
      </c>
    </row>
    <row r="859">
      <c r="H859" s="252" t="s">
        <v>161</v>
      </c>
    </row>
    <row r="860">
      <c r="H860" s="252" t="s">
        <v>161</v>
      </c>
    </row>
    <row r="861">
      <c r="H861" s="252" t="s">
        <v>161</v>
      </c>
    </row>
    <row r="862">
      <c r="H862" s="252" t="s">
        <v>161</v>
      </c>
    </row>
    <row r="863">
      <c r="H863" s="252" t="s">
        <v>161</v>
      </c>
    </row>
    <row r="864">
      <c r="H864" s="252" t="s">
        <v>161</v>
      </c>
    </row>
    <row r="865">
      <c r="H865" s="252" t="s">
        <v>161</v>
      </c>
    </row>
    <row r="866">
      <c r="H866" s="252" t="s">
        <v>161</v>
      </c>
    </row>
    <row r="867">
      <c r="H867" s="252" t="s">
        <v>161</v>
      </c>
    </row>
    <row r="868">
      <c r="H868" s="252" t="s">
        <v>161</v>
      </c>
    </row>
    <row r="869">
      <c r="H869" s="252" t="s">
        <v>161</v>
      </c>
    </row>
    <row r="870">
      <c r="H870" s="252" t="s">
        <v>161</v>
      </c>
    </row>
    <row r="871">
      <c r="H871" s="252" t="s">
        <v>161</v>
      </c>
    </row>
    <row r="872">
      <c r="H872" s="252" t="s">
        <v>161</v>
      </c>
    </row>
    <row r="873">
      <c r="H873" s="252" t="s">
        <v>161</v>
      </c>
    </row>
    <row r="874">
      <c r="H874" s="252" t="s">
        <v>161</v>
      </c>
    </row>
    <row r="875">
      <c r="H875" s="252" t="s">
        <v>161</v>
      </c>
    </row>
    <row r="876">
      <c r="H876" s="252" t="s">
        <v>161</v>
      </c>
    </row>
    <row r="877">
      <c r="H877" s="252" t="s">
        <v>161</v>
      </c>
    </row>
    <row r="878">
      <c r="H878" s="252" t="s">
        <v>161</v>
      </c>
    </row>
    <row r="879">
      <c r="H879" s="252" t="s">
        <v>161</v>
      </c>
    </row>
    <row r="880">
      <c r="H880" s="252" t="s">
        <v>161</v>
      </c>
    </row>
    <row r="881">
      <c r="H881" s="252" t="s">
        <v>161</v>
      </c>
    </row>
    <row r="882">
      <c r="H882" s="252" t="s">
        <v>161</v>
      </c>
    </row>
    <row r="883">
      <c r="H883" s="252" t="s">
        <v>161</v>
      </c>
    </row>
    <row r="884">
      <c r="H884" s="252" t="s">
        <v>161</v>
      </c>
    </row>
    <row r="885">
      <c r="H885" s="252" t="s">
        <v>161</v>
      </c>
    </row>
    <row r="886">
      <c r="H886" s="252" t="s">
        <v>161</v>
      </c>
    </row>
    <row r="887">
      <c r="H887" s="252" t="s">
        <v>161</v>
      </c>
    </row>
    <row r="888">
      <c r="H888" s="252" t="s">
        <v>161</v>
      </c>
    </row>
    <row r="889">
      <c r="H889" s="252" t="s">
        <v>161</v>
      </c>
    </row>
    <row r="890">
      <c r="H890" s="252" t="s">
        <v>161</v>
      </c>
    </row>
    <row r="891">
      <c r="H891" s="252" t="s">
        <v>161</v>
      </c>
    </row>
    <row r="892">
      <c r="H892" s="252" t="s">
        <v>161</v>
      </c>
    </row>
    <row r="893">
      <c r="H893" s="252" t="s">
        <v>161</v>
      </c>
    </row>
    <row r="894">
      <c r="H894" s="252" t="s">
        <v>161</v>
      </c>
    </row>
    <row r="895">
      <c r="H895" s="252" t="s">
        <v>161</v>
      </c>
    </row>
    <row r="896">
      <c r="H896" s="252" t="s">
        <v>161</v>
      </c>
    </row>
    <row r="897">
      <c r="H897" s="252" t="s">
        <v>161</v>
      </c>
    </row>
    <row r="898">
      <c r="H898" s="252" t="s">
        <v>161</v>
      </c>
    </row>
    <row r="899">
      <c r="H899" s="252" t="s">
        <v>161</v>
      </c>
    </row>
    <row r="900">
      <c r="H900" s="252" t="s">
        <v>161</v>
      </c>
    </row>
    <row r="901">
      <c r="H901" s="252" t="s">
        <v>161</v>
      </c>
    </row>
    <row r="902">
      <c r="H902" s="252" t="s">
        <v>161</v>
      </c>
    </row>
    <row r="903">
      <c r="H903" s="252" t="s">
        <v>161</v>
      </c>
    </row>
    <row r="904">
      <c r="H904" s="252" t="s">
        <v>161</v>
      </c>
    </row>
    <row r="905">
      <c r="H905" s="252" t="s">
        <v>161</v>
      </c>
    </row>
    <row r="906">
      <c r="H906" s="252" t="s">
        <v>161</v>
      </c>
    </row>
    <row r="907">
      <c r="H907" s="252" t="s">
        <v>161</v>
      </c>
    </row>
    <row r="908">
      <c r="H908" s="252" t="s">
        <v>161</v>
      </c>
    </row>
    <row r="909">
      <c r="H909" s="252" t="s">
        <v>161</v>
      </c>
    </row>
    <row r="910">
      <c r="H910" s="252" t="s">
        <v>161</v>
      </c>
    </row>
    <row r="911">
      <c r="H911" s="252" t="s">
        <v>161</v>
      </c>
    </row>
    <row r="912">
      <c r="H912" s="252" t="s">
        <v>161</v>
      </c>
    </row>
    <row r="913">
      <c r="H913" s="252" t="s">
        <v>161</v>
      </c>
    </row>
    <row r="914">
      <c r="H914" s="252" t="s">
        <v>161</v>
      </c>
    </row>
    <row r="915">
      <c r="H915" s="252" t="s">
        <v>161</v>
      </c>
    </row>
    <row r="916">
      <c r="H916" s="252" t="s">
        <v>161</v>
      </c>
    </row>
    <row r="917">
      <c r="H917" s="252" t="s">
        <v>161</v>
      </c>
    </row>
    <row r="918">
      <c r="H918" s="252" t="s">
        <v>161</v>
      </c>
    </row>
    <row r="919">
      <c r="H919" s="252" t="s">
        <v>161</v>
      </c>
    </row>
    <row r="920">
      <c r="H920" s="252" t="s">
        <v>161</v>
      </c>
    </row>
    <row r="921">
      <c r="H921" s="252" t="s">
        <v>161</v>
      </c>
    </row>
    <row r="922">
      <c r="H922" s="252" t="s">
        <v>161</v>
      </c>
    </row>
    <row r="923">
      <c r="H923" s="252" t="s">
        <v>161</v>
      </c>
    </row>
    <row r="924">
      <c r="H924" s="252" t="s">
        <v>161</v>
      </c>
    </row>
    <row r="925">
      <c r="H925" s="252" t="s">
        <v>161</v>
      </c>
    </row>
    <row r="926">
      <c r="H926" s="252" t="s">
        <v>161</v>
      </c>
    </row>
    <row r="927">
      <c r="H927" s="252" t="s">
        <v>161</v>
      </c>
    </row>
    <row r="928">
      <c r="H928" s="252" t="s">
        <v>161</v>
      </c>
    </row>
    <row r="929">
      <c r="H929" s="252" t="s">
        <v>161</v>
      </c>
    </row>
    <row r="930">
      <c r="H930" s="252" t="s">
        <v>161</v>
      </c>
    </row>
    <row r="931">
      <c r="H931" s="252" t="s">
        <v>161</v>
      </c>
    </row>
    <row r="932">
      <c r="H932" s="252" t="s">
        <v>161</v>
      </c>
    </row>
    <row r="933">
      <c r="H933" s="252" t="s">
        <v>161</v>
      </c>
    </row>
    <row r="934">
      <c r="H934" s="252" t="s">
        <v>161</v>
      </c>
    </row>
    <row r="935">
      <c r="H935" s="252" t="s">
        <v>161</v>
      </c>
    </row>
    <row r="936">
      <c r="H936" s="252" t="s">
        <v>161</v>
      </c>
    </row>
    <row r="937">
      <c r="H937" s="252" t="s">
        <v>161</v>
      </c>
    </row>
    <row r="938">
      <c r="H938" s="252" t="s">
        <v>161</v>
      </c>
    </row>
    <row r="939">
      <c r="H939" s="252" t="s">
        <v>161</v>
      </c>
    </row>
    <row r="940">
      <c r="H940" s="252" t="s">
        <v>161</v>
      </c>
    </row>
    <row r="941">
      <c r="H941" s="252" t="s">
        <v>161</v>
      </c>
    </row>
    <row r="942">
      <c r="H942" s="252" t="s">
        <v>161</v>
      </c>
    </row>
    <row r="943">
      <c r="H943" s="252" t="s">
        <v>161</v>
      </c>
    </row>
    <row r="944">
      <c r="H944" s="252" t="s">
        <v>161</v>
      </c>
    </row>
    <row r="945">
      <c r="H945" s="252" t="s">
        <v>161</v>
      </c>
    </row>
    <row r="946">
      <c r="H946" s="252" t="s">
        <v>161</v>
      </c>
    </row>
    <row r="947">
      <c r="H947" s="252" t="s">
        <v>161</v>
      </c>
    </row>
    <row r="948">
      <c r="H948" s="252" t="s">
        <v>161</v>
      </c>
    </row>
    <row r="949">
      <c r="H949" s="252" t="s">
        <v>161</v>
      </c>
    </row>
    <row r="950">
      <c r="H950" s="252" t="s">
        <v>161</v>
      </c>
    </row>
    <row r="951">
      <c r="H951" s="252" t="s">
        <v>161</v>
      </c>
    </row>
    <row r="952">
      <c r="H952" s="252" t="s">
        <v>161</v>
      </c>
    </row>
    <row r="953">
      <c r="H953" s="252" t="s">
        <v>161</v>
      </c>
    </row>
    <row r="954">
      <c r="H954" s="252" t="s">
        <v>161</v>
      </c>
    </row>
    <row r="955">
      <c r="H955" s="252" t="s">
        <v>161</v>
      </c>
    </row>
    <row r="956">
      <c r="H956" s="252" t="s">
        <v>161</v>
      </c>
    </row>
    <row r="957">
      <c r="H957" s="252" t="s">
        <v>161</v>
      </c>
    </row>
    <row r="958">
      <c r="H958" s="252" t="s">
        <v>161</v>
      </c>
    </row>
    <row r="959">
      <c r="H959" s="252" t="s">
        <v>161</v>
      </c>
    </row>
    <row r="960">
      <c r="H960" s="252" t="s">
        <v>161</v>
      </c>
    </row>
    <row r="961">
      <c r="H961" s="252" t="s">
        <v>161</v>
      </c>
    </row>
    <row r="962">
      <c r="H962" s="252" t="s">
        <v>161</v>
      </c>
    </row>
    <row r="963">
      <c r="H963" s="252" t="s">
        <v>161</v>
      </c>
    </row>
    <row r="964">
      <c r="H964" s="252" t="s">
        <v>161</v>
      </c>
    </row>
    <row r="965">
      <c r="H965" s="252" t="s">
        <v>161</v>
      </c>
    </row>
    <row r="966">
      <c r="H966" s="252" t="s">
        <v>161</v>
      </c>
    </row>
    <row r="967">
      <c r="H967" s="252" t="s">
        <v>161</v>
      </c>
    </row>
    <row r="968">
      <c r="H968" s="252" t="s">
        <v>161</v>
      </c>
    </row>
    <row r="969">
      <c r="H969" s="252" t="s">
        <v>161</v>
      </c>
    </row>
    <row r="970">
      <c r="H970" s="252" t="s">
        <v>161</v>
      </c>
    </row>
    <row r="971">
      <c r="H971" s="252" t="s">
        <v>161</v>
      </c>
    </row>
    <row r="972">
      <c r="H972" s="252" t="s">
        <v>161</v>
      </c>
    </row>
    <row r="973">
      <c r="H973" s="252" t="s">
        <v>161</v>
      </c>
    </row>
    <row r="974">
      <c r="H974" s="252" t="s">
        <v>161</v>
      </c>
    </row>
    <row r="975">
      <c r="H975" s="252" t="s">
        <v>161</v>
      </c>
    </row>
    <row r="976">
      <c r="H976" s="252" t="s">
        <v>161</v>
      </c>
    </row>
    <row r="977">
      <c r="H977" s="252" t="s">
        <v>161</v>
      </c>
    </row>
    <row r="978">
      <c r="H978" s="252" t="s">
        <v>161</v>
      </c>
    </row>
    <row r="979">
      <c r="H979" s="252" t="s">
        <v>161</v>
      </c>
    </row>
    <row r="980">
      <c r="H980" s="252" t="s">
        <v>161</v>
      </c>
    </row>
    <row r="981">
      <c r="H981" s="252" t="s">
        <v>161</v>
      </c>
    </row>
    <row r="982">
      <c r="H982" s="252" t="s">
        <v>161</v>
      </c>
    </row>
    <row r="983">
      <c r="H983" s="252" t="s">
        <v>161</v>
      </c>
    </row>
    <row r="984">
      <c r="H984" s="252" t="s">
        <v>161</v>
      </c>
    </row>
    <row r="985">
      <c r="H985" s="252" t="s">
        <v>161</v>
      </c>
    </row>
    <row r="986">
      <c r="H986" s="252" t="s">
        <v>161</v>
      </c>
    </row>
    <row r="987">
      <c r="H987" s="252" t="s">
        <v>161</v>
      </c>
    </row>
    <row r="988">
      <c r="H988" s="252" t="s">
        <v>161</v>
      </c>
    </row>
    <row r="989">
      <c r="H989" s="252" t="s">
        <v>161</v>
      </c>
    </row>
    <row r="990">
      <c r="H990" s="252" t="s">
        <v>161</v>
      </c>
    </row>
    <row r="991">
      <c r="H991" s="252" t="s">
        <v>161</v>
      </c>
    </row>
    <row r="992">
      <c r="H992" s="252" t="s">
        <v>161</v>
      </c>
    </row>
    <row r="993">
      <c r="H993" s="252" t="s">
        <v>161</v>
      </c>
    </row>
    <row r="994">
      <c r="H994" s="252" t="s">
        <v>161</v>
      </c>
    </row>
    <row r="995">
      <c r="H995" s="252" t="s">
        <v>161</v>
      </c>
    </row>
    <row r="996">
      <c r="H996" s="252" t="s">
        <v>161</v>
      </c>
    </row>
    <row r="997">
      <c r="H997" s="252" t="s">
        <v>161</v>
      </c>
    </row>
    <row r="998">
      <c r="H998" s="252" t="s">
        <v>161</v>
      </c>
    </row>
    <row r="999">
      <c r="H999" s="252" t="s">
        <v>161</v>
      </c>
    </row>
    <row r="1000">
      <c r="H1000" s="252" t="s">
        <v>161</v>
      </c>
    </row>
  </sheetData>
  <autoFilter ref="$A$2:$AK$23"/>
  <mergeCells count="6">
    <mergeCell ref="M1:P1"/>
    <mergeCell ref="Q1:T1"/>
    <mergeCell ref="U1:X1"/>
    <mergeCell ref="Y1:AC1"/>
    <mergeCell ref="AD1:AG1"/>
    <mergeCell ref="AH1:AK1"/>
  </mergeCells>
  <conditionalFormatting sqref="P4:P22">
    <cfRule type="cellIs" dxfId="2" priority="1" operator="lessThan">
      <formula>0</formula>
    </cfRule>
  </conditionalFormatting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5"/>
    <col customWidth="1" min="7" max="7" width="28.38"/>
    <col customWidth="1" min="13" max="13" width="13.5"/>
  </cols>
  <sheetData>
    <row r="1">
      <c r="A1" s="828">
        <v>8.0</v>
      </c>
      <c r="B1" s="829"/>
      <c r="C1" s="829"/>
      <c r="D1" s="829"/>
      <c r="E1" s="829"/>
      <c r="F1" s="829"/>
      <c r="G1" s="829"/>
      <c r="H1" s="830" t="s">
        <v>0</v>
      </c>
      <c r="I1" s="510"/>
      <c r="J1" s="510"/>
      <c r="K1" s="510"/>
      <c r="L1" s="831"/>
      <c r="M1" s="258"/>
    </row>
    <row r="2">
      <c r="A2" s="832" t="s">
        <v>617</v>
      </c>
      <c r="B2" s="833" t="s">
        <v>618</v>
      </c>
      <c r="C2" s="833" t="s">
        <v>6</v>
      </c>
      <c r="D2" s="834" t="s">
        <v>7</v>
      </c>
      <c r="E2" s="829"/>
      <c r="F2" s="723" t="s">
        <v>8</v>
      </c>
      <c r="G2" s="833" t="s">
        <v>619</v>
      </c>
      <c r="H2" s="835" t="s">
        <v>13</v>
      </c>
      <c r="I2" s="833" t="s">
        <v>620</v>
      </c>
      <c r="J2" s="833" t="s">
        <v>9</v>
      </c>
      <c r="K2" s="833" t="s">
        <v>621</v>
      </c>
      <c r="L2" s="834" t="s">
        <v>16</v>
      </c>
      <c r="M2" s="258"/>
      <c r="P2" s="25" t="s">
        <v>18</v>
      </c>
    </row>
    <row r="3">
      <c r="A3" s="836" t="s">
        <v>622</v>
      </c>
      <c r="B3" s="836" t="s">
        <v>623</v>
      </c>
      <c r="C3" s="836" t="s">
        <v>478</v>
      </c>
      <c r="D3" s="836"/>
      <c r="E3" s="836" t="s">
        <v>624</v>
      </c>
      <c r="F3" s="837" t="s">
        <v>96</v>
      </c>
      <c r="G3" s="837" t="s">
        <v>625</v>
      </c>
      <c r="H3" s="838">
        <v>46094.0</v>
      </c>
      <c r="I3" s="839">
        <v>4312.0</v>
      </c>
      <c r="J3" s="839">
        <f t="array" ref="J3:J1000">IF(A3:A1000="", "", 
  IF(F3:F1000="KM", 
    IFERROR(VLOOKUP(A3:A1000, DATA_LIMPIA!A:C, 3, FALSE), 0), 
    IFERROR(VLOOKUP(A3:A1000, DATA_LIMPIA!A:C, 2, FALSE), 0)
  )
)</f>
        <v>4347</v>
      </c>
      <c r="K3" s="840">
        <f>I3+350</f>
        <v>4662</v>
      </c>
      <c r="L3" s="840">
        <f>(K3-J3)</f>
        <v>315</v>
      </c>
      <c r="M3" s="259"/>
    </row>
    <row r="4" hidden="1">
      <c r="A4" s="841" t="s">
        <v>626</v>
      </c>
      <c r="B4" s="841" t="s">
        <v>564</v>
      </c>
      <c r="C4" s="841" t="s">
        <v>627</v>
      </c>
      <c r="D4" s="842"/>
      <c r="E4" s="842"/>
      <c r="F4" s="841"/>
      <c r="G4" s="841" t="s">
        <v>628</v>
      </c>
      <c r="H4" s="843"/>
      <c r="I4" s="844"/>
      <c r="J4" s="844"/>
      <c r="K4" s="844"/>
      <c r="L4" s="844"/>
      <c r="M4" s="258"/>
    </row>
    <row r="5">
      <c r="A5" s="845" t="s">
        <v>629</v>
      </c>
      <c r="B5" s="845" t="s">
        <v>630</v>
      </c>
      <c r="C5" s="845" t="s">
        <v>631</v>
      </c>
      <c r="D5" s="845"/>
      <c r="E5" s="845" t="s">
        <v>632</v>
      </c>
      <c r="F5" s="837" t="s">
        <v>96</v>
      </c>
      <c r="G5" s="845" t="s">
        <v>633</v>
      </c>
      <c r="H5" s="846">
        <v>46065.0</v>
      </c>
      <c r="I5" s="847">
        <v>18824.0</v>
      </c>
      <c r="J5" s="848">
        <v>19017.0</v>
      </c>
      <c r="K5" s="849">
        <f>I5+350</f>
        <v>19174</v>
      </c>
      <c r="L5" s="840">
        <f t="shared" ref="L5:L7" si="1">(K5-J5)</f>
        <v>157</v>
      </c>
      <c r="M5" s="259" t="s">
        <v>634</v>
      </c>
      <c r="N5" s="25" t="s">
        <v>635</v>
      </c>
    </row>
    <row r="6">
      <c r="A6" s="850" t="s">
        <v>636</v>
      </c>
      <c r="B6" s="850" t="s">
        <v>623</v>
      </c>
      <c r="C6" s="850" t="s">
        <v>637</v>
      </c>
      <c r="D6" s="850"/>
      <c r="E6" s="850" t="s">
        <v>638</v>
      </c>
      <c r="F6" s="850"/>
      <c r="G6" s="850" t="s">
        <v>639</v>
      </c>
      <c r="H6" s="851">
        <v>46028.0</v>
      </c>
      <c r="I6" s="852"/>
      <c r="J6" s="852">
        <v>0.0</v>
      </c>
      <c r="K6" s="853"/>
      <c r="L6" s="854">
        <f t="shared" si="1"/>
        <v>0</v>
      </c>
      <c r="M6" s="855"/>
    </row>
    <row r="7">
      <c r="A7" s="852" t="s">
        <v>640</v>
      </c>
      <c r="B7" s="850" t="s">
        <v>623</v>
      </c>
      <c r="C7" s="852" t="s">
        <v>627</v>
      </c>
      <c r="D7" s="852"/>
      <c r="E7" s="852" t="s">
        <v>641</v>
      </c>
      <c r="F7" s="852"/>
      <c r="G7" s="852" t="s">
        <v>642</v>
      </c>
      <c r="H7" s="852"/>
      <c r="I7" s="852"/>
      <c r="J7" s="852">
        <v>0.0</v>
      </c>
      <c r="K7" s="852"/>
      <c r="L7" s="854">
        <f t="shared" si="1"/>
        <v>0</v>
      </c>
      <c r="M7" s="258"/>
    </row>
    <row r="8">
      <c r="A8" s="850" t="s">
        <v>643</v>
      </c>
      <c r="B8" s="850" t="s">
        <v>623</v>
      </c>
      <c r="C8" s="850" t="s">
        <v>411</v>
      </c>
      <c r="D8" s="850"/>
      <c r="E8" s="850" t="s">
        <v>644</v>
      </c>
      <c r="F8" s="850"/>
      <c r="G8" s="850" t="s">
        <v>639</v>
      </c>
      <c r="H8" s="851">
        <v>46095.0</v>
      </c>
      <c r="I8" s="856">
        <v>20656.0</v>
      </c>
      <c r="J8" s="853">
        <v>20656.0</v>
      </c>
      <c r="K8" s="853"/>
      <c r="L8" s="854"/>
      <c r="M8" s="258"/>
    </row>
    <row r="9">
      <c r="A9" s="845" t="s">
        <v>645</v>
      </c>
      <c r="B9" s="845" t="s">
        <v>564</v>
      </c>
      <c r="C9" s="845" t="s">
        <v>646</v>
      </c>
      <c r="D9" s="845"/>
      <c r="E9" s="845" t="s">
        <v>647</v>
      </c>
      <c r="F9" s="837" t="s">
        <v>96</v>
      </c>
      <c r="G9" s="857" t="s">
        <v>648</v>
      </c>
      <c r="H9" s="846">
        <v>46046.0</v>
      </c>
      <c r="I9" s="847">
        <v>5422.0</v>
      </c>
      <c r="J9" s="858">
        <v>5707.0</v>
      </c>
      <c r="K9" s="849">
        <f t="shared" ref="K9:K10" si="2">I9+350</f>
        <v>5772</v>
      </c>
      <c r="L9" s="840">
        <f t="shared" ref="L9:L13" si="3">(K9-J9)</f>
        <v>65</v>
      </c>
      <c r="M9" s="259" t="s">
        <v>649</v>
      </c>
      <c r="O9" s="25" t="s">
        <v>650</v>
      </c>
    </row>
    <row r="10">
      <c r="A10" s="845" t="s">
        <v>651</v>
      </c>
      <c r="B10" s="845" t="s">
        <v>623</v>
      </c>
      <c r="C10" s="845" t="s">
        <v>631</v>
      </c>
      <c r="D10" s="845"/>
      <c r="E10" s="845" t="s">
        <v>652</v>
      </c>
      <c r="F10" s="837" t="s">
        <v>96</v>
      </c>
      <c r="G10" s="857" t="s">
        <v>625</v>
      </c>
      <c r="H10" s="859">
        <v>46066.0</v>
      </c>
      <c r="I10" s="847">
        <v>5592.0</v>
      </c>
      <c r="J10" s="848">
        <v>5755.0</v>
      </c>
      <c r="K10" s="849">
        <f t="shared" si="2"/>
        <v>5942</v>
      </c>
      <c r="L10" s="840">
        <f t="shared" si="3"/>
        <v>187</v>
      </c>
      <c r="M10" s="259" t="s">
        <v>653</v>
      </c>
      <c r="N10" s="25" t="s">
        <v>654</v>
      </c>
    </row>
    <row r="11">
      <c r="A11" s="850" t="s">
        <v>655</v>
      </c>
      <c r="B11" s="850" t="s">
        <v>564</v>
      </c>
      <c r="C11" s="850" t="s">
        <v>656</v>
      </c>
      <c r="D11" s="850"/>
      <c r="E11" s="850" t="s">
        <v>657</v>
      </c>
      <c r="F11" s="850"/>
      <c r="G11" s="850" t="s">
        <v>639</v>
      </c>
      <c r="H11" s="851">
        <v>46048.0</v>
      </c>
      <c r="I11" s="853">
        <v>0.0</v>
      </c>
      <c r="J11" s="853">
        <v>0.0</v>
      </c>
      <c r="K11" s="853"/>
      <c r="L11" s="854">
        <f t="shared" si="3"/>
        <v>0</v>
      </c>
      <c r="M11" s="258"/>
    </row>
    <row r="12">
      <c r="A12" s="860" t="s">
        <v>658</v>
      </c>
      <c r="B12" s="845" t="s">
        <v>564</v>
      </c>
      <c r="C12" s="845" t="s">
        <v>631</v>
      </c>
      <c r="D12" s="860"/>
      <c r="E12" s="860" t="s">
        <v>659</v>
      </c>
      <c r="F12" s="837" t="s">
        <v>96</v>
      </c>
      <c r="G12" s="861" t="s">
        <v>660</v>
      </c>
      <c r="H12" s="862">
        <v>45988.0</v>
      </c>
      <c r="I12" s="863">
        <v>6721.0</v>
      </c>
      <c r="J12" s="864">
        <v>6976.0</v>
      </c>
      <c r="K12" s="863">
        <f t="shared" ref="K12:K13" si="4">I12+350</f>
        <v>7071</v>
      </c>
      <c r="L12" s="840">
        <f t="shared" si="3"/>
        <v>95</v>
      </c>
      <c r="M12" s="258"/>
    </row>
    <row r="13">
      <c r="A13" s="860" t="s">
        <v>661</v>
      </c>
      <c r="B13" s="845" t="s">
        <v>564</v>
      </c>
      <c r="C13" s="845" t="s">
        <v>631</v>
      </c>
      <c r="D13" s="860"/>
      <c r="E13" s="860" t="s">
        <v>652</v>
      </c>
      <c r="F13" s="837" t="s">
        <v>96</v>
      </c>
      <c r="G13" s="865" t="s">
        <v>662</v>
      </c>
      <c r="H13" s="866">
        <v>46002.0</v>
      </c>
      <c r="I13" s="863">
        <v>4923.0</v>
      </c>
      <c r="J13" s="863">
        <v>5086.0</v>
      </c>
      <c r="K13" s="867">
        <f t="shared" si="4"/>
        <v>5273</v>
      </c>
      <c r="L13" s="840">
        <f t="shared" si="3"/>
        <v>187</v>
      </c>
      <c r="M13" s="259" t="s">
        <v>663</v>
      </c>
      <c r="N13" s="25" t="s">
        <v>664</v>
      </c>
    </row>
    <row r="14">
      <c r="A14" s="258"/>
      <c r="B14" s="258"/>
      <c r="C14" s="258"/>
      <c r="D14" s="258"/>
      <c r="E14" s="258"/>
      <c r="F14" s="258"/>
      <c r="G14" s="258"/>
      <c r="H14" s="258"/>
      <c r="I14" s="258"/>
      <c r="J14" s="258" t="s">
        <v>161</v>
      </c>
      <c r="K14" s="258"/>
      <c r="L14" s="258"/>
      <c r="M14" s="258"/>
    </row>
    <row r="15">
      <c r="A15" s="258"/>
      <c r="B15" s="258"/>
      <c r="C15" s="258"/>
      <c r="D15" s="258"/>
      <c r="E15" s="258"/>
      <c r="F15" s="258"/>
      <c r="G15" s="258"/>
      <c r="H15" s="258"/>
      <c r="I15" s="258"/>
      <c r="J15" s="258" t="s">
        <v>161</v>
      </c>
      <c r="K15" s="258"/>
      <c r="L15" s="258"/>
      <c r="M15" s="258"/>
    </row>
    <row r="16">
      <c r="A16" s="258"/>
      <c r="B16" s="258"/>
      <c r="C16" s="258"/>
      <c r="D16" s="258"/>
      <c r="E16" s="258"/>
      <c r="F16" s="258"/>
      <c r="G16" s="258"/>
      <c r="H16" s="258"/>
      <c r="I16" s="258"/>
      <c r="J16" s="258" t="s">
        <v>161</v>
      </c>
      <c r="K16" s="258"/>
      <c r="L16" s="258"/>
      <c r="M16" s="258"/>
    </row>
    <row r="17">
      <c r="J17" s="252" t="s">
        <v>161</v>
      </c>
    </row>
    <row r="18">
      <c r="J18" s="252" t="s">
        <v>161</v>
      </c>
    </row>
    <row r="19">
      <c r="J19" s="252" t="s">
        <v>161</v>
      </c>
    </row>
    <row r="20">
      <c r="J20" s="252" t="s">
        <v>161</v>
      </c>
    </row>
    <row r="21">
      <c r="J21" s="252" t="s">
        <v>161</v>
      </c>
    </row>
    <row r="22">
      <c r="J22" s="252" t="s">
        <v>161</v>
      </c>
    </row>
    <row r="23">
      <c r="J23" s="252" t="s">
        <v>161</v>
      </c>
    </row>
    <row r="24">
      <c r="J24" s="252" t="s">
        <v>161</v>
      </c>
    </row>
    <row r="25">
      <c r="J25" s="252" t="s">
        <v>161</v>
      </c>
    </row>
    <row r="26">
      <c r="J26" s="252" t="s">
        <v>161</v>
      </c>
    </row>
    <row r="27">
      <c r="J27" s="252" t="s">
        <v>161</v>
      </c>
    </row>
    <row r="28">
      <c r="J28" s="252" t="s">
        <v>161</v>
      </c>
    </row>
    <row r="29">
      <c r="J29" s="252" t="s">
        <v>161</v>
      </c>
    </row>
    <row r="30">
      <c r="J30" s="252" t="s">
        <v>161</v>
      </c>
    </row>
    <row r="31">
      <c r="J31" s="252" t="s">
        <v>161</v>
      </c>
    </row>
    <row r="32">
      <c r="J32" s="252" t="s">
        <v>161</v>
      </c>
    </row>
    <row r="33">
      <c r="J33" s="252" t="s">
        <v>161</v>
      </c>
    </row>
    <row r="34">
      <c r="J34" s="252" t="s">
        <v>161</v>
      </c>
    </row>
    <row r="35">
      <c r="J35" s="252" t="s">
        <v>161</v>
      </c>
    </row>
    <row r="36">
      <c r="J36" s="252" t="s">
        <v>161</v>
      </c>
    </row>
    <row r="37">
      <c r="J37" s="252" t="s">
        <v>161</v>
      </c>
    </row>
    <row r="38">
      <c r="J38" s="252" t="s">
        <v>161</v>
      </c>
    </row>
    <row r="39">
      <c r="J39" s="252" t="s">
        <v>161</v>
      </c>
    </row>
    <row r="40">
      <c r="J40" s="252" t="s">
        <v>161</v>
      </c>
    </row>
    <row r="41">
      <c r="J41" s="252" t="s">
        <v>161</v>
      </c>
    </row>
    <row r="42">
      <c r="J42" s="252" t="s">
        <v>161</v>
      </c>
    </row>
    <row r="43">
      <c r="J43" s="252" t="s">
        <v>161</v>
      </c>
    </row>
    <row r="44">
      <c r="J44" s="252" t="s">
        <v>161</v>
      </c>
    </row>
    <row r="45">
      <c r="J45" s="252" t="s">
        <v>161</v>
      </c>
    </row>
    <row r="46">
      <c r="J46" s="252" t="s">
        <v>161</v>
      </c>
    </row>
    <row r="47">
      <c r="J47" s="252" t="s">
        <v>161</v>
      </c>
    </row>
    <row r="48">
      <c r="J48" s="252" t="s">
        <v>161</v>
      </c>
    </row>
    <row r="49">
      <c r="J49" s="252" t="s">
        <v>161</v>
      </c>
    </row>
    <row r="50">
      <c r="J50" s="252" t="s">
        <v>161</v>
      </c>
    </row>
    <row r="51">
      <c r="J51" s="252" t="s">
        <v>161</v>
      </c>
    </row>
    <row r="52">
      <c r="J52" s="252" t="s">
        <v>161</v>
      </c>
    </row>
    <row r="53">
      <c r="J53" s="252" t="s">
        <v>161</v>
      </c>
    </row>
    <row r="54">
      <c r="J54" s="252" t="s">
        <v>161</v>
      </c>
    </row>
    <row r="55">
      <c r="J55" s="252" t="s">
        <v>161</v>
      </c>
    </row>
    <row r="56">
      <c r="J56" s="252" t="s">
        <v>161</v>
      </c>
    </row>
    <row r="57">
      <c r="J57" s="252" t="s">
        <v>161</v>
      </c>
    </row>
    <row r="58">
      <c r="J58" s="252" t="s">
        <v>161</v>
      </c>
    </row>
    <row r="59">
      <c r="J59" s="252" t="s">
        <v>161</v>
      </c>
    </row>
    <row r="60">
      <c r="J60" s="252" t="s">
        <v>161</v>
      </c>
    </row>
    <row r="61">
      <c r="J61" s="252" t="s">
        <v>161</v>
      </c>
    </row>
    <row r="62">
      <c r="J62" s="252" t="s">
        <v>161</v>
      </c>
    </row>
    <row r="63">
      <c r="J63" s="252" t="s">
        <v>161</v>
      </c>
    </row>
    <row r="64">
      <c r="J64" s="252" t="s">
        <v>161</v>
      </c>
    </row>
    <row r="65">
      <c r="J65" s="252" t="s">
        <v>161</v>
      </c>
    </row>
    <row r="66">
      <c r="J66" s="252" t="s">
        <v>161</v>
      </c>
    </row>
    <row r="67">
      <c r="J67" s="252" t="s">
        <v>161</v>
      </c>
    </row>
    <row r="68">
      <c r="J68" s="252" t="s">
        <v>161</v>
      </c>
    </row>
    <row r="69">
      <c r="J69" s="252" t="s">
        <v>161</v>
      </c>
    </row>
    <row r="70">
      <c r="J70" s="252" t="s">
        <v>161</v>
      </c>
    </row>
    <row r="71">
      <c r="J71" s="252" t="s">
        <v>161</v>
      </c>
    </row>
    <row r="72">
      <c r="J72" s="252" t="s">
        <v>161</v>
      </c>
    </row>
    <row r="73">
      <c r="J73" s="252" t="s">
        <v>161</v>
      </c>
    </row>
    <row r="74">
      <c r="J74" s="252" t="s">
        <v>161</v>
      </c>
    </row>
    <row r="75">
      <c r="J75" s="252" t="s">
        <v>161</v>
      </c>
    </row>
    <row r="76">
      <c r="J76" s="252" t="s">
        <v>161</v>
      </c>
    </row>
    <row r="77">
      <c r="J77" s="252" t="s">
        <v>161</v>
      </c>
    </row>
    <row r="78">
      <c r="J78" s="252" t="s">
        <v>161</v>
      </c>
    </row>
    <row r="79">
      <c r="J79" s="252" t="s">
        <v>161</v>
      </c>
    </row>
    <row r="80">
      <c r="J80" s="252" t="s">
        <v>161</v>
      </c>
    </row>
    <row r="81">
      <c r="J81" s="252" t="s">
        <v>161</v>
      </c>
    </row>
    <row r="82">
      <c r="J82" s="252" t="s">
        <v>161</v>
      </c>
    </row>
    <row r="83">
      <c r="J83" s="252" t="s">
        <v>161</v>
      </c>
    </row>
    <row r="84">
      <c r="J84" s="252" t="s">
        <v>161</v>
      </c>
    </row>
    <row r="85">
      <c r="J85" s="252" t="s">
        <v>161</v>
      </c>
    </row>
    <row r="86">
      <c r="J86" s="252" t="s">
        <v>161</v>
      </c>
    </row>
    <row r="87">
      <c r="J87" s="252" t="s">
        <v>161</v>
      </c>
    </row>
    <row r="88">
      <c r="J88" s="252" t="s">
        <v>161</v>
      </c>
    </row>
    <row r="89">
      <c r="J89" s="252" t="s">
        <v>161</v>
      </c>
    </row>
    <row r="90">
      <c r="J90" s="252" t="s">
        <v>161</v>
      </c>
    </row>
    <row r="91">
      <c r="J91" s="252" t="s">
        <v>161</v>
      </c>
    </row>
    <row r="92">
      <c r="J92" s="252" t="s">
        <v>161</v>
      </c>
    </row>
    <row r="93">
      <c r="J93" s="252" t="s">
        <v>161</v>
      </c>
    </row>
    <row r="94">
      <c r="J94" s="252" t="s">
        <v>161</v>
      </c>
    </row>
    <row r="95">
      <c r="J95" s="252" t="s">
        <v>161</v>
      </c>
    </row>
    <row r="96">
      <c r="J96" s="252" t="s">
        <v>161</v>
      </c>
    </row>
    <row r="97">
      <c r="J97" s="252" t="s">
        <v>161</v>
      </c>
    </row>
    <row r="98">
      <c r="J98" s="252" t="s">
        <v>161</v>
      </c>
    </row>
    <row r="99">
      <c r="J99" s="252" t="s">
        <v>161</v>
      </c>
    </row>
    <row r="100">
      <c r="J100" s="252" t="s">
        <v>161</v>
      </c>
    </row>
    <row r="101">
      <c r="J101" s="252" t="s">
        <v>161</v>
      </c>
    </row>
    <row r="102">
      <c r="J102" s="252" t="s">
        <v>161</v>
      </c>
    </row>
    <row r="103">
      <c r="J103" s="252" t="s">
        <v>161</v>
      </c>
    </row>
    <row r="104">
      <c r="J104" s="252" t="s">
        <v>161</v>
      </c>
    </row>
    <row r="105">
      <c r="J105" s="252" t="s">
        <v>161</v>
      </c>
    </row>
    <row r="106">
      <c r="J106" s="252" t="s">
        <v>161</v>
      </c>
    </row>
    <row r="107">
      <c r="J107" s="252" t="s">
        <v>161</v>
      </c>
    </row>
    <row r="108">
      <c r="J108" s="252" t="s">
        <v>161</v>
      </c>
    </row>
    <row r="109">
      <c r="J109" s="252" t="s">
        <v>161</v>
      </c>
    </row>
    <row r="110">
      <c r="J110" s="252" t="s">
        <v>161</v>
      </c>
    </row>
    <row r="111">
      <c r="J111" s="252" t="s">
        <v>161</v>
      </c>
    </row>
    <row r="112">
      <c r="J112" s="252" t="s">
        <v>161</v>
      </c>
    </row>
    <row r="113">
      <c r="J113" s="252" t="s">
        <v>161</v>
      </c>
    </row>
    <row r="114">
      <c r="J114" s="252" t="s">
        <v>161</v>
      </c>
    </row>
    <row r="115">
      <c r="J115" s="252" t="s">
        <v>161</v>
      </c>
    </row>
    <row r="116">
      <c r="J116" s="252" t="s">
        <v>161</v>
      </c>
    </row>
    <row r="117">
      <c r="J117" s="252" t="s">
        <v>161</v>
      </c>
    </row>
    <row r="118">
      <c r="J118" s="252" t="s">
        <v>161</v>
      </c>
    </row>
    <row r="119">
      <c r="J119" s="252" t="s">
        <v>161</v>
      </c>
    </row>
    <row r="120">
      <c r="J120" s="252" t="s">
        <v>161</v>
      </c>
    </row>
    <row r="121">
      <c r="J121" s="252" t="s">
        <v>161</v>
      </c>
    </row>
    <row r="122">
      <c r="J122" s="252" t="s">
        <v>161</v>
      </c>
    </row>
    <row r="123">
      <c r="J123" s="252" t="s">
        <v>161</v>
      </c>
    </row>
    <row r="124">
      <c r="J124" s="252" t="s">
        <v>161</v>
      </c>
    </row>
    <row r="125">
      <c r="J125" s="252" t="s">
        <v>161</v>
      </c>
    </row>
    <row r="126">
      <c r="J126" s="252" t="s">
        <v>161</v>
      </c>
    </row>
    <row r="127">
      <c r="J127" s="252" t="s">
        <v>161</v>
      </c>
    </row>
    <row r="128">
      <c r="J128" s="252" t="s">
        <v>161</v>
      </c>
    </row>
    <row r="129">
      <c r="J129" s="252" t="s">
        <v>161</v>
      </c>
    </row>
    <row r="130">
      <c r="J130" s="252" t="s">
        <v>161</v>
      </c>
    </row>
    <row r="131">
      <c r="J131" s="252" t="s">
        <v>161</v>
      </c>
    </row>
    <row r="132">
      <c r="J132" s="252" t="s">
        <v>161</v>
      </c>
    </row>
    <row r="133">
      <c r="J133" s="252" t="s">
        <v>161</v>
      </c>
    </row>
    <row r="134">
      <c r="J134" s="252" t="s">
        <v>161</v>
      </c>
    </row>
    <row r="135">
      <c r="J135" s="252" t="s">
        <v>161</v>
      </c>
    </row>
    <row r="136">
      <c r="J136" s="252" t="s">
        <v>161</v>
      </c>
    </row>
    <row r="137">
      <c r="J137" s="252" t="s">
        <v>161</v>
      </c>
    </row>
    <row r="138">
      <c r="J138" s="252" t="s">
        <v>161</v>
      </c>
    </row>
    <row r="139">
      <c r="J139" s="252" t="s">
        <v>161</v>
      </c>
    </row>
    <row r="140">
      <c r="J140" s="252" t="s">
        <v>161</v>
      </c>
    </row>
    <row r="141">
      <c r="J141" s="252" t="s">
        <v>161</v>
      </c>
    </row>
    <row r="142">
      <c r="J142" s="252" t="s">
        <v>161</v>
      </c>
    </row>
    <row r="143">
      <c r="J143" s="252" t="s">
        <v>161</v>
      </c>
    </row>
    <row r="144">
      <c r="J144" s="252" t="s">
        <v>161</v>
      </c>
    </row>
    <row r="145">
      <c r="J145" s="252" t="s">
        <v>161</v>
      </c>
    </row>
    <row r="146">
      <c r="J146" s="252" t="s">
        <v>161</v>
      </c>
    </row>
    <row r="147">
      <c r="J147" s="252" t="s">
        <v>161</v>
      </c>
    </row>
    <row r="148">
      <c r="J148" s="252" t="s">
        <v>161</v>
      </c>
    </row>
    <row r="149">
      <c r="J149" s="252" t="s">
        <v>161</v>
      </c>
    </row>
    <row r="150">
      <c r="J150" s="252" t="s">
        <v>161</v>
      </c>
    </row>
    <row r="151">
      <c r="J151" s="252" t="s">
        <v>161</v>
      </c>
    </row>
    <row r="152">
      <c r="J152" s="252" t="s">
        <v>161</v>
      </c>
    </row>
    <row r="153">
      <c r="J153" s="252" t="s">
        <v>161</v>
      </c>
    </row>
    <row r="154">
      <c r="J154" s="252" t="s">
        <v>161</v>
      </c>
    </row>
    <row r="155">
      <c r="J155" s="252" t="s">
        <v>161</v>
      </c>
    </row>
    <row r="156">
      <c r="J156" s="252" t="s">
        <v>161</v>
      </c>
    </row>
    <row r="157">
      <c r="J157" s="252" t="s">
        <v>161</v>
      </c>
    </row>
    <row r="158">
      <c r="J158" s="252" t="s">
        <v>161</v>
      </c>
    </row>
    <row r="159">
      <c r="J159" s="252" t="s">
        <v>161</v>
      </c>
    </row>
    <row r="160">
      <c r="J160" s="252" t="s">
        <v>161</v>
      </c>
    </row>
    <row r="161">
      <c r="J161" s="252" t="s">
        <v>161</v>
      </c>
    </row>
    <row r="162">
      <c r="J162" s="252" t="s">
        <v>161</v>
      </c>
    </row>
    <row r="163">
      <c r="J163" s="252" t="s">
        <v>161</v>
      </c>
    </row>
    <row r="164">
      <c r="J164" s="252" t="s">
        <v>161</v>
      </c>
    </row>
    <row r="165">
      <c r="J165" s="252" t="s">
        <v>161</v>
      </c>
    </row>
    <row r="166">
      <c r="J166" s="252" t="s">
        <v>161</v>
      </c>
    </row>
    <row r="167">
      <c r="J167" s="252" t="s">
        <v>161</v>
      </c>
    </row>
    <row r="168">
      <c r="J168" s="252" t="s">
        <v>161</v>
      </c>
    </row>
    <row r="169">
      <c r="J169" s="252" t="s">
        <v>161</v>
      </c>
    </row>
    <row r="170">
      <c r="J170" s="252" t="s">
        <v>161</v>
      </c>
    </row>
    <row r="171">
      <c r="J171" s="252" t="s">
        <v>161</v>
      </c>
    </row>
    <row r="172">
      <c r="J172" s="252" t="s">
        <v>161</v>
      </c>
    </row>
    <row r="173">
      <c r="J173" s="252" t="s">
        <v>161</v>
      </c>
    </row>
    <row r="174">
      <c r="J174" s="252" t="s">
        <v>161</v>
      </c>
    </row>
    <row r="175">
      <c r="J175" s="252" t="s">
        <v>161</v>
      </c>
    </row>
    <row r="176">
      <c r="J176" s="252" t="s">
        <v>161</v>
      </c>
    </row>
    <row r="177">
      <c r="J177" s="252" t="s">
        <v>161</v>
      </c>
    </row>
    <row r="178">
      <c r="J178" s="252" t="s">
        <v>161</v>
      </c>
    </row>
    <row r="179">
      <c r="J179" s="252" t="s">
        <v>161</v>
      </c>
    </row>
    <row r="180">
      <c r="J180" s="252" t="s">
        <v>161</v>
      </c>
    </row>
    <row r="181">
      <c r="J181" s="252" t="s">
        <v>161</v>
      </c>
    </row>
    <row r="182">
      <c r="J182" s="252" t="s">
        <v>161</v>
      </c>
    </row>
    <row r="183">
      <c r="J183" s="252" t="s">
        <v>161</v>
      </c>
    </row>
    <row r="184">
      <c r="J184" s="252" t="s">
        <v>161</v>
      </c>
    </row>
    <row r="185">
      <c r="J185" s="252" t="s">
        <v>161</v>
      </c>
    </row>
    <row r="186">
      <c r="J186" s="252" t="s">
        <v>161</v>
      </c>
    </row>
    <row r="187">
      <c r="J187" s="252" t="s">
        <v>161</v>
      </c>
    </row>
    <row r="188">
      <c r="J188" s="252" t="s">
        <v>161</v>
      </c>
    </row>
    <row r="189">
      <c r="J189" s="252" t="s">
        <v>161</v>
      </c>
    </row>
    <row r="190">
      <c r="J190" s="252" t="s">
        <v>161</v>
      </c>
    </row>
    <row r="191">
      <c r="J191" s="252" t="s">
        <v>161</v>
      </c>
    </row>
    <row r="192">
      <c r="J192" s="252" t="s">
        <v>161</v>
      </c>
    </row>
    <row r="193">
      <c r="J193" s="252" t="s">
        <v>161</v>
      </c>
    </row>
    <row r="194">
      <c r="J194" s="252" t="s">
        <v>161</v>
      </c>
    </row>
    <row r="195">
      <c r="J195" s="252" t="s">
        <v>161</v>
      </c>
    </row>
    <row r="196">
      <c r="J196" s="252" t="s">
        <v>161</v>
      </c>
    </row>
    <row r="197">
      <c r="J197" s="252" t="s">
        <v>161</v>
      </c>
    </row>
    <row r="198">
      <c r="J198" s="252" t="s">
        <v>161</v>
      </c>
    </row>
    <row r="199">
      <c r="J199" s="252" t="s">
        <v>161</v>
      </c>
    </row>
    <row r="200">
      <c r="J200" s="252" t="s">
        <v>161</v>
      </c>
    </row>
    <row r="201">
      <c r="J201" s="252" t="s">
        <v>161</v>
      </c>
    </row>
    <row r="202">
      <c r="J202" s="252" t="s">
        <v>161</v>
      </c>
    </row>
    <row r="203">
      <c r="J203" s="252" t="s">
        <v>161</v>
      </c>
    </row>
    <row r="204">
      <c r="J204" s="252" t="s">
        <v>161</v>
      </c>
    </row>
    <row r="205">
      <c r="J205" s="252" t="s">
        <v>161</v>
      </c>
    </row>
    <row r="206">
      <c r="J206" s="252" t="s">
        <v>161</v>
      </c>
    </row>
    <row r="207">
      <c r="J207" s="252" t="s">
        <v>161</v>
      </c>
    </row>
    <row r="208">
      <c r="J208" s="252" t="s">
        <v>161</v>
      </c>
    </row>
    <row r="209">
      <c r="J209" s="252" t="s">
        <v>161</v>
      </c>
    </row>
    <row r="210">
      <c r="J210" s="252" t="s">
        <v>161</v>
      </c>
    </row>
    <row r="211">
      <c r="J211" s="252" t="s">
        <v>161</v>
      </c>
    </row>
    <row r="212">
      <c r="J212" s="252" t="s">
        <v>161</v>
      </c>
    </row>
    <row r="213">
      <c r="J213" s="252" t="s">
        <v>161</v>
      </c>
    </row>
    <row r="214">
      <c r="J214" s="252" t="s">
        <v>161</v>
      </c>
    </row>
    <row r="215">
      <c r="J215" s="252" t="s">
        <v>161</v>
      </c>
    </row>
    <row r="216">
      <c r="J216" s="252" t="s">
        <v>161</v>
      </c>
    </row>
    <row r="217">
      <c r="J217" s="252" t="s">
        <v>161</v>
      </c>
    </row>
    <row r="218">
      <c r="J218" s="252" t="s">
        <v>161</v>
      </c>
    </row>
    <row r="219">
      <c r="J219" s="252" t="s">
        <v>161</v>
      </c>
    </row>
    <row r="220">
      <c r="J220" s="252" t="s">
        <v>161</v>
      </c>
    </row>
    <row r="221">
      <c r="J221" s="252" t="s">
        <v>161</v>
      </c>
    </row>
    <row r="222">
      <c r="J222" s="252" t="s">
        <v>161</v>
      </c>
    </row>
    <row r="223">
      <c r="J223" s="252" t="s">
        <v>161</v>
      </c>
    </row>
    <row r="224">
      <c r="J224" s="252" t="s">
        <v>161</v>
      </c>
    </row>
    <row r="225">
      <c r="J225" s="252" t="s">
        <v>161</v>
      </c>
    </row>
    <row r="226">
      <c r="J226" s="252" t="s">
        <v>161</v>
      </c>
    </row>
    <row r="227">
      <c r="J227" s="252" t="s">
        <v>161</v>
      </c>
    </row>
    <row r="228">
      <c r="J228" s="252" t="s">
        <v>161</v>
      </c>
    </row>
    <row r="229">
      <c r="J229" s="252" t="s">
        <v>161</v>
      </c>
    </row>
    <row r="230">
      <c r="J230" s="252" t="s">
        <v>161</v>
      </c>
    </row>
    <row r="231">
      <c r="J231" s="252" t="s">
        <v>161</v>
      </c>
    </row>
    <row r="232">
      <c r="J232" s="252" t="s">
        <v>161</v>
      </c>
    </row>
    <row r="233">
      <c r="J233" s="252" t="s">
        <v>161</v>
      </c>
    </row>
    <row r="234">
      <c r="J234" s="252" t="s">
        <v>161</v>
      </c>
    </row>
    <row r="235">
      <c r="J235" s="252" t="s">
        <v>161</v>
      </c>
    </row>
    <row r="236">
      <c r="J236" s="252" t="s">
        <v>161</v>
      </c>
    </row>
    <row r="237">
      <c r="J237" s="252" t="s">
        <v>161</v>
      </c>
    </row>
    <row r="238">
      <c r="J238" s="252" t="s">
        <v>161</v>
      </c>
    </row>
    <row r="239">
      <c r="J239" s="252" t="s">
        <v>161</v>
      </c>
    </row>
    <row r="240">
      <c r="J240" s="252" t="s">
        <v>161</v>
      </c>
    </row>
    <row r="241">
      <c r="J241" s="252" t="s">
        <v>161</v>
      </c>
    </row>
    <row r="242">
      <c r="J242" s="252" t="s">
        <v>161</v>
      </c>
    </row>
    <row r="243">
      <c r="J243" s="252" t="s">
        <v>161</v>
      </c>
    </row>
    <row r="244">
      <c r="J244" s="252" t="s">
        <v>161</v>
      </c>
    </row>
    <row r="245">
      <c r="J245" s="252" t="s">
        <v>161</v>
      </c>
    </row>
    <row r="246">
      <c r="J246" s="252" t="s">
        <v>161</v>
      </c>
    </row>
    <row r="247">
      <c r="J247" s="252" t="s">
        <v>161</v>
      </c>
    </row>
    <row r="248">
      <c r="J248" s="252" t="s">
        <v>161</v>
      </c>
    </row>
    <row r="249">
      <c r="J249" s="252" t="s">
        <v>161</v>
      </c>
    </row>
    <row r="250">
      <c r="J250" s="252" t="s">
        <v>161</v>
      </c>
    </row>
    <row r="251">
      <c r="J251" s="252" t="s">
        <v>161</v>
      </c>
    </row>
    <row r="252">
      <c r="J252" s="252" t="s">
        <v>161</v>
      </c>
    </row>
    <row r="253">
      <c r="J253" s="252" t="s">
        <v>161</v>
      </c>
    </row>
    <row r="254">
      <c r="J254" s="252" t="s">
        <v>161</v>
      </c>
    </row>
    <row r="255">
      <c r="J255" s="252" t="s">
        <v>161</v>
      </c>
    </row>
    <row r="256">
      <c r="J256" s="252" t="s">
        <v>161</v>
      </c>
    </row>
    <row r="257">
      <c r="J257" s="252" t="s">
        <v>161</v>
      </c>
    </row>
    <row r="258">
      <c r="J258" s="252" t="s">
        <v>161</v>
      </c>
    </row>
    <row r="259">
      <c r="J259" s="252" t="s">
        <v>161</v>
      </c>
    </row>
    <row r="260">
      <c r="J260" s="252" t="s">
        <v>161</v>
      </c>
    </row>
    <row r="261">
      <c r="J261" s="252" t="s">
        <v>161</v>
      </c>
    </row>
    <row r="262">
      <c r="J262" s="252" t="s">
        <v>161</v>
      </c>
    </row>
    <row r="263">
      <c r="J263" s="252" t="s">
        <v>161</v>
      </c>
    </row>
    <row r="264">
      <c r="J264" s="252" t="s">
        <v>161</v>
      </c>
    </row>
    <row r="265">
      <c r="J265" s="252" t="s">
        <v>161</v>
      </c>
    </row>
    <row r="266">
      <c r="J266" s="252" t="s">
        <v>161</v>
      </c>
    </row>
    <row r="267">
      <c r="J267" s="252" t="s">
        <v>161</v>
      </c>
    </row>
    <row r="268">
      <c r="J268" s="252" t="s">
        <v>161</v>
      </c>
    </row>
    <row r="269">
      <c r="J269" s="252" t="s">
        <v>161</v>
      </c>
    </row>
    <row r="270">
      <c r="J270" s="252" t="s">
        <v>161</v>
      </c>
    </row>
    <row r="271">
      <c r="J271" s="252" t="s">
        <v>161</v>
      </c>
    </row>
    <row r="272">
      <c r="J272" s="252" t="s">
        <v>161</v>
      </c>
    </row>
    <row r="273">
      <c r="J273" s="252" t="s">
        <v>161</v>
      </c>
    </row>
    <row r="274">
      <c r="J274" s="252" t="s">
        <v>161</v>
      </c>
    </row>
    <row r="275">
      <c r="J275" s="252" t="s">
        <v>161</v>
      </c>
    </row>
    <row r="276">
      <c r="J276" s="252" t="s">
        <v>161</v>
      </c>
    </row>
    <row r="277">
      <c r="J277" s="252" t="s">
        <v>161</v>
      </c>
    </row>
    <row r="278">
      <c r="J278" s="252" t="s">
        <v>161</v>
      </c>
    </row>
    <row r="279">
      <c r="J279" s="252" t="s">
        <v>161</v>
      </c>
    </row>
    <row r="280">
      <c r="J280" s="252" t="s">
        <v>161</v>
      </c>
    </row>
    <row r="281">
      <c r="J281" s="252" t="s">
        <v>161</v>
      </c>
    </row>
    <row r="282">
      <c r="J282" s="252" t="s">
        <v>161</v>
      </c>
    </row>
    <row r="283">
      <c r="J283" s="252" t="s">
        <v>161</v>
      </c>
    </row>
    <row r="284">
      <c r="J284" s="252" t="s">
        <v>161</v>
      </c>
    </row>
    <row r="285">
      <c r="J285" s="252" t="s">
        <v>161</v>
      </c>
    </row>
    <row r="286">
      <c r="J286" s="252" t="s">
        <v>161</v>
      </c>
    </row>
    <row r="287">
      <c r="J287" s="252" t="s">
        <v>161</v>
      </c>
    </row>
    <row r="288">
      <c r="J288" s="252" t="s">
        <v>161</v>
      </c>
    </row>
    <row r="289">
      <c r="J289" s="252" t="s">
        <v>161</v>
      </c>
    </row>
    <row r="290">
      <c r="J290" s="252" t="s">
        <v>161</v>
      </c>
    </row>
    <row r="291">
      <c r="J291" s="252" t="s">
        <v>161</v>
      </c>
    </row>
    <row r="292">
      <c r="J292" s="252" t="s">
        <v>161</v>
      </c>
    </row>
    <row r="293">
      <c r="J293" s="252" t="s">
        <v>161</v>
      </c>
    </row>
    <row r="294">
      <c r="J294" s="252" t="s">
        <v>161</v>
      </c>
    </row>
    <row r="295">
      <c r="J295" s="252" t="s">
        <v>161</v>
      </c>
    </row>
    <row r="296">
      <c r="J296" s="252" t="s">
        <v>161</v>
      </c>
    </row>
    <row r="297">
      <c r="J297" s="252" t="s">
        <v>161</v>
      </c>
    </row>
    <row r="298">
      <c r="J298" s="252" t="s">
        <v>161</v>
      </c>
    </row>
    <row r="299">
      <c r="J299" s="252" t="s">
        <v>161</v>
      </c>
    </row>
    <row r="300">
      <c r="J300" s="252" t="s">
        <v>161</v>
      </c>
    </row>
    <row r="301">
      <c r="J301" s="252" t="s">
        <v>161</v>
      </c>
    </row>
    <row r="302">
      <c r="J302" s="252" t="s">
        <v>161</v>
      </c>
    </row>
    <row r="303">
      <c r="J303" s="252" t="s">
        <v>161</v>
      </c>
    </row>
    <row r="304">
      <c r="J304" s="252" t="s">
        <v>161</v>
      </c>
    </row>
    <row r="305">
      <c r="J305" s="252" t="s">
        <v>161</v>
      </c>
    </row>
    <row r="306">
      <c r="J306" s="252" t="s">
        <v>161</v>
      </c>
    </row>
    <row r="307">
      <c r="J307" s="252" t="s">
        <v>161</v>
      </c>
    </row>
    <row r="308">
      <c r="J308" s="252" t="s">
        <v>161</v>
      </c>
    </row>
    <row r="309">
      <c r="J309" s="252" t="s">
        <v>161</v>
      </c>
    </row>
    <row r="310">
      <c r="J310" s="252" t="s">
        <v>161</v>
      </c>
    </row>
    <row r="311">
      <c r="J311" s="252" t="s">
        <v>161</v>
      </c>
    </row>
    <row r="312">
      <c r="J312" s="252" t="s">
        <v>161</v>
      </c>
    </row>
    <row r="313">
      <c r="J313" s="252" t="s">
        <v>161</v>
      </c>
    </row>
    <row r="314">
      <c r="J314" s="252" t="s">
        <v>161</v>
      </c>
    </row>
    <row r="315">
      <c r="J315" s="252" t="s">
        <v>161</v>
      </c>
    </row>
    <row r="316">
      <c r="J316" s="252" t="s">
        <v>161</v>
      </c>
    </row>
    <row r="317">
      <c r="J317" s="252" t="s">
        <v>161</v>
      </c>
    </row>
    <row r="318">
      <c r="J318" s="252" t="s">
        <v>161</v>
      </c>
    </row>
    <row r="319">
      <c r="J319" s="252" t="s">
        <v>161</v>
      </c>
    </row>
    <row r="320">
      <c r="J320" s="252" t="s">
        <v>161</v>
      </c>
    </row>
    <row r="321">
      <c r="J321" s="252" t="s">
        <v>161</v>
      </c>
    </row>
    <row r="322">
      <c r="J322" s="252" t="s">
        <v>161</v>
      </c>
    </row>
    <row r="323">
      <c r="J323" s="252" t="s">
        <v>161</v>
      </c>
    </row>
    <row r="324">
      <c r="J324" s="252" t="s">
        <v>161</v>
      </c>
    </row>
    <row r="325">
      <c r="J325" s="252" t="s">
        <v>161</v>
      </c>
    </row>
    <row r="326">
      <c r="J326" s="252" t="s">
        <v>161</v>
      </c>
    </row>
    <row r="327">
      <c r="J327" s="252" t="s">
        <v>161</v>
      </c>
    </row>
    <row r="328">
      <c r="J328" s="252" t="s">
        <v>161</v>
      </c>
    </row>
    <row r="329">
      <c r="J329" s="252" t="s">
        <v>161</v>
      </c>
    </row>
    <row r="330">
      <c r="J330" s="252" t="s">
        <v>161</v>
      </c>
    </row>
    <row r="331">
      <c r="J331" s="252" t="s">
        <v>161</v>
      </c>
    </row>
    <row r="332">
      <c r="J332" s="252" t="s">
        <v>161</v>
      </c>
    </row>
    <row r="333">
      <c r="J333" s="252" t="s">
        <v>161</v>
      </c>
    </row>
    <row r="334">
      <c r="J334" s="252" t="s">
        <v>161</v>
      </c>
    </row>
    <row r="335">
      <c r="J335" s="252" t="s">
        <v>161</v>
      </c>
    </row>
    <row r="336">
      <c r="J336" s="252" t="s">
        <v>161</v>
      </c>
    </row>
    <row r="337">
      <c r="J337" s="252" t="s">
        <v>161</v>
      </c>
    </row>
    <row r="338">
      <c r="J338" s="252" t="s">
        <v>161</v>
      </c>
    </row>
    <row r="339">
      <c r="J339" s="252" t="s">
        <v>161</v>
      </c>
    </row>
    <row r="340">
      <c r="J340" s="252" t="s">
        <v>161</v>
      </c>
    </row>
    <row r="341">
      <c r="J341" s="252" t="s">
        <v>161</v>
      </c>
    </row>
    <row r="342">
      <c r="J342" s="252" t="s">
        <v>161</v>
      </c>
    </row>
    <row r="343">
      <c r="J343" s="252" t="s">
        <v>161</v>
      </c>
    </row>
    <row r="344">
      <c r="J344" s="252" t="s">
        <v>161</v>
      </c>
    </row>
    <row r="345">
      <c r="J345" s="252" t="s">
        <v>161</v>
      </c>
    </row>
    <row r="346">
      <c r="J346" s="252" t="s">
        <v>161</v>
      </c>
    </row>
    <row r="347">
      <c r="J347" s="252" t="s">
        <v>161</v>
      </c>
    </row>
    <row r="348">
      <c r="J348" s="252" t="s">
        <v>161</v>
      </c>
    </row>
    <row r="349">
      <c r="J349" s="252" t="s">
        <v>161</v>
      </c>
    </row>
    <row r="350">
      <c r="J350" s="252" t="s">
        <v>161</v>
      </c>
    </row>
    <row r="351">
      <c r="J351" s="252" t="s">
        <v>161</v>
      </c>
    </row>
    <row r="352">
      <c r="J352" s="252" t="s">
        <v>161</v>
      </c>
    </row>
    <row r="353">
      <c r="J353" s="252" t="s">
        <v>161</v>
      </c>
    </row>
    <row r="354">
      <c r="J354" s="252" t="s">
        <v>161</v>
      </c>
    </row>
    <row r="355">
      <c r="J355" s="252" t="s">
        <v>161</v>
      </c>
    </row>
    <row r="356">
      <c r="J356" s="252" t="s">
        <v>161</v>
      </c>
    </row>
    <row r="357">
      <c r="J357" s="252" t="s">
        <v>161</v>
      </c>
    </row>
    <row r="358">
      <c r="J358" s="252" t="s">
        <v>161</v>
      </c>
    </row>
    <row r="359">
      <c r="J359" s="252" t="s">
        <v>161</v>
      </c>
    </row>
    <row r="360">
      <c r="J360" s="252" t="s">
        <v>161</v>
      </c>
    </row>
    <row r="361">
      <c r="J361" s="252" t="s">
        <v>161</v>
      </c>
    </row>
    <row r="362">
      <c r="J362" s="252" t="s">
        <v>161</v>
      </c>
    </row>
    <row r="363">
      <c r="J363" s="252" t="s">
        <v>161</v>
      </c>
    </row>
    <row r="364">
      <c r="J364" s="252" t="s">
        <v>161</v>
      </c>
    </row>
    <row r="365">
      <c r="J365" s="252" t="s">
        <v>161</v>
      </c>
    </row>
    <row r="366">
      <c r="J366" s="252" t="s">
        <v>161</v>
      </c>
    </row>
    <row r="367">
      <c r="J367" s="252" t="s">
        <v>161</v>
      </c>
    </row>
    <row r="368">
      <c r="J368" s="252" t="s">
        <v>161</v>
      </c>
    </row>
    <row r="369">
      <c r="J369" s="252" t="s">
        <v>161</v>
      </c>
    </row>
    <row r="370">
      <c r="J370" s="252" t="s">
        <v>161</v>
      </c>
    </row>
    <row r="371">
      <c r="J371" s="252" t="s">
        <v>161</v>
      </c>
    </row>
    <row r="372">
      <c r="J372" s="252" t="s">
        <v>161</v>
      </c>
    </row>
    <row r="373">
      <c r="J373" s="252" t="s">
        <v>161</v>
      </c>
    </row>
    <row r="374">
      <c r="J374" s="252" t="s">
        <v>161</v>
      </c>
    </row>
    <row r="375">
      <c r="J375" s="252" t="s">
        <v>161</v>
      </c>
    </row>
    <row r="376">
      <c r="J376" s="252" t="s">
        <v>161</v>
      </c>
    </row>
    <row r="377">
      <c r="J377" s="252" t="s">
        <v>161</v>
      </c>
    </row>
    <row r="378">
      <c r="J378" s="252" t="s">
        <v>161</v>
      </c>
    </row>
    <row r="379">
      <c r="J379" s="252" t="s">
        <v>161</v>
      </c>
    </row>
    <row r="380">
      <c r="J380" s="252" t="s">
        <v>161</v>
      </c>
    </row>
    <row r="381">
      <c r="J381" s="252" t="s">
        <v>161</v>
      </c>
    </row>
    <row r="382">
      <c r="J382" s="252" t="s">
        <v>161</v>
      </c>
    </row>
    <row r="383">
      <c r="J383" s="252" t="s">
        <v>161</v>
      </c>
    </row>
    <row r="384">
      <c r="J384" s="252" t="s">
        <v>161</v>
      </c>
    </row>
    <row r="385">
      <c r="J385" s="252" t="s">
        <v>161</v>
      </c>
    </row>
    <row r="386">
      <c r="J386" s="252" t="s">
        <v>161</v>
      </c>
    </row>
    <row r="387">
      <c r="J387" s="252" t="s">
        <v>161</v>
      </c>
    </row>
    <row r="388">
      <c r="J388" s="252" t="s">
        <v>161</v>
      </c>
    </row>
    <row r="389">
      <c r="J389" s="252" t="s">
        <v>161</v>
      </c>
    </row>
    <row r="390">
      <c r="J390" s="252" t="s">
        <v>161</v>
      </c>
    </row>
    <row r="391">
      <c r="J391" s="252" t="s">
        <v>161</v>
      </c>
    </row>
    <row r="392">
      <c r="J392" s="252" t="s">
        <v>161</v>
      </c>
    </row>
    <row r="393">
      <c r="J393" s="252" t="s">
        <v>161</v>
      </c>
    </row>
    <row r="394">
      <c r="J394" s="252" t="s">
        <v>161</v>
      </c>
    </row>
    <row r="395">
      <c r="J395" s="252" t="s">
        <v>161</v>
      </c>
    </row>
    <row r="396">
      <c r="J396" s="252" t="s">
        <v>161</v>
      </c>
    </row>
    <row r="397">
      <c r="J397" s="252" t="s">
        <v>161</v>
      </c>
    </row>
    <row r="398">
      <c r="J398" s="252" t="s">
        <v>161</v>
      </c>
    </row>
    <row r="399">
      <c r="J399" s="252" t="s">
        <v>161</v>
      </c>
    </row>
    <row r="400">
      <c r="J400" s="252" t="s">
        <v>161</v>
      </c>
    </row>
    <row r="401">
      <c r="J401" s="252" t="s">
        <v>161</v>
      </c>
    </row>
    <row r="402">
      <c r="J402" s="252" t="s">
        <v>161</v>
      </c>
    </row>
    <row r="403">
      <c r="J403" s="252" t="s">
        <v>161</v>
      </c>
    </row>
    <row r="404">
      <c r="J404" s="252" t="s">
        <v>161</v>
      </c>
    </row>
    <row r="405">
      <c r="J405" s="252" t="s">
        <v>161</v>
      </c>
    </row>
    <row r="406">
      <c r="J406" s="252" t="s">
        <v>161</v>
      </c>
    </row>
    <row r="407">
      <c r="J407" s="252" t="s">
        <v>161</v>
      </c>
    </row>
    <row r="408">
      <c r="J408" s="252" t="s">
        <v>161</v>
      </c>
    </row>
    <row r="409">
      <c r="J409" s="252" t="s">
        <v>161</v>
      </c>
    </row>
    <row r="410">
      <c r="J410" s="252" t="s">
        <v>161</v>
      </c>
    </row>
    <row r="411">
      <c r="J411" s="252" t="s">
        <v>161</v>
      </c>
    </row>
    <row r="412">
      <c r="J412" s="252" t="s">
        <v>161</v>
      </c>
    </row>
    <row r="413">
      <c r="J413" s="252" t="s">
        <v>161</v>
      </c>
    </row>
    <row r="414">
      <c r="J414" s="252" t="s">
        <v>161</v>
      </c>
    </row>
    <row r="415">
      <c r="J415" s="252" t="s">
        <v>161</v>
      </c>
    </row>
    <row r="416">
      <c r="J416" s="252" t="s">
        <v>161</v>
      </c>
    </row>
    <row r="417">
      <c r="J417" s="252" t="s">
        <v>161</v>
      </c>
    </row>
    <row r="418">
      <c r="J418" s="252" t="s">
        <v>161</v>
      </c>
    </row>
    <row r="419">
      <c r="J419" s="252" t="s">
        <v>161</v>
      </c>
    </row>
    <row r="420">
      <c r="J420" s="252" t="s">
        <v>161</v>
      </c>
    </row>
    <row r="421">
      <c r="J421" s="252" t="s">
        <v>161</v>
      </c>
    </row>
    <row r="422">
      <c r="J422" s="252" t="s">
        <v>161</v>
      </c>
    </row>
    <row r="423">
      <c r="J423" s="252" t="s">
        <v>161</v>
      </c>
    </row>
    <row r="424">
      <c r="J424" s="252" t="s">
        <v>161</v>
      </c>
    </row>
    <row r="425">
      <c r="J425" s="252" t="s">
        <v>161</v>
      </c>
    </row>
    <row r="426">
      <c r="J426" s="252" t="s">
        <v>161</v>
      </c>
    </row>
    <row r="427">
      <c r="J427" s="252" t="s">
        <v>161</v>
      </c>
    </row>
    <row r="428">
      <c r="J428" s="252" t="s">
        <v>161</v>
      </c>
    </row>
    <row r="429">
      <c r="J429" s="252" t="s">
        <v>161</v>
      </c>
    </row>
    <row r="430">
      <c r="J430" s="252" t="s">
        <v>161</v>
      </c>
    </row>
    <row r="431">
      <c r="J431" s="252" t="s">
        <v>161</v>
      </c>
    </row>
    <row r="432">
      <c r="J432" s="252" t="s">
        <v>161</v>
      </c>
    </row>
    <row r="433">
      <c r="J433" s="252" t="s">
        <v>161</v>
      </c>
    </row>
    <row r="434">
      <c r="J434" s="252" t="s">
        <v>161</v>
      </c>
    </row>
    <row r="435">
      <c r="J435" s="252" t="s">
        <v>161</v>
      </c>
    </row>
    <row r="436">
      <c r="J436" s="252" t="s">
        <v>161</v>
      </c>
    </row>
    <row r="437">
      <c r="J437" s="252" t="s">
        <v>161</v>
      </c>
    </row>
    <row r="438">
      <c r="J438" s="252" t="s">
        <v>161</v>
      </c>
    </row>
    <row r="439">
      <c r="J439" s="252" t="s">
        <v>161</v>
      </c>
    </row>
    <row r="440">
      <c r="J440" s="252" t="s">
        <v>161</v>
      </c>
    </row>
    <row r="441">
      <c r="J441" s="252" t="s">
        <v>161</v>
      </c>
    </row>
    <row r="442">
      <c r="J442" s="252" t="s">
        <v>161</v>
      </c>
    </row>
    <row r="443">
      <c r="J443" s="252" t="s">
        <v>161</v>
      </c>
    </row>
    <row r="444">
      <c r="J444" s="252" t="s">
        <v>161</v>
      </c>
    </row>
    <row r="445">
      <c r="J445" s="252" t="s">
        <v>161</v>
      </c>
    </row>
    <row r="446">
      <c r="J446" s="252" t="s">
        <v>161</v>
      </c>
    </row>
    <row r="447">
      <c r="J447" s="252" t="s">
        <v>161</v>
      </c>
    </row>
    <row r="448">
      <c r="J448" s="252" t="s">
        <v>161</v>
      </c>
    </row>
    <row r="449">
      <c r="J449" s="252" t="s">
        <v>161</v>
      </c>
    </row>
    <row r="450">
      <c r="J450" s="252" t="s">
        <v>161</v>
      </c>
    </row>
    <row r="451">
      <c r="J451" s="252" t="s">
        <v>161</v>
      </c>
    </row>
    <row r="452">
      <c r="J452" s="252" t="s">
        <v>161</v>
      </c>
    </row>
    <row r="453">
      <c r="J453" s="252" t="s">
        <v>161</v>
      </c>
    </row>
    <row r="454">
      <c r="J454" s="252" t="s">
        <v>161</v>
      </c>
    </row>
    <row r="455">
      <c r="J455" s="252" t="s">
        <v>161</v>
      </c>
    </row>
    <row r="456">
      <c r="J456" s="252" t="s">
        <v>161</v>
      </c>
    </row>
    <row r="457">
      <c r="J457" s="252" t="s">
        <v>161</v>
      </c>
    </row>
    <row r="458">
      <c r="J458" s="252" t="s">
        <v>161</v>
      </c>
    </row>
    <row r="459">
      <c r="J459" s="252" t="s">
        <v>161</v>
      </c>
    </row>
    <row r="460">
      <c r="J460" s="252" t="s">
        <v>161</v>
      </c>
    </row>
    <row r="461">
      <c r="J461" s="252" t="s">
        <v>161</v>
      </c>
    </row>
    <row r="462">
      <c r="J462" s="252" t="s">
        <v>161</v>
      </c>
    </row>
    <row r="463">
      <c r="J463" s="252" t="s">
        <v>161</v>
      </c>
    </row>
    <row r="464">
      <c r="J464" s="252" t="s">
        <v>161</v>
      </c>
    </row>
    <row r="465">
      <c r="J465" s="252" t="s">
        <v>161</v>
      </c>
    </row>
    <row r="466">
      <c r="J466" s="252" t="s">
        <v>161</v>
      </c>
    </row>
    <row r="467">
      <c r="J467" s="252" t="s">
        <v>161</v>
      </c>
    </row>
    <row r="468">
      <c r="J468" s="252" t="s">
        <v>161</v>
      </c>
    </row>
    <row r="469">
      <c r="J469" s="252" t="s">
        <v>161</v>
      </c>
    </row>
    <row r="470">
      <c r="J470" s="252" t="s">
        <v>161</v>
      </c>
    </row>
    <row r="471">
      <c r="J471" s="252" t="s">
        <v>161</v>
      </c>
    </row>
    <row r="472">
      <c r="J472" s="252" t="s">
        <v>161</v>
      </c>
    </row>
    <row r="473">
      <c r="J473" s="252" t="s">
        <v>161</v>
      </c>
    </row>
    <row r="474">
      <c r="J474" s="252" t="s">
        <v>161</v>
      </c>
    </row>
    <row r="475">
      <c r="J475" s="252" t="s">
        <v>161</v>
      </c>
    </row>
    <row r="476">
      <c r="J476" s="252" t="s">
        <v>161</v>
      </c>
    </row>
    <row r="477">
      <c r="J477" s="252" t="s">
        <v>161</v>
      </c>
    </row>
    <row r="478">
      <c r="J478" s="252" t="s">
        <v>161</v>
      </c>
    </row>
    <row r="479">
      <c r="J479" s="252" t="s">
        <v>161</v>
      </c>
    </row>
    <row r="480">
      <c r="J480" s="252" t="s">
        <v>161</v>
      </c>
    </row>
    <row r="481">
      <c r="J481" s="252" t="s">
        <v>161</v>
      </c>
    </row>
    <row r="482">
      <c r="J482" s="252" t="s">
        <v>161</v>
      </c>
    </row>
    <row r="483">
      <c r="J483" s="252" t="s">
        <v>161</v>
      </c>
    </row>
    <row r="484">
      <c r="J484" s="252" t="s">
        <v>161</v>
      </c>
    </row>
    <row r="485">
      <c r="J485" s="252" t="s">
        <v>161</v>
      </c>
    </row>
    <row r="486">
      <c r="J486" s="252" t="s">
        <v>161</v>
      </c>
    </row>
    <row r="487">
      <c r="J487" s="252" t="s">
        <v>161</v>
      </c>
    </row>
    <row r="488">
      <c r="J488" s="252" t="s">
        <v>161</v>
      </c>
    </row>
    <row r="489">
      <c r="J489" s="252" t="s">
        <v>161</v>
      </c>
    </row>
    <row r="490">
      <c r="J490" s="252" t="s">
        <v>161</v>
      </c>
    </row>
    <row r="491">
      <c r="J491" s="252" t="s">
        <v>161</v>
      </c>
    </row>
    <row r="492">
      <c r="J492" s="252" t="s">
        <v>161</v>
      </c>
    </row>
    <row r="493">
      <c r="J493" s="252" t="s">
        <v>161</v>
      </c>
    </row>
    <row r="494">
      <c r="J494" s="252" t="s">
        <v>161</v>
      </c>
    </row>
    <row r="495">
      <c r="J495" s="252" t="s">
        <v>161</v>
      </c>
    </row>
    <row r="496">
      <c r="J496" s="252" t="s">
        <v>161</v>
      </c>
    </row>
    <row r="497">
      <c r="J497" s="252" t="s">
        <v>161</v>
      </c>
    </row>
    <row r="498">
      <c r="J498" s="252" t="s">
        <v>161</v>
      </c>
    </row>
    <row r="499">
      <c r="J499" s="252" t="s">
        <v>161</v>
      </c>
    </row>
    <row r="500">
      <c r="J500" s="252" t="s">
        <v>161</v>
      </c>
    </row>
    <row r="501">
      <c r="J501" s="252" t="s">
        <v>161</v>
      </c>
    </row>
    <row r="502">
      <c r="J502" s="252" t="s">
        <v>161</v>
      </c>
    </row>
    <row r="503">
      <c r="J503" s="252" t="s">
        <v>161</v>
      </c>
    </row>
    <row r="504">
      <c r="J504" s="252" t="s">
        <v>161</v>
      </c>
    </row>
    <row r="505">
      <c r="J505" s="252" t="s">
        <v>161</v>
      </c>
    </row>
    <row r="506">
      <c r="J506" s="252" t="s">
        <v>161</v>
      </c>
    </row>
    <row r="507">
      <c r="J507" s="252" t="s">
        <v>161</v>
      </c>
    </row>
    <row r="508">
      <c r="J508" s="252" t="s">
        <v>161</v>
      </c>
    </row>
    <row r="509">
      <c r="J509" s="252" t="s">
        <v>161</v>
      </c>
    </row>
    <row r="510">
      <c r="J510" s="252" t="s">
        <v>161</v>
      </c>
    </row>
    <row r="511">
      <c r="J511" s="252" t="s">
        <v>161</v>
      </c>
    </row>
    <row r="512">
      <c r="J512" s="252" t="s">
        <v>161</v>
      </c>
    </row>
    <row r="513">
      <c r="J513" s="252" t="s">
        <v>161</v>
      </c>
    </row>
    <row r="514">
      <c r="J514" s="252" t="s">
        <v>161</v>
      </c>
    </row>
    <row r="515">
      <c r="J515" s="252" t="s">
        <v>161</v>
      </c>
    </row>
    <row r="516">
      <c r="J516" s="252" t="s">
        <v>161</v>
      </c>
    </row>
    <row r="517">
      <c r="J517" s="252" t="s">
        <v>161</v>
      </c>
    </row>
    <row r="518">
      <c r="J518" s="252" t="s">
        <v>161</v>
      </c>
    </row>
    <row r="519">
      <c r="J519" s="252" t="s">
        <v>161</v>
      </c>
    </row>
    <row r="520">
      <c r="J520" s="252" t="s">
        <v>161</v>
      </c>
    </row>
    <row r="521">
      <c r="J521" s="252" t="s">
        <v>161</v>
      </c>
    </row>
    <row r="522">
      <c r="J522" s="252" t="s">
        <v>161</v>
      </c>
    </row>
    <row r="523">
      <c r="J523" s="252" t="s">
        <v>161</v>
      </c>
    </row>
    <row r="524">
      <c r="J524" s="252" t="s">
        <v>161</v>
      </c>
    </row>
    <row r="525">
      <c r="J525" s="252" t="s">
        <v>161</v>
      </c>
    </row>
    <row r="526">
      <c r="J526" s="252" t="s">
        <v>161</v>
      </c>
    </row>
    <row r="527">
      <c r="J527" s="252" t="s">
        <v>161</v>
      </c>
    </row>
    <row r="528">
      <c r="J528" s="252" t="s">
        <v>161</v>
      </c>
    </row>
    <row r="529">
      <c r="J529" s="252" t="s">
        <v>161</v>
      </c>
    </row>
    <row r="530">
      <c r="J530" s="252" t="s">
        <v>161</v>
      </c>
    </row>
    <row r="531">
      <c r="J531" s="252" t="s">
        <v>161</v>
      </c>
    </row>
    <row r="532">
      <c r="J532" s="252" t="s">
        <v>161</v>
      </c>
    </row>
    <row r="533">
      <c r="J533" s="252" t="s">
        <v>161</v>
      </c>
    </row>
    <row r="534">
      <c r="J534" s="252" t="s">
        <v>161</v>
      </c>
    </row>
    <row r="535">
      <c r="J535" s="252" t="s">
        <v>161</v>
      </c>
    </row>
    <row r="536">
      <c r="J536" s="252" t="s">
        <v>161</v>
      </c>
    </row>
    <row r="537">
      <c r="J537" s="252" t="s">
        <v>161</v>
      </c>
    </row>
    <row r="538">
      <c r="J538" s="252" t="s">
        <v>161</v>
      </c>
    </row>
    <row r="539">
      <c r="J539" s="252" t="s">
        <v>161</v>
      </c>
    </row>
    <row r="540">
      <c r="J540" s="252" t="s">
        <v>161</v>
      </c>
    </row>
    <row r="541">
      <c r="J541" s="252" t="s">
        <v>161</v>
      </c>
    </row>
    <row r="542">
      <c r="J542" s="252" t="s">
        <v>161</v>
      </c>
    </row>
    <row r="543">
      <c r="J543" s="252" t="s">
        <v>161</v>
      </c>
    </row>
    <row r="544">
      <c r="J544" s="252" t="s">
        <v>161</v>
      </c>
    </row>
    <row r="545">
      <c r="J545" s="252" t="s">
        <v>161</v>
      </c>
    </row>
    <row r="546">
      <c r="J546" s="252" t="s">
        <v>161</v>
      </c>
    </row>
    <row r="547">
      <c r="J547" s="252" t="s">
        <v>161</v>
      </c>
    </row>
    <row r="548">
      <c r="J548" s="252" t="s">
        <v>161</v>
      </c>
    </row>
    <row r="549">
      <c r="J549" s="252" t="s">
        <v>161</v>
      </c>
    </row>
    <row r="550">
      <c r="J550" s="252" t="s">
        <v>161</v>
      </c>
    </row>
    <row r="551">
      <c r="J551" s="252" t="s">
        <v>161</v>
      </c>
    </row>
    <row r="552">
      <c r="J552" s="252" t="s">
        <v>161</v>
      </c>
    </row>
    <row r="553">
      <c r="J553" s="252" t="s">
        <v>161</v>
      </c>
    </row>
    <row r="554">
      <c r="J554" s="252" t="s">
        <v>161</v>
      </c>
    </row>
    <row r="555">
      <c r="J555" s="252" t="s">
        <v>161</v>
      </c>
    </row>
    <row r="556">
      <c r="J556" s="252" t="s">
        <v>161</v>
      </c>
    </row>
    <row r="557">
      <c r="J557" s="252" t="s">
        <v>161</v>
      </c>
    </row>
    <row r="558">
      <c r="J558" s="252" t="s">
        <v>161</v>
      </c>
    </row>
    <row r="559">
      <c r="J559" s="252" t="s">
        <v>161</v>
      </c>
    </row>
    <row r="560">
      <c r="J560" s="252" t="s">
        <v>161</v>
      </c>
    </row>
    <row r="561">
      <c r="J561" s="252" t="s">
        <v>161</v>
      </c>
    </row>
    <row r="562">
      <c r="J562" s="252" t="s">
        <v>161</v>
      </c>
    </row>
    <row r="563">
      <c r="J563" s="252" t="s">
        <v>161</v>
      </c>
    </row>
    <row r="564">
      <c r="J564" s="252" t="s">
        <v>161</v>
      </c>
    </row>
    <row r="565">
      <c r="J565" s="252" t="s">
        <v>161</v>
      </c>
    </row>
    <row r="566">
      <c r="J566" s="252" t="s">
        <v>161</v>
      </c>
    </row>
    <row r="567">
      <c r="J567" s="252" t="s">
        <v>161</v>
      </c>
    </row>
    <row r="568">
      <c r="J568" s="252" t="s">
        <v>161</v>
      </c>
    </row>
    <row r="569">
      <c r="J569" s="252" t="s">
        <v>161</v>
      </c>
    </row>
    <row r="570">
      <c r="J570" s="252" t="s">
        <v>161</v>
      </c>
    </row>
    <row r="571">
      <c r="J571" s="252" t="s">
        <v>161</v>
      </c>
    </row>
    <row r="572">
      <c r="J572" s="252" t="s">
        <v>161</v>
      </c>
    </row>
    <row r="573">
      <c r="J573" s="252" t="s">
        <v>161</v>
      </c>
    </row>
    <row r="574">
      <c r="J574" s="252" t="s">
        <v>161</v>
      </c>
    </row>
    <row r="575">
      <c r="J575" s="252" t="s">
        <v>161</v>
      </c>
    </row>
    <row r="576">
      <c r="J576" s="252" t="s">
        <v>161</v>
      </c>
    </row>
    <row r="577">
      <c r="J577" s="252" t="s">
        <v>161</v>
      </c>
    </row>
    <row r="578">
      <c r="J578" s="252" t="s">
        <v>161</v>
      </c>
    </row>
    <row r="579">
      <c r="J579" s="252" t="s">
        <v>161</v>
      </c>
    </row>
    <row r="580">
      <c r="J580" s="252" t="s">
        <v>161</v>
      </c>
    </row>
    <row r="581">
      <c r="J581" s="252" t="s">
        <v>161</v>
      </c>
    </row>
    <row r="582">
      <c r="J582" s="252" t="s">
        <v>161</v>
      </c>
    </row>
    <row r="583">
      <c r="J583" s="252" t="s">
        <v>161</v>
      </c>
    </row>
    <row r="584">
      <c r="J584" s="252" t="s">
        <v>161</v>
      </c>
    </row>
    <row r="585">
      <c r="J585" s="252" t="s">
        <v>161</v>
      </c>
    </row>
    <row r="586">
      <c r="J586" s="252" t="s">
        <v>161</v>
      </c>
    </row>
    <row r="587">
      <c r="J587" s="252" t="s">
        <v>161</v>
      </c>
    </row>
    <row r="588">
      <c r="J588" s="252" t="s">
        <v>161</v>
      </c>
    </row>
    <row r="589">
      <c r="J589" s="252" t="s">
        <v>161</v>
      </c>
    </row>
    <row r="590">
      <c r="J590" s="252" t="s">
        <v>161</v>
      </c>
    </row>
    <row r="591">
      <c r="J591" s="252" t="s">
        <v>161</v>
      </c>
    </row>
    <row r="592">
      <c r="J592" s="252" t="s">
        <v>161</v>
      </c>
    </row>
    <row r="593">
      <c r="J593" s="252" t="s">
        <v>161</v>
      </c>
    </row>
    <row r="594">
      <c r="J594" s="252" t="s">
        <v>161</v>
      </c>
    </row>
    <row r="595">
      <c r="J595" s="252" t="s">
        <v>161</v>
      </c>
    </row>
    <row r="596">
      <c r="J596" s="252" t="s">
        <v>161</v>
      </c>
    </row>
    <row r="597">
      <c r="J597" s="252" t="s">
        <v>161</v>
      </c>
    </row>
    <row r="598">
      <c r="J598" s="252" t="s">
        <v>161</v>
      </c>
    </row>
    <row r="599">
      <c r="J599" s="252" t="s">
        <v>161</v>
      </c>
    </row>
    <row r="600">
      <c r="J600" s="252" t="s">
        <v>161</v>
      </c>
    </row>
    <row r="601">
      <c r="J601" s="252" t="s">
        <v>161</v>
      </c>
    </row>
    <row r="602">
      <c r="J602" s="252" t="s">
        <v>161</v>
      </c>
    </row>
    <row r="603">
      <c r="J603" s="252" t="s">
        <v>161</v>
      </c>
    </row>
    <row r="604">
      <c r="J604" s="252" t="s">
        <v>161</v>
      </c>
    </row>
    <row r="605">
      <c r="J605" s="252" t="s">
        <v>161</v>
      </c>
    </row>
    <row r="606">
      <c r="J606" s="252" t="s">
        <v>161</v>
      </c>
    </row>
    <row r="607">
      <c r="J607" s="252" t="s">
        <v>161</v>
      </c>
    </row>
    <row r="608">
      <c r="J608" s="252" t="s">
        <v>161</v>
      </c>
    </row>
    <row r="609">
      <c r="J609" s="252" t="s">
        <v>161</v>
      </c>
    </row>
    <row r="610">
      <c r="J610" s="252" t="s">
        <v>161</v>
      </c>
    </row>
    <row r="611">
      <c r="J611" s="252" t="s">
        <v>161</v>
      </c>
    </row>
    <row r="612">
      <c r="J612" s="252" t="s">
        <v>161</v>
      </c>
    </row>
    <row r="613">
      <c r="J613" s="252" t="s">
        <v>161</v>
      </c>
    </row>
    <row r="614">
      <c r="J614" s="252" t="s">
        <v>161</v>
      </c>
    </row>
    <row r="615">
      <c r="J615" s="252" t="s">
        <v>161</v>
      </c>
    </row>
    <row r="616">
      <c r="J616" s="252" t="s">
        <v>161</v>
      </c>
    </row>
    <row r="617">
      <c r="J617" s="252" t="s">
        <v>161</v>
      </c>
    </row>
    <row r="618">
      <c r="J618" s="252" t="s">
        <v>161</v>
      </c>
    </row>
    <row r="619">
      <c r="J619" s="252" t="s">
        <v>161</v>
      </c>
    </row>
    <row r="620">
      <c r="J620" s="252" t="s">
        <v>161</v>
      </c>
    </row>
    <row r="621">
      <c r="J621" s="252" t="s">
        <v>161</v>
      </c>
    </row>
    <row r="622">
      <c r="J622" s="252" t="s">
        <v>161</v>
      </c>
    </row>
    <row r="623">
      <c r="J623" s="252" t="s">
        <v>161</v>
      </c>
    </row>
    <row r="624">
      <c r="J624" s="252" t="s">
        <v>161</v>
      </c>
    </row>
    <row r="625">
      <c r="J625" s="252" t="s">
        <v>161</v>
      </c>
    </row>
    <row r="626">
      <c r="J626" s="252" t="s">
        <v>161</v>
      </c>
    </row>
    <row r="627">
      <c r="J627" s="252" t="s">
        <v>161</v>
      </c>
    </row>
    <row r="628">
      <c r="J628" s="252" t="s">
        <v>161</v>
      </c>
    </row>
    <row r="629">
      <c r="J629" s="252" t="s">
        <v>161</v>
      </c>
    </row>
    <row r="630">
      <c r="J630" s="252" t="s">
        <v>161</v>
      </c>
    </row>
    <row r="631">
      <c r="J631" s="252" t="s">
        <v>161</v>
      </c>
    </row>
    <row r="632">
      <c r="J632" s="252" t="s">
        <v>161</v>
      </c>
    </row>
    <row r="633">
      <c r="J633" s="252" t="s">
        <v>161</v>
      </c>
    </row>
    <row r="634">
      <c r="J634" s="252" t="s">
        <v>161</v>
      </c>
    </row>
    <row r="635">
      <c r="J635" s="252" t="s">
        <v>161</v>
      </c>
    </row>
    <row r="636">
      <c r="J636" s="252" t="s">
        <v>161</v>
      </c>
    </row>
    <row r="637">
      <c r="J637" s="252" t="s">
        <v>161</v>
      </c>
    </row>
    <row r="638">
      <c r="J638" s="252" t="s">
        <v>161</v>
      </c>
    </row>
    <row r="639">
      <c r="J639" s="252" t="s">
        <v>161</v>
      </c>
    </row>
    <row r="640">
      <c r="J640" s="252" t="s">
        <v>161</v>
      </c>
    </row>
    <row r="641">
      <c r="J641" s="252" t="s">
        <v>161</v>
      </c>
    </row>
    <row r="642">
      <c r="J642" s="252" t="s">
        <v>161</v>
      </c>
    </row>
    <row r="643">
      <c r="J643" s="252" t="s">
        <v>161</v>
      </c>
    </row>
    <row r="644">
      <c r="J644" s="252" t="s">
        <v>161</v>
      </c>
    </row>
    <row r="645">
      <c r="J645" s="252" t="s">
        <v>161</v>
      </c>
    </row>
    <row r="646">
      <c r="J646" s="252" t="s">
        <v>161</v>
      </c>
    </row>
    <row r="647">
      <c r="J647" s="252" t="s">
        <v>161</v>
      </c>
    </row>
    <row r="648">
      <c r="J648" s="252" t="s">
        <v>161</v>
      </c>
    </row>
    <row r="649">
      <c r="J649" s="252" t="s">
        <v>161</v>
      </c>
    </row>
    <row r="650">
      <c r="J650" s="252" t="s">
        <v>161</v>
      </c>
    </row>
    <row r="651">
      <c r="J651" s="252" t="s">
        <v>161</v>
      </c>
    </row>
    <row r="652">
      <c r="J652" s="252" t="s">
        <v>161</v>
      </c>
    </row>
    <row r="653">
      <c r="J653" s="252" t="s">
        <v>161</v>
      </c>
    </row>
    <row r="654">
      <c r="J654" s="252" t="s">
        <v>161</v>
      </c>
    </row>
    <row r="655">
      <c r="J655" s="252" t="s">
        <v>161</v>
      </c>
    </row>
    <row r="656">
      <c r="J656" s="252" t="s">
        <v>161</v>
      </c>
    </row>
    <row r="657">
      <c r="J657" s="252" t="s">
        <v>161</v>
      </c>
    </row>
    <row r="658">
      <c r="J658" s="252" t="s">
        <v>161</v>
      </c>
    </row>
    <row r="659">
      <c r="J659" s="252" t="s">
        <v>161</v>
      </c>
    </row>
    <row r="660">
      <c r="J660" s="252" t="s">
        <v>161</v>
      </c>
    </row>
    <row r="661">
      <c r="J661" s="252" t="s">
        <v>161</v>
      </c>
    </row>
    <row r="662">
      <c r="J662" s="252" t="s">
        <v>161</v>
      </c>
    </row>
    <row r="663">
      <c r="J663" s="252" t="s">
        <v>161</v>
      </c>
    </row>
    <row r="664">
      <c r="J664" s="252" t="s">
        <v>161</v>
      </c>
    </row>
    <row r="665">
      <c r="J665" s="252" t="s">
        <v>161</v>
      </c>
    </row>
    <row r="666">
      <c r="J666" s="252" t="s">
        <v>161</v>
      </c>
    </row>
    <row r="667">
      <c r="J667" s="252" t="s">
        <v>161</v>
      </c>
    </row>
    <row r="668">
      <c r="J668" s="252" t="s">
        <v>161</v>
      </c>
    </row>
    <row r="669">
      <c r="J669" s="252" t="s">
        <v>161</v>
      </c>
    </row>
    <row r="670">
      <c r="J670" s="252" t="s">
        <v>161</v>
      </c>
    </row>
    <row r="671">
      <c r="J671" s="252" t="s">
        <v>161</v>
      </c>
    </row>
    <row r="672">
      <c r="J672" s="252" t="s">
        <v>161</v>
      </c>
    </row>
    <row r="673">
      <c r="J673" s="252" t="s">
        <v>161</v>
      </c>
    </row>
    <row r="674">
      <c r="J674" s="252" t="s">
        <v>161</v>
      </c>
    </row>
    <row r="675">
      <c r="J675" s="252" t="s">
        <v>161</v>
      </c>
    </row>
    <row r="676">
      <c r="J676" s="252" t="s">
        <v>161</v>
      </c>
    </row>
    <row r="677">
      <c r="J677" s="252" t="s">
        <v>161</v>
      </c>
    </row>
    <row r="678">
      <c r="J678" s="252" t="s">
        <v>161</v>
      </c>
    </row>
    <row r="679">
      <c r="J679" s="252" t="s">
        <v>161</v>
      </c>
    </row>
    <row r="680">
      <c r="J680" s="252" t="s">
        <v>161</v>
      </c>
    </row>
    <row r="681">
      <c r="J681" s="252" t="s">
        <v>161</v>
      </c>
    </row>
    <row r="682">
      <c r="J682" s="252" t="s">
        <v>161</v>
      </c>
    </row>
    <row r="683">
      <c r="J683" s="252" t="s">
        <v>161</v>
      </c>
    </row>
    <row r="684">
      <c r="J684" s="252" t="s">
        <v>161</v>
      </c>
    </row>
    <row r="685">
      <c r="J685" s="252" t="s">
        <v>161</v>
      </c>
    </row>
    <row r="686">
      <c r="J686" s="252" t="s">
        <v>161</v>
      </c>
    </row>
    <row r="687">
      <c r="J687" s="252" t="s">
        <v>161</v>
      </c>
    </row>
    <row r="688">
      <c r="J688" s="252" t="s">
        <v>161</v>
      </c>
    </row>
    <row r="689">
      <c r="J689" s="252" t="s">
        <v>161</v>
      </c>
    </row>
    <row r="690">
      <c r="J690" s="252" t="s">
        <v>161</v>
      </c>
    </row>
    <row r="691">
      <c r="J691" s="252" t="s">
        <v>161</v>
      </c>
    </row>
    <row r="692">
      <c r="J692" s="252" t="s">
        <v>161</v>
      </c>
    </row>
    <row r="693">
      <c r="J693" s="252" t="s">
        <v>161</v>
      </c>
    </row>
    <row r="694">
      <c r="J694" s="252" t="s">
        <v>161</v>
      </c>
    </row>
    <row r="695">
      <c r="J695" s="252" t="s">
        <v>161</v>
      </c>
    </row>
    <row r="696">
      <c r="J696" s="252" t="s">
        <v>161</v>
      </c>
    </row>
    <row r="697">
      <c r="J697" s="252" t="s">
        <v>161</v>
      </c>
    </row>
    <row r="698">
      <c r="J698" s="252" t="s">
        <v>161</v>
      </c>
    </row>
    <row r="699">
      <c r="J699" s="252" t="s">
        <v>161</v>
      </c>
    </row>
    <row r="700">
      <c r="J700" s="252" t="s">
        <v>161</v>
      </c>
    </row>
    <row r="701">
      <c r="J701" s="252" t="s">
        <v>161</v>
      </c>
    </row>
    <row r="702">
      <c r="J702" s="252" t="s">
        <v>161</v>
      </c>
    </row>
    <row r="703">
      <c r="J703" s="252" t="s">
        <v>161</v>
      </c>
    </row>
    <row r="704">
      <c r="J704" s="252" t="s">
        <v>161</v>
      </c>
    </row>
    <row r="705">
      <c r="J705" s="252" t="s">
        <v>161</v>
      </c>
    </row>
    <row r="706">
      <c r="J706" s="252" t="s">
        <v>161</v>
      </c>
    </row>
    <row r="707">
      <c r="J707" s="252" t="s">
        <v>161</v>
      </c>
    </row>
    <row r="708">
      <c r="J708" s="252" t="s">
        <v>161</v>
      </c>
    </row>
    <row r="709">
      <c r="J709" s="252" t="s">
        <v>161</v>
      </c>
    </row>
    <row r="710">
      <c r="J710" s="252" t="s">
        <v>161</v>
      </c>
    </row>
    <row r="711">
      <c r="J711" s="252" t="s">
        <v>161</v>
      </c>
    </row>
    <row r="712">
      <c r="J712" s="252" t="s">
        <v>161</v>
      </c>
    </row>
    <row r="713">
      <c r="J713" s="252" t="s">
        <v>161</v>
      </c>
    </row>
    <row r="714">
      <c r="J714" s="252" t="s">
        <v>161</v>
      </c>
    </row>
    <row r="715">
      <c r="J715" s="252" t="s">
        <v>161</v>
      </c>
    </row>
    <row r="716">
      <c r="J716" s="252" t="s">
        <v>161</v>
      </c>
    </row>
    <row r="717">
      <c r="J717" s="252" t="s">
        <v>161</v>
      </c>
    </row>
    <row r="718">
      <c r="J718" s="252" t="s">
        <v>161</v>
      </c>
    </row>
    <row r="719">
      <c r="J719" s="252" t="s">
        <v>161</v>
      </c>
    </row>
    <row r="720">
      <c r="J720" s="252" t="s">
        <v>161</v>
      </c>
    </row>
    <row r="721">
      <c r="J721" s="252" t="s">
        <v>161</v>
      </c>
    </row>
    <row r="722">
      <c r="J722" s="252" t="s">
        <v>161</v>
      </c>
    </row>
    <row r="723">
      <c r="J723" s="252" t="s">
        <v>161</v>
      </c>
    </row>
    <row r="724">
      <c r="J724" s="252" t="s">
        <v>161</v>
      </c>
    </row>
    <row r="725">
      <c r="J725" s="252" t="s">
        <v>161</v>
      </c>
    </row>
    <row r="726">
      <c r="J726" s="252" t="s">
        <v>161</v>
      </c>
    </row>
    <row r="727">
      <c r="J727" s="252" t="s">
        <v>161</v>
      </c>
    </row>
    <row r="728">
      <c r="J728" s="252" t="s">
        <v>161</v>
      </c>
    </row>
    <row r="729">
      <c r="J729" s="252" t="s">
        <v>161</v>
      </c>
    </row>
    <row r="730">
      <c r="J730" s="252" t="s">
        <v>161</v>
      </c>
    </row>
    <row r="731">
      <c r="J731" s="252" t="s">
        <v>161</v>
      </c>
    </row>
    <row r="732">
      <c r="J732" s="252" t="s">
        <v>161</v>
      </c>
    </row>
    <row r="733">
      <c r="J733" s="252" t="s">
        <v>161</v>
      </c>
    </row>
    <row r="734">
      <c r="J734" s="252" t="s">
        <v>161</v>
      </c>
    </row>
    <row r="735">
      <c r="J735" s="252" t="s">
        <v>161</v>
      </c>
    </row>
    <row r="736">
      <c r="J736" s="252" t="s">
        <v>161</v>
      </c>
    </row>
    <row r="737">
      <c r="J737" s="252" t="s">
        <v>161</v>
      </c>
    </row>
    <row r="738">
      <c r="J738" s="252" t="s">
        <v>161</v>
      </c>
    </row>
    <row r="739">
      <c r="J739" s="252" t="s">
        <v>161</v>
      </c>
    </row>
    <row r="740">
      <c r="J740" s="252" t="s">
        <v>161</v>
      </c>
    </row>
    <row r="741">
      <c r="J741" s="252" t="s">
        <v>161</v>
      </c>
    </row>
    <row r="742">
      <c r="J742" s="252" t="s">
        <v>161</v>
      </c>
    </row>
    <row r="743">
      <c r="J743" s="252" t="s">
        <v>161</v>
      </c>
    </row>
    <row r="744">
      <c r="J744" s="252" t="s">
        <v>161</v>
      </c>
    </row>
    <row r="745">
      <c r="J745" s="252" t="s">
        <v>161</v>
      </c>
    </row>
    <row r="746">
      <c r="J746" s="252" t="s">
        <v>161</v>
      </c>
    </row>
    <row r="747">
      <c r="J747" s="252" t="s">
        <v>161</v>
      </c>
    </row>
    <row r="748">
      <c r="J748" s="252" t="s">
        <v>161</v>
      </c>
    </row>
    <row r="749">
      <c r="J749" s="252" t="s">
        <v>161</v>
      </c>
    </row>
    <row r="750">
      <c r="J750" s="252" t="s">
        <v>161</v>
      </c>
    </row>
    <row r="751">
      <c r="J751" s="252" t="s">
        <v>161</v>
      </c>
    </row>
    <row r="752">
      <c r="J752" s="252" t="s">
        <v>161</v>
      </c>
    </row>
    <row r="753">
      <c r="J753" s="252" t="s">
        <v>161</v>
      </c>
    </row>
    <row r="754">
      <c r="J754" s="252" t="s">
        <v>161</v>
      </c>
    </row>
    <row r="755">
      <c r="J755" s="252" t="s">
        <v>161</v>
      </c>
    </row>
    <row r="756">
      <c r="J756" s="252" t="s">
        <v>161</v>
      </c>
    </row>
    <row r="757">
      <c r="J757" s="252" t="s">
        <v>161</v>
      </c>
    </row>
    <row r="758">
      <c r="J758" s="252" t="s">
        <v>161</v>
      </c>
    </row>
    <row r="759">
      <c r="J759" s="252" t="s">
        <v>161</v>
      </c>
    </row>
    <row r="760">
      <c r="J760" s="252" t="s">
        <v>161</v>
      </c>
    </row>
    <row r="761">
      <c r="J761" s="252" t="s">
        <v>161</v>
      </c>
    </row>
    <row r="762">
      <c r="J762" s="252" t="s">
        <v>161</v>
      </c>
    </row>
    <row r="763">
      <c r="J763" s="252" t="s">
        <v>161</v>
      </c>
    </row>
    <row r="764">
      <c r="J764" s="252" t="s">
        <v>161</v>
      </c>
    </row>
    <row r="765">
      <c r="J765" s="252" t="s">
        <v>161</v>
      </c>
    </row>
    <row r="766">
      <c r="J766" s="252" t="s">
        <v>161</v>
      </c>
    </row>
    <row r="767">
      <c r="J767" s="252" t="s">
        <v>161</v>
      </c>
    </row>
    <row r="768">
      <c r="J768" s="252" t="s">
        <v>161</v>
      </c>
    </row>
    <row r="769">
      <c r="J769" s="252" t="s">
        <v>161</v>
      </c>
    </row>
    <row r="770">
      <c r="J770" s="252" t="s">
        <v>161</v>
      </c>
    </row>
    <row r="771">
      <c r="J771" s="252" t="s">
        <v>161</v>
      </c>
    </row>
    <row r="772">
      <c r="J772" s="252" t="s">
        <v>161</v>
      </c>
    </row>
    <row r="773">
      <c r="J773" s="252" t="s">
        <v>161</v>
      </c>
    </row>
    <row r="774">
      <c r="J774" s="252" t="s">
        <v>161</v>
      </c>
    </row>
    <row r="775">
      <c r="J775" s="252" t="s">
        <v>161</v>
      </c>
    </row>
    <row r="776">
      <c r="J776" s="252" t="s">
        <v>161</v>
      </c>
    </row>
    <row r="777">
      <c r="J777" s="252" t="s">
        <v>161</v>
      </c>
    </row>
    <row r="778">
      <c r="J778" s="252" t="s">
        <v>161</v>
      </c>
    </row>
    <row r="779">
      <c r="J779" s="252" t="s">
        <v>161</v>
      </c>
    </row>
    <row r="780">
      <c r="J780" s="252" t="s">
        <v>161</v>
      </c>
    </row>
    <row r="781">
      <c r="J781" s="252" t="s">
        <v>161</v>
      </c>
    </row>
    <row r="782">
      <c r="J782" s="252" t="s">
        <v>161</v>
      </c>
    </row>
    <row r="783">
      <c r="J783" s="252" t="s">
        <v>161</v>
      </c>
    </row>
    <row r="784">
      <c r="J784" s="252" t="s">
        <v>161</v>
      </c>
    </row>
    <row r="785">
      <c r="J785" s="252" t="s">
        <v>161</v>
      </c>
    </row>
    <row r="786">
      <c r="J786" s="252" t="s">
        <v>161</v>
      </c>
    </row>
    <row r="787">
      <c r="J787" s="252" t="s">
        <v>161</v>
      </c>
    </row>
    <row r="788">
      <c r="J788" s="252" t="s">
        <v>161</v>
      </c>
    </row>
    <row r="789">
      <c r="J789" s="252" t="s">
        <v>161</v>
      </c>
    </row>
    <row r="790">
      <c r="J790" s="252" t="s">
        <v>161</v>
      </c>
    </row>
    <row r="791">
      <c r="J791" s="252" t="s">
        <v>161</v>
      </c>
    </row>
    <row r="792">
      <c r="J792" s="252" t="s">
        <v>161</v>
      </c>
    </row>
    <row r="793">
      <c r="J793" s="252" t="s">
        <v>161</v>
      </c>
    </row>
    <row r="794">
      <c r="J794" s="252" t="s">
        <v>161</v>
      </c>
    </row>
    <row r="795">
      <c r="J795" s="252" t="s">
        <v>161</v>
      </c>
    </row>
    <row r="796">
      <c r="J796" s="252" t="s">
        <v>161</v>
      </c>
    </row>
    <row r="797">
      <c r="J797" s="252" t="s">
        <v>161</v>
      </c>
    </row>
    <row r="798">
      <c r="J798" s="252" t="s">
        <v>161</v>
      </c>
    </row>
    <row r="799">
      <c r="J799" s="252" t="s">
        <v>161</v>
      </c>
    </row>
    <row r="800">
      <c r="J800" s="252" t="s">
        <v>161</v>
      </c>
    </row>
    <row r="801">
      <c r="J801" s="252" t="s">
        <v>161</v>
      </c>
    </row>
    <row r="802">
      <c r="J802" s="252" t="s">
        <v>161</v>
      </c>
    </row>
    <row r="803">
      <c r="J803" s="252" t="s">
        <v>161</v>
      </c>
    </row>
    <row r="804">
      <c r="J804" s="252" t="s">
        <v>161</v>
      </c>
    </row>
    <row r="805">
      <c r="J805" s="252" t="s">
        <v>161</v>
      </c>
    </row>
    <row r="806">
      <c r="J806" s="252" t="s">
        <v>161</v>
      </c>
    </row>
    <row r="807">
      <c r="J807" s="252" t="s">
        <v>161</v>
      </c>
    </row>
    <row r="808">
      <c r="J808" s="252" t="s">
        <v>161</v>
      </c>
    </row>
    <row r="809">
      <c r="J809" s="252" t="s">
        <v>161</v>
      </c>
    </row>
    <row r="810">
      <c r="J810" s="252" t="s">
        <v>161</v>
      </c>
    </row>
    <row r="811">
      <c r="J811" s="252" t="s">
        <v>161</v>
      </c>
    </row>
    <row r="812">
      <c r="J812" s="252" t="s">
        <v>161</v>
      </c>
    </row>
    <row r="813">
      <c r="J813" s="252" t="s">
        <v>161</v>
      </c>
    </row>
    <row r="814">
      <c r="J814" s="252" t="s">
        <v>161</v>
      </c>
    </row>
    <row r="815">
      <c r="J815" s="252" t="s">
        <v>161</v>
      </c>
    </row>
    <row r="816">
      <c r="J816" s="252" t="s">
        <v>161</v>
      </c>
    </row>
    <row r="817">
      <c r="J817" s="252" t="s">
        <v>161</v>
      </c>
    </row>
    <row r="818">
      <c r="J818" s="252" t="s">
        <v>161</v>
      </c>
    </row>
    <row r="819">
      <c r="J819" s="252" t="s">
        <v>161</v>
      </c>
    </row>
    <row r="820">
      <c r="J820" s="252" t="s">
        <v>161</v>
      </c>
    </row>
    <row r="821">
      <c r="J821" s="252" t="s">
        <v>161</v>
      </c>
    </row>
    <row r="822">
      <c r="J822" s="252" t="s">
        <v>161</v>
      </c>
    </row>
    <row r="823">
      <c r="J823" s="252" t="s">
        <v>161</v>
      </c>
    </row>
    <row r="824">
      <c r="J824" s="252" t="s">
        <v>161</v>
      </c>
    </row>
    <row r="825">
      <c r="J825" s="252" t="s">
        <v>161</v>
      </c>
    </row>
    <row r="826">
      <c r="J826" s="252" t="s">
        <v>161</v>
      </c>
    </row>
    <row r="827">
      <c r="J827" s="252" t="s">
        <v>161</v>
      </c>
    </row>
    <row r="828">
      <c r="J828" s="252" t="s">
        <v>161</v>
      </c>
    </row>
    <row r="829">
      <c r="J829" s="252" t="s">
        <v>161</v>
      </c>
    </row>
    <row r="830">
      <c r="J830" s="252" t="s">
        <v>161</v>
      </c>
    </row>
    <row r="831">
      <c r="J831" s="252" t="s">
        <v>161</v>
      </c>
    </row>
    <row r="832">
      <c r="J832" s="252" t="s">
        <v>161</v>
      </c>
    </row>
    <row r="833">
      <c r="J833" s="252" t="s">
        <v>161</v>
      </c>
    </row>
    <row r="834">
      <c r="J834" s="252" t="s">
        <v>161</v>
      </c>
    </row>
    <row r="835">
      <c r="J835" s="252" t="s">
        <v>161</v>
      </c>
    </row>
    <row r="836">
      <c r="J836" s="252" t="s">
        <v>161</v>
      </c>
    </row>
    <row r="837">
      <c r="J837" s="252" t="s">
        <v>161</v>
      </c>
    </row>
    <row r="838">
      <c r="J838" s="252" t="s">
        <v>161</v>
      </c>
    </row>
    <row r="839">
      <c r="J839" s="252" t="s">
        <v>161</v>
      </c>
    </row>
    <row r="840">
      <c r="J840" s="252" t="s">
        <v>161</v>
      </c>
    </row>
    <row r="841">
      <c r="J841" s="252" t="s">
        <v>161</v>
      </c>
    </row>
    <row r="842">
      <c r="J842" s="252" t="s">
        <v>161</v>
      </c>
    </row>
    <row r="843">
      <c r="J843" s="252" t="s">
        <v>161</v>
      </c>
    </row>
    <row r="844">
      <c r="J844" s="252" t="s">
        <v>161</v>
      </c>
    </row>
    <row r="845">
      <c r="J845" s="252" t="s">
        <v>161</v>
      </c>
    </row>
    <row r="846">
      <c r="J846" s="252" t="s">
        <v>161</v>
      </c>
    </row>
    <row r="847">
      <c r="J847" s="252" t="s">
        <v>161</v>
      </c>
    </row>
    <row r="848">
      <c r="J848" s="252" t="s">
        <v>161</v>
      </c>
    </row>
    <row r="849">
      <c r="J849" s="252" t="s">
        <v>161</v>
      </c>
    </row>
    <row r="850">
      <c r="J850" s="252" t="s">
        <v>161</v>
      </c>
    </row>
    <row r="851">
      <c r="J851" s="252" t="s">
        <v>161</v>
      </c>
    </row>
    <row r="852">
      <c r="J852" s="252" t="s">
        <v>161</v>
      </c>
    </row>
    <row r="853">
      <c r="J853" s="252" t="s">
        <v>161</v>
      </c>
    </row>
    <row r="854">
      <c r="J854" s="252" t="s">
        <v>161</v>
      </c>
    </row>
    <row r="855">
      <c r="J855" s="252" t="s">
        <v>161</v>
      </c>
    </row>
    <row r="856">
      <c r="J856" s="252" t="s">
        <v>161</v>
      </c>
    </row>
    <row r="857">
      <c r="J857" s="252" t="s">
        <v>161</v>
      </c>
    </row>
    <row r="858">
      <c r="J858" s="252" t="s">
        <v>161</v>
      </c>
    </row>
    <row r="859">
      <c r="J859" s="252" t="s">
        <v>161</v>
      </c>
    </row>
    <row r="860">
      <c r="J860" s="252" t="s">
        <v>161</v>
      </c>
    </row>
    <row r="861">
      <c r="J861" s="252" t="s">
        <v>161</v>
      </c>
    </row>
    <row r="862">
      <c r="J862" s="252" t="s">
        <v>161</v>
      </c>
    </row>
    <row r="863">
      <c r="J863" s="252" t="s">
        <v>161</v>
      </c>
    </row>
    <row r="864">
      <c r="J864" s="252" t="s">
        <v>161</v>
      </c>
    </row>
    <row r="865">
      <c r="J865" s="252" t="s">
        <v>161</v>
      </c>
    </row>
    <row r="866">
      <c r="J866" s="252" t="s">
        <v>161</v>
      </c>
    </row>
    <row r="867">
      <c r="J867" s="252" t="s">
        <v>161</v>
      </c>
    </row>
    <row r="868">
      <c r="J868" s="252" t="s">
        <v>161</v>
      </c>
    </row>
    <row r="869">
      <c r="J869" s="252" t="s">
        <v>161</v>
      </c>
    </row>
    <row r="870">
      <c r="J870" s="252" t="s">
        <v>161</v>
      </c>
    </row>
    <row r="871">
      <c r="J871" s="252" t="s">
        <v>161</v>
      </c>
    </row>
    <row r="872">
      <c r="J872" s="252" t="s">
        <v>161</v>
      </c>
    </row>
    <row r="873">
      <c r="J873" s="252" t="s">
        <v>161</v>
      </c>
    </row>
    <row r="874">
      <c r="J874" s="252" t="s">
        <v>161</v>
      </c>
    </row>
    <row r="875">
      <c r="J875" s="252" t="s">
        <v>161</v>
      </c>
    </row>
    <row r="876">
      <c r="J876" s="252" t="s">
        <v>161</v>
      </c>
    </row>
    <row r="877">
      <c r="J877" s="252" t="s">
        <v>161</v>
      </c>
    </row>
    <row r="878">
      <c r="J878" s="252" t="s">
        <v>161</v>
      </c>
    </row>
    <row r="879">
      <c r="J879" s="252" t="s">
        <v>161</v>
      </c>
    </row>
    <row r="880">
      <c r="J880" s="252" t="s">
        <v>161</v>
      </c>
    </row>
    <row r="881">
      <c r="J881" s="252" t="s">
        <v>161</v>
      </c>
    </row>
    <row r="882">
      <c r="J882" s="252" t="s">
        <v>161</v>
      </c>
    </row>
    <row r="883">
      <c r="J883" s="252" t="s">
        <v>161</v>
      </c>
    </row>
    <row r="884">
      <c r="J884" s="252" t="s">
        <v>161</v>
      </c>
    </row>
    <row r="885">
      <c r="J885" s="252" t="s">
        <v>161</v>
      </c>
    </row>
    <row r="886">
      <c r="J886" s="252" t="s">
        <v>161</v>
      </c>
    </row>
    <row r="887">
      <c r="J887" s="252" t="s">
        <v>161</v>
      </c>
    </row>
    <row r="888">
      <c r="J888" s="252" t="s">
        <v>161</v>
      </c>
    </row>
    <row r="889">
      <c r="J889" s="252" t="s">
        <v>161</v>
      </c>
    </row>
    <row r="890">
      <c r="J890" s="252" t="s">
        <v>161</v>
      </c>
    </row>
    <row r="891">
      <c r="J891" s="252" t="s">
        <v>161</v>
      </c>
    </row>
    <row r="892">
      <c r="J892" s="252" t="s">
        <v>161</v>
      </c>
    </row>
    <row r="893">
      <c r="J893" s="252" t="s">
        <v>161</v>
      </c>
    </row>
    <row r="894">
      <c r="J894" s="252" t="s">
        <v>161</v>
      </c>
    </row>
    <row r="895">
      <c r="J895" s="252" t="s">
        <v>161</v>
      </c>
    </row>
    <row r="896">
      <c r="J896" s="252" t="s">
        <v>161</v>
      </c>
    </row>
    <row r="897">
      <c r="J897" s="252" t="s">
        <v>161</v>
      </c>
    </row>
    <row r="898">
      <c r="J898" s="252" t="s">
        <v>161</v>
      </c>
    </row>
    <row r="899">
      <c r="J899" s="252" t="s">
        <v>161</v>
      </c>
    </row>
    <row r="900">
      <c r="J900" s="252" t="s">
        <v>161</v>
      </c>
    </row>
    <row r="901">
      <c r="J901" s="252" t="s">
        <v>161</v>
      </c>
    </row>
    <row r="902">
      <c r="J902" s="252" t="s">
        <v>161</v>
      </c>
    </row>
    <row r="903">
      <c r="J903" s="252" t="s">
        <v>161</v>
      </c>
    </row>
    <row r="904">
      <c r="J904" s="252" t="s">
        <v>161</v>
      </c>
    </row>
    <row r="905">
      <c r="J905" s="252" t="s">
        <v>161</v>
      </c>
    </row>
    <row r="906">
      <c r="J906" s="252" t="s">
        <v>161</v>
      </c>
    </row>
    <row r="907">
      <c r="J907" s="252" t="s">
        <v>161</v>
      </c>
    </row>
    <row r="908">
      <c r="J908" s="252" t="s">
        <v>161</v>
      </c>
    </row>
    <row r="909">
      <c r="J909" s="252" t="s">
        <v>161</v>
      </c>
    </row>
    <row r="910">
      <c r="J910" s="252" t="s">
        <v>161</v>
      </c>
    </row>
    <row r="911">
      <c r="J911" s="252" t="s">
        <v>161</v>
      </c>
    </row>
    <row r="912">
      <c r="J912" s="252" t="s">
        <v>161</v>
      </c>
    </row>
    <row r="913">
      <c r="J913" s="252" t="s">
        <v>161</v>
      </c>
    </row>
    <row r="914">
      <c r="J914" s="252" t="s">
        <v>161</v>
      </c>
    </row>
    <row r="915">
      <c r="J915" s="252" t="s">
        <v>161</v>
      </c>
    </row>
    <row r="916">
      <c r="J916" s="252" t="s">
        <v>161</v>
      </c>
    </row>
    <row r="917">
      <c r="J917" s="252" t="s">
        <v>161</v>
      </c>
    </row>
    <row r="918">
      <c r="J918" s="252" t="s">
        <v>161</v>
      </c>
    </row>
    <row r="919">
      <c r="J919" s="252" t="s">
        <v>161</v>
      </c>
    </row>
    <row r="920">
      <c r="J920" s="252" t="s">
        <v>161</v>
      </c>
    </row>
    <row r="921">
      <c r="J921" s="252" t="s">
        <v>161</v>
      </c>
    </row>
    <row r="922">
      <c r="J922" s="252" t="s">
        <v>161</v>
      </c>
    </row>
    <row r="923">
      <c r="J923" s="252" t="s">
        <v>161</v>
      </c>
    </row>
    <row r="924">
      <c r="J924" s="252" t="s">
        <v>161</v>
      </c>
    </row>
    <row r="925">
      <c r="J925" s="252" t="s">
        <v>161</v>
      </c>
    </row>
    <row r="926">
      <c r="J926" s="252" t="s">
        <v>161</v>
      </c>
    </row>
    <row r="927">
      <c r="J927" s="252" t="s">
        <v>161</v>
      </c>
    </row>
    <row r="928">
      <c r="J928" s="252" t="s">
        <v>161</v>
      </c>
    </row>
    <row r="929">
      <c r="J929" s="252" t="s">
        <v>161</v>
      </c>
    </row>
    <row r="930">
      <c r="J930" s="252" t="s">
        <v>161</v>
      </c>
    </row>
    <row r="931">
      <c r="J931" s="252" t="s">
        <v>161</v>
      </c>
    </row>
    <row r="932">
      <c r="J932" s="252" t="s">
        <v>161</v>
      </c>
    </row>
    <row r="933">
      <c r="J933" s="252" t="s">
        <v>161</v>
      </c>
    </row>
    <row r="934">
      <c r="J934" s="252" t="s">
        <v>161</v>
      </c>
    </row>
    <row r="935">
      <c r="J935" s="252" t="s">
        <v>161</v>
      </c>
    </row>
    <row r="936">
      <c r="J936" s="252" t="s">
        <v>161</v>
      </c>
    </row>
    <row r="937">
      <c r="J937" s="252" t="s">
        <v>161</v>
      </c>
    </row>
    <row r="938">
      <c r="J938" s="252" t="s">
        <v>161</v>
      </c>
    </row>
    <row r="939">
      <c r="J939" s="252" t="s">
        <v>161</v>
      </c>
    </row>
    <row r="940">
      <c r="J940" s="252" t="s">
        <v>161</v>
      </c>
    </row>
    <row r="941">
      <c r="J941" s="252" t="s">
        <v>161</v>
      </c>
    </row>
    <row r="942">
      <c r="J942" s="252" t="s">
        <v>161</v>
      </c>
    </row>
    <row r="943">
      <c r="J943" s="252" t="s">
        <v>161</v>
      </c>
    </row>
    <row r="944">
      <c r="J944" s="252" t="s">
        <v>161</v>
      </c>
    </row>
    <row r="945">
      <c r="J945" s="252" t="s">
        <v>161</v>
      </c>
    </row>
    <row r="946">
      <c r="J946" s="252" t="s">
        <v>161</v>
      </c>
    </row>
    <row r="947">
      <c r="J947" s="252" t="s">
        <v>161</v>
      </c>
    </row>
    <row r="948">
      <c r="J948" s="252" t="s">
        <v>161</v>
      </c>
    </row>
    <row r="949">
      <c r="J949" s="252" t="s">
        <v>161</v>
      </c>
    </row>
    <row r="950">
      <c r="J950" s="252" t="s">
        <v>161</v>
      </c>
    </row>
    <row r="951">
      <c r="J951" s="252" t="s">
        <v>161</v>
      </c>
    </row>
    <row r="952">
      <c r="J952" s="252" t="s">
        <v>161</v>
      </c>
    </row>
    <row r="953">
      <c r="J953" s="252" t="s">
        <v>161</v>
      </c>
    </row>
    <row r="954">
      <c r="J954" s="252" t="s">
        <v>161</v>
      </c>
    </row>
    <row r="955">
      <c r="J955" s="252" t="s">
        <v>161</v>
      </c>
    </row>
    <row r="956">
      <c r="J956" s="252" t="s">
        <v>161</v>
      </c>
    </row>
    <row r="957">
      <c r="J957" s="252" t="s">
        <v>161</v>
      </c>
    </row>
    <row r="958">
      <c r="J958" s="252" t="s">
        <v>161</v>
      </c>
    </row>
    <row r="959">
      <c r="J959" s="252" t="s">
        <v>161</v>
      </c>
    </row>
    <row r="960">
      <c r="J960" s="252" t="s">
        <v>161</v>
      </c>
    </row>
    <row r="961">
      <c r="J961" s="252" t="s">
        <v>161</v>
      </c>
    </row>
    <row r="962">
      <c r="J962" s="252" t="s">
        <v>161</v>
      </c>
    </row>
    <row r="963">
      <c r="J963" s="252" t="s">
        <v>161</v>
      </c>
    </row>
    <row r="964">
      <c r="J964" s="252" t="s">
        <v>161</v>
      </c>
    </row>
    <row r="965">
      <c r="J965" s="252" t="s">
        <v>161</v>
      </c>
    </row>
    <row r="966">
      <c r="J966" s="252" t="s">
        <v>161</v>
      </c>
    </row>
    <row r="967">
      <c r="J967" s="252" t="s">
        <v>161</v>
      </c>
    </row>
    <row r="968">
      <c r="J968" s="252" t="s">
        <v>161</v>
      </c>
    </row>
    <row r="969">
      <c r="J969" s="252" t="s">
        <v>161</v>
      </c>
    </row>
    <row r="970">
      <c r="J970" s="252" t="s">
        <v>161</v>
      </c>
    </row>
    <row r="971">
      <c r="J971" s="252" t="s">
        <v>161</v>
      </c>
    </row>
    <row r="972">
      <c r="J972" s="252" t="s">
        <v>161</v>
      </c>
    </row>
    <row r="973">
      <c r="J973" s="252" t="s">
        <v>161</v>
      </c>
    </row>
    <row r="974">
      <c r="J974" s="252" t="s">
        <v>161</v>
      </c>
    </row>
    <row r="975">
      <c r="J975" s="252" t="s">
        <v>161</v>
      </c>
    </row>
    <row r="976">
      <c r="J976" s="252" t="s">
        <v>161</v>
      </c>
    </row>
    <row r="977">
      <c r="J977" s="252" t="s">
        <v>161</v>
      </c>
    </row>
    <row r="978">
      <c r="J978" s="252" t="s">
        <v>161</v>
      </c>
    </row>
    <row r="979">
      <c r="J979" s="252" t="s">
        <v>161</v>
      </c>
    </row>
    <row r="980">
      <c r="J980" s="252" t="s">
        <v>161</v>
      </c>
    </row>
    <row r="981">
      <c r="J981" s="252" t="s">
        <v>161</v>
      </c>
    </row>
    <row r="982">
      <c r="J982" s="252" t="s">
        <v>161</v>
      </c>
    </row>
    <row r="983">
      <c r="J983" s="252" t="s">
        <v>161</v>
      </c>
    </row>
    <row r="984">
      <c r="J984" s="252" t="s">
        <v>161</v>
      </c>
    </row>
    <row r="985">
      <c r="J985" s="252" t="s">
        <v>161</v>
      </c>
    </row>
    <row r="986">
      <c r="J986" s="252" t="s">
        <v>161</v>
      </c>
    </row>
    <row r="987">
      <c r="J987" s="252" t="s">
        <v>161</v>
      </c>
    </row>
    <row r="988">
      <c r="J988" s="252" t="s">
        <v>161</v>
      </c>
    </row>
    <row r="989">
      <c r="J989" s="252" t="s">
        <v>161</v>
      </c>
    </row>
    <row r="990">
      <c r="J990" s="252" t="s">
        <v>161</v>
      </c>
    </row>
    <row r="991">
      <c r="J991" s="252" t="s">
        <v>161</v>
      </c>
    </row>
    <row r="992">
      <c r="J992" s="252" t="s">
        <v>161</v>
      </c>
    </row>
    <row r="993">
      <c r="J993" s="252" t="s">
        <v>161</v>
      </c>
    </row>
    <row r="994">
      <c r="J994" s="252" t="s">
        <v>161</v>
      </c>
    </row>
    <row r="995">
      <c r="J995" s="252" t="s">
        <v>161</v>
      </c>
    </row>
    <row r="996">
      <c r="J996" s="252" t="s">
        <v>161</v>
      </c>
    </row>
    <row r="997">
      <c r="J997" s="252" t="s">
        <v>161</v>
      </c>
    </row>
    <row r="998">
      <c r="J998" s="252" t="s">
        <v>161</v>
      </c>
    </row>
    <row r="999">
      <c r="J999" s="252" t="s">
        <v>161</v>
      </c>
    </row>
    <row r="1000">
      <c r="J1000" s="252" t="s">
        <v>161</v>
      </c>
    </row>
  </sheetData>
  <autoFilter ref="$A$2:$L$13"/>
  <mergeCells count="1">
    <mergeCell ref="H1:L1"/>
  </mergeCells>
  <conditionalFormatting sqref="L3:L14">
    <cfRule type="cellIs" dxfId="0" priority="1" operator="less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  <col customWidth="1" min="4" max="4" width="15.0"/>
    <col customWidth="1" min="6" max="6" width="25.38"/>
  </cols>
  <sheetData>
    <row r="1">
      <c r="A1" s="868">
        <v>17.0</v>
      </c>
      <c r="B1" s="869"/>
      <c r="C1" s="869"/>
      <c r="D1" s="869"/>
      <c r="E1" s="869"/>
      <c r="F1" s="870"/>
      <c r="G1" s="871"/>
      <c r="H1" s="871"/>
      <c r="I1" s="871"/>
      <c r="J1" s="872"/>
    </row>
    <row r="2">
      <c r="A2" s="873">
        <v>7.0</v>
      </c>
      <c r="B2" s="558" t="s">
        <v>169</v>
      </c>
      <c r="C2" s="558" t="s">
        <v>6</v>
      </c>
      <c r="D2" s="558" t="s">
        <v>171</v>
      </c>
      <c r="E2" s="558" t="s">
        <v>170</v>
      </c>
      <c r="F2" s="874" t="s">
        <v>7</v>
      </c>
      <c r="G2" s="875" t="s">
        <v>10</v>
      </c>
      <c r="H2" s="875" t="s">
        <v>11</v>
      </c>
      <c r="I2" s="875" t="s">
        <v>173</v>
      </c>
      <c r="J2" s="276"/>
    </row>
    <row r="3">
      <c r="A3" s="550" t="s">
        <v>665</v>
      </c>
      <c r="B3" s="550" t="s">
        <v>666</v>
      </c>
      <c r="C3" s="550" t="s">
        <v>667</v>
      </c>
      <c r="D3" s="550" t="s">
        <v>668</v>
      </c>
      <c r="E3" s="550" t="s">
        <v>669</v>
      </c>
      <c r="F3" s="695" t="s">
        <v>499</v>
      </c>
      <c r="G3" s="876">
        <v>46295.0</v>
      </c>
      <c r="H3" s="876">
        <v>46295.0</v>
      </c>
      <c r="I3" s="876">
        <v>46140.0</v>
      </c>
      <c r="J3" s="550" t="str">
        <f t="shared" ref="J3:J12" si="1">TEXT(I3,"MMMM")</f>
        <v>abril</v>
      </c>
    </row>
    <row r="4">
      <c r="A4" s="550" t="s">
        <v>670</v>
      </c>
      <c r="B4" s="550" t="s">
        <v>666</v>
      </c>
      <c r="C4" s="550" t="s">
        <v>667</v>
      </c>
      <c r="D4" s="550" t="s">
        <v>668</v>
      </c>
      <c r="E4" s="548" t="s">
        <v>671</v>
      </c>
      <c r="F4" s="695" t="s">
        <v>499</v>
      </c>
      <c r="G4" s="876">
        <v>46295.0</v>
      </c>
      <c r="H4" s="876">
        <v>46295.0</v>
      </c>
      <c r="I4" s="876">
        <v>46157.0</v>
      </c>
      <c r="J4" s="550" t="str">
        <f t="shared" si="1"/>
        <v>mayo</v>
      </c>
    </row>
    <row r="5">
      <c r="A5" s="474" t="s">
        <v>672</v>
      </c>
      <c r="B5" s="450" t="s">
        <v>666</v>
      </c>
      <c r="C5" s="450" t="s">
        <v>673</v>
      </c>
      <c r="D5" s="450" t="s">
        <v>674</v>
      </c>
      <c r="E5" s="550" t="s">
        <v>675</v>
      </c>
      <c r="F5" s="877" t="s">
        <v>676</v>
      </c>
      <c r="G5" s="876">
        <v>46295.0</v>
      </c>
      <c r="H5" s="876">
        <v>46295.0</v>
      </c>
      <c r="I5" s="878">
        <v>46271.0</v>
      </c>
      <c r="J5" s="550" t="str">
        <f t="shared" si="1"/>
        <v>septiembre</v>
      </c>
    </row>
    <row r="6">
      <c r="A6" s="474" t="s">
        <v>677</v>
      </c>
      <c r="B6" s="450" t="s">
        <v>678</v>
      </c>
      <c r="C6" s="450" t="s">
        <v>679</v>
      </c>
      <c r="D6" s="450" t="s">
        <v>680</v>
      </c>
      <c r="E6" s="550" t="s">
        <v>681</v>
      </c>
      <c r="F6" s="877" t="s">
        <v>682</v>
      </c>
      <c r="G6" s="876">
        <v>46295.0</v>
      </c>
      <c r="H6" s="876">
        <v>46295.0</v>
      </c>
      <c r="I6" s="878">
        <v>46089.0</v>
      </c>
      <c r="J6" s="550" t="str">
        <f t="shared" si="1"/>
        <v>marzo</v>
      </c>
    </row>
    <row r="7">
      <c r="A7" s="474" t="s">
        <v>683</v>
      </c>
      <c r="B7" s="450" t="s">
        <v>678</v>
      </c>
      <c r="C7" s="450" t="s">
        <v>684</v>
      </c>
      <c r="D7" s="450" t="s">
        <v>685</v>
      </c>
      <c r="E7" s="548" t="s">
        <v>686</v>
      </c>
      <c r="F7" s="877" t="s">
        <v>682</v>
      </c>
      <c r="G7" s="876">
        <v>46295.0</v>
      </c>
      <c r="H7" s="876">
        <v>46295.0</v>
      </c>
      <c r="I7" s="878">
        <v>46058.0</v>
      </c>
      <c r="J7" s="550" t="str">
        <f t="shared" si="1"/>
        <v>febrero</v>
      </c>
    </row>
    <row r="8">
      <c r="A8" s="550" t="s">
        <v>687</v>
      </c>
      <c r="B8" s="550" t="s">
        <v>678</v>
      </c>
      <c r="C8" s="550" t="s">
        <v>688</v>
      </c>
      <c r="D8" s="550" t="s">
        <v>689</v>
      </c>
      <c r="E8" s="550" t="s">
        <v>690</v>
      </c>
      <c r="F8" s="695" t="s">
        <v>691</v>
      </c>
      <c r="G8" s="876">
        <v>46295.0</v>
      </c>
      <c r="H8" s="876">
        <v>46295.0</v>
      </c>
      <c r="I8" s="876">
        <v>46222.0</v>
      </c>
      <c r="J8" s="550" t="str">
        <f t="shared" si="1"/>
        <v>julio</v>
      </c>
    </row>
    <row r="9">
      <c r="A9" s="550" t="s">
        <v>692</v>
      </c>
      <c r="B9" s="879" t="s">
        <v>678</v>
      </c>
      <c r="C9" s="879" t="s">
        <v>693</v>
      </c>
      <c r="D9" s="879" t="s">
        <v>694</v>
      </c>
      <c r="E9" s="879" t="s">
        <v>695</v>
      </c>
      <c r="F9" s="695" t="s">
        <v>113</v>
      </c>
      <c r="G9" s="876">
        <v>46295.0</v>
      </c>
      <c r="H9" s="876">
        <v>46295.0</v>
      </c>
      <c r="I9" s="876">
        <v>46179.0</v>
      </c>
      <c r="J9" s="550" t="str">
        <f t="shared" si="1"/>
        <v>junio</v>
      </c>
    </row>
    <row r="10">
      <c r="A10" s="550" t="s">
        <v>696</v>
      </c>
      <c r="B10" s="550" t="s">
        <v>697</v>
      </c>
      <c r="C10" s="550" t="s">
        <v>698</v>
      </c>
      <c r="D10" s="550" t="s">
        <v>699</v>
      </c>
      <c r="E10" s="548" t="s">
        <v>700</v>
      </c>
      <c r="F10" s="695" t="s">
        <v>499</v>
      </c>
      <c r="G10" s="876">
        <v>46295.0</v>
      </c>
      <c r="H10" s="876">
        <v>46295.0</v>
      </c>
      <c r="I10" s="876">
        <v>46274.0</v>
      </c>
      <c r="J10" s="550" t="str">
        <f t="shared" si="1"/>
        <v>septiembre</v>
      </c>
    </row>
    <row r="11">
      <c r="A11" s="45" t="s">
        <v>701</v>
      </c>
      <c r="B11" s="45" t="s">
        <v>702</v>
      </c>
      <c r="C11" s="826"/>
      <c r="D11" s="45" t="s">
        <v>703</v>
      </c>
      <c r="E11" s="45" t="s">
        <v>704</v>
      </c>
      <c r="F11" s="695" t="s">
        <v>499</v>
      </c>
      <c r="G11" s="876">
        <v>46112.0</v>
      </c>
      <c r="H11" s="876">
        <v>46112.0</v>
      </c>
      <c r="I11" s="876">
        <v>46142.0</v>
      </c>
      <c r="J11" s="550" t="str">
        <f t="shared" si="1"/>
        <v>abril</v>
      </c>
    </row>
    <row r="12">
      <c r="A12" s="45" t="s">
        <v>705</v>
      </c>
      <c r="B12" s="45" t="s">
        <v>702</v>
      </c>
      <c r="C12" s="826"/>
      <c r="D12" s="826"/>
      <c r="E12" s="45" t="s">
        <v>706</v>
      </c>
      <c r="F12" s="695" t="s">
        <v>499</v>
      </c>
      <c r="G12" s="876">
        <v>46112.0</v>
      </c>
      <c r="H12" s="876">
        <v>46112.0</v>
      </c>
      <c r="I12" s="876">
        <v>46326.0</v>
      </c>
      <c r="J12" s="550" t="str">
        <f t="shared" si="1"/>
        <v>octubre</v>
      </c>
    </row>
    <row r="19">
      <c r="D19" s="25" t="s">
        <v>347</v>
      </c>
    </row>
  </sheetData>
  <autoFilter ref="$A$2:$BA$11"/>
  <conditionalFormatting sqref="I3">
    <cfRule type="cellIs" dxfId="2" priority="1" operator="between">
      <formula>TODAY()</formula>
      <formula>TODAY()+30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6" t="str">
        <f>IFERROR(__xludf.DUMMYFUNCTION("QUERY(
{
  ""COD_MAQUINA"" , ""ULTIMO_ODOMETRO"" , ""ULTIMO_KM"" , ""KmHr""; 
  ARRAYFORMULA(
    IF(LEN(MAQUINAS_IMPORT!B2:B1000)=0, 
      """", 
      { 
        TRIM(REGEXEXTRACT(MAQUINAS_IMPORT!B2:B1000, ""^([^\s]+)"")) , 
        MAQUINAS_IMPORT!AH2"&amp;":AH1000 , 
        MAQUINAS_IMPORT!AI2:AI1000 , 
        MAQUINAS_IMPORT!AO2:AO1000 
      }
    )
  )
}, 
""SELECT * WHERE Col1 IS NOT NULL"", 
1
)"),"COD_MAQUINA")</f>
        <v>COD_MAQUINA</v>
      </c>
      <c r="B1" s="252" t="str">
        <f>IFERROR(__xludf.DUMMYFUNCTION("""COMPUTED_VALUE"""),"ULTIMO_ODOMETRO")</f>
        <v>ULTIMO_ODOMETRO</v>
      </c>
      <c r="C1" s="252" t="str">
        <f>IFERROR(__xludf.DUMMYFUNCTION("""COMPUTED_VALUE"""),"ULTIMO_KM")</f>
        <v>ULTIMO_KM</v>
      </c>
      <c r="D1" s="252" t="str">
        <f>IFERROR(__xludf.DUMMYFUNCTION("""COMPUTED_VALUE"""),"KmHr")</f>
        <v>KmHr</v>
      </c>
    </row>
    <row r="2">
      <c r="A2" s="252" t="str">
        <f>IFERROR(__xludf.DUMMYFUNCTION("""COMPUTED_VALUE"""),"C-52")</f>
        <v>C-52</v>
      </c>
      <c r="B2" s="252">
        <f>IFERROR(__xludf.DUMMYFUNCTION("""COMPUTED_VALUE"""),1.0)</f>
        <v>1</v>
      </c>
      <c r="C2" s="252">
        <f>IFERROR(__xludf.DUMMYFUNCTION("""COMPUTED_VALUE"""),68374.0)</f>
        <v>68374</v>
      </c>
      <c r="D2" s="252" t="str">
        <f>IFERROR(__xludf.DUMMYFUNCTION("""COMPUTED_VALUE"""),"Km")</f>
        <v>Km</v>
      </c>
    </row>
    <row r="3">
      <c r="A3" s="252" t="str">
        <f>IFERROR(__xludf.DUMMYFUNCTION("""COMPUTED_VALUE"""),"EXT-16")</f>
        <v>EXT-16</v>
      </c>
      <c r="B3" s="252">
        <f>IFERROR(__xludf.DUMMYFUNCTION("""COMPUTED_VALUE"""),4993.0)</f>
        <v>4993</v>
      </c>
      <c r="C3" s="252"/>
      <c r="D3" s="252" t="str">
        <f>IFERROR(__xludf.DUMMYFUNCTION("""COMPUTED_VALUE"""),"Hr")</f>
        <v>Hr</v>
      </c>
    </row>
    <row r="4">
      <c r="A4" s="252" t="str">
        <f>IFERROR(__xludf.DUMMYFUNCTION("""COMPUTED_VALUE"""),"MB-01")</f>
        <v>MB-01</v>
      </c>
      <c r="B4" s="252"/>
      <c r="C4" s="252">
        <f>IFERROR(__xludf.DUMMYFUNCTION("""COMPUTED_VALUE"""),344355.0)</f>
        <v>344355</v>
      </c>
      <c r="D4" s="252" t="str">
        <f>IFERROR(__xludf.DUMMYFUNCTION("""COMPUTED_VALUE"""),"Km")</f>
        <v>Km</v>
      </c>
    </row>
    <row r="5">
      <c r="A5" s="252" t="str">
        <f>IFERROR(__xludf.DUMMYFUNCTION("""COMPUTED_VALUE"""),"CT-25")</f>
        <v>CT-25</v>
      </c>
      <c r="B5" s="252">
        <f>IFERROR(__xludf.DUMMYFUNCTION("""COMPUTED_VALUE"""),1130.0)</f>
        <v>1130</v>
      </c>
      <c r="C5" s="252">
        <f>IFERROR(__xludf.DUMMYFUNCTION("""COMPUTED_VALUE"""),283438.0)</f>
        <v>283438</v>
      </c>
      <c r="D5" s="252" t="str">
        <f>IFERROR(__xludf.DUMMYFUNCTION("""COMPUTED_VALUE"""),"Hr")</f>
        <v>Hr</v>
      </c>
    </row>
    <row r="6">
      <c r="A6" s="252" t="str">
        <f>IFERROR(__xludf.DUMMYFUNCTION("""COMPUTED_VALUE"""),"BA-01")</f>
        <v>BA-01</v>
      </c>
      <c r="B6" s="252">
        <f>IFERROR(__xludf.DUMMYFUNCTION("""COMPUTED_VALUE"""),1408.0)</f>
        <v>1408</v>
      </c>
      <c r="C6" s="252">
        <f>IFERROR(__xludf.DUMMYFUNCTION("""COMPUTED_VALUE"""),1.0)</f>
        <v>1</v>
      </c>
      <c r="D6" s="252" t="str">
        <f>IFERROR(__xludf.DUMMYFUNCTION("""COMPUTED_VALUE"""),"Hr")</f>
        <v>Hr</v>
      </c>
    </row>
    <row r="7">
      <c r="A7" s="252" t="str">
        <f>IFERROR(__xludf.DUMMYFUNCTION("""COMPUTED_VALUE"""),"C-51")</f>
        <v>C-51</v>
      </c>
      <c r="B7" s="252">
        <f>IFERROR(__xludf.DUMMYFUNCTION("""COMPUTED_VALUE"""),1.0)</f>
        <v>1</v>
      </c>
      <c r="C7" s="252">
        <f>IFERROR(__xludf.DUMMYFUNCTION("""COMPUTED_VALUE"""),85130.0)</f>
        <v>85130</v>
      </c>
      <c r="D7" s="252" t="str">
        <f>IFERROR(__xludf.DUMMYFUNCTION("""COMPUTED_VALUE"""),"Km")</f>
        <v>Km</v>
      </c>
    </row>
    <row r="8">
      <c r="A8" s="252" t="str">
        <f>IFERROR(__xludf.DUMMYFUNCTION("""COMPUTED_VALUE"""),"PF-01")</f>
        <v>PF-01</v>
      </c>
      <c r="B8" s="252">
        <f>IFERROR(__xludf.DUMMYFUNCTION("""COMPUTED_VALUE"""),1.0)</f>
        <v>1</v>
      </c>
      <c r="C8" s="252">
        <f>IFERROR(__xludf.DUMMYFUNCTION("""COMPUTED_VALUE"""),1.0)</f>
        <v>1</v>
      </c>
      <c r="D8" s="252"/>
    </row>
    <row r="9">
      <c r="A9" s="252" t="str">
        <f>IFERROR(__xludf.DUMMYFUNCTION("""COMPUTED_VALUE"""),"CF-08")</f>
        <v>CF-08</v>
      </c>
      <c r="B9" s="252">
        <f>IFERROR(__xludf.DUMMYFUNCTION("""COMPUTED_VALUE"""),23292.0)</f>
        <v>23292</v>
      </c>
      <c r="C9" s="252">
        <f>IFERROR(__xludf.DUMMYFUNCTION("""COMPUTED_VALUE"""),2.0)</f>
        <v>2</v>
      </c>
      <c r="D9" s="252" t="str">
        <f>IFERROR(__xludf.DUMMYFUNCTION("""COMPUTED_VALUE"""),"Hr")</f>
        <v>Hr</v>
      </c>
    </row>
    <row r="10">
      <c r="A10" s="252" t="str">
        <f>IFERROR(__xludf.DUMMYFUNCTION("""COMPUTED_VALUE"""),"MN-04")</f>
        <v>MN-04</v>
      </c>
      <c r="B10" s="252">
        <f>IFERROR(__xludf.DUMMYFUNCTION("""COMPUTED_VALUE"""),12172.0)</f>
        <v>12172</v>
      </c>
      <c r="C10" s="252">
        <f>IFERROR(__xludf.DUMMYFUNCTION("""COMPUTED_VALUE"""),139021.0)</f>
        <v>139021</v>
      </c>
      <c r="D10" s="252" t="str">
        <f>IFERROR(__xludf.DUMMYFUNCTION("""COMPUTED_VALUE"""),"Hr")</f>
        <v>Hr</v>
      </c>
    </row>
    <row r="11">
      <c r="A11" s="252" t="str">
        <f>IFERROR(__xludf.DUMMYFUNCTION("""COMPUTED_VALUE"""),"GV-01")</f>
        <v>GV-01</v>
      </c>
      <c r="B11" s="252">
        <f>IFERROR(__xludf.DUMMYFUNCTION("""COMPUTED_VALUE"""),413.0)</f>
        <v>413</v>
      </c>
      <c r="C11" s="252">
        <f>IFERROR(__xludf.DUMMYFUNCTION("""COMPUTED_VALUE"""),1.0)</f>
        <v>1</v>
      </c>
      <c r="D11" s="252" t="str">
        <f>IFERROR(__xludf.DUMMYFUNCTION("""COMPUTED_VALUE"""),"Hr")</f>
        <v>Hr</v>
      </c>
    </row>
    <row r="12">
      <c r="A12" s="252" t="str">
        <f>IFERROR(__xludf.DUMMYFUNCTION("""COMPUTED_VALUE"""),"CI-02")</f>
        <v>CI-02</v>
      </c>
      <c r="B12" s="252">
        <f>IFERROR(__xludf.DUMMYFUNCTION("""COMPUTED_VALUE"""),1.0)</f>
        <v>1</v>
      </c>
      <c r="C12" s="252">
        <f>IFERROR(__xludf.DUMMYFUNCTION("""COMPUTED_VALUE"""),190254.0)</f>
        <v>190254</v>
      </c>
      <c r="D12" s="252" t="str">
        <f>IFERROR(__xludf.DUMMYFUNCTION("""COMPUTED_VALUE"""),"Km")</f>
        <v>Km</v>
      </c>
    </row>
    <row r="13">
      <c r="A13" s="252" t="str">
        <f>IFERROR(__xludf.DUMMYFUNCTION("""COMPUTED_VALUE"""),"CT-21")</f>
        <v>CT-21</v>
      </c>
      <c r="B13" s="252">
        <f>IFERROR(__xludf.DUMMYFUNCTION("""COMPUTED_VALUE"""),5242.0)</f>
        <v>5242</v>
      </c>
      <c r="C13" s="252">
        <f>IFERROR(__xludf.DUMMYFUNCTION("""COMPUTED_VALUE"""),5180.0)</f>
        <v>5180</v>
      </c>
      <c r="D13" s="252" t="str">
        <f>IFERROR(__xludf.DUMMYFUNCTION("""COMPUTED_VALUE"""),"Hr")</f>
        <v>Hr</v>
      </c>
    </row>
    <row r="14">
      <c r="A14" s="252" t="str">
        <f>IFERROR(__xludf.DUMMYFUNCTION("""COMPUTED_VALUE"""),"EM-01")</f>
        <v>EM-01</v>
      </c>
      <c r="B14" s="252"/>
      <c r="C14" s="252"/>
      <c r="D14" s="252" t="str">
        <f>IFERROR(__xludf.DUMMYFUNCTION("""COMPUTED_VALUE"""),"N/A")</f>
        <v>N/A</v>
      </c>
    </row>
    <row r="15">
      <c r="A15" s="252" t="str">
        <f>IFERROR(__xludf.DUMMYFUNCTION("""COMPUTED_VALUE"""),"TR-01")</f>
        <v>TR-01</v>
      </c>
      <c r="B15" s="252"/>
      <c r="C15" s="252"/>
      <c r="D15" s="252"/>
    </row>
    <row r="16">
      <c r="A16" s="252" t="str">
        <f>IFERROR(__xludf.DUMMYFUNCTION("""COMPUTED_VALUE"""),"GM-04")</f>
        <v>GM-04</v>
      </c>
      <c r="B16" s="252">
        <f>IFERROR(__xludf.DUMMYFUNCTION("""COMPUTED_VALUE"""),2929.0)</f>
        <v>2929</v>
      </c>
      <c r="C16" s="252">
        <f>IFERROR(__xludf.DUMMYFUNCTION("""COMPUTED_VALUE"""),1.0)</f>
        <v>1</v>
      </c>
      <c r="D16" s="252" t="str">
        <f>IFERROR(__xludf.DUMMYFUNCTION("""COMPUTED_VALUE"""),"Hr")</f>
        <v>Hr</v>
      </c>
    </row>
    <row r="17">
      <c r="A17" s="252" t="str">
        <f>IFERROR(__xludf.DUMMYFUNCTION("""COMPUTED_VALUE"""),"EXT-03")</f>
        <v>EXT-03</v>
      </c>
      <c r="B17" s="252">
        <f>IFERROR(__xludf.DUMMYFUNCTION("""COMPUTED_VALUE"""),10453.0)</f>
        <v>10453</v>
      </c>
      <c r="C17" s="252">
        <f>IFERROR(__xludf.DUMMYFUNCTION("""COMPUTED_VALUE"""),3.0)</f>
        <v>3</v>
      </c>
      <c r="D17" s="252" t="str">
        <f>IFERROR(__xludf.DUMMYFUNCTION("""COMPUTED_VALUE"""),"Hr")</f>
        <v>Hr</v>
      </c>
    </row>
    <row r="18">
      <c r="A18" s="252" t="str">
        <f>IFERROR(__xludf.DUMMYFUNCTION("""COMPUTED_VALUE"""),"T-06")</f>
        <v>T-06</v>
      </c>
      <c r="B18" s="252">
        <f>IFERROR(__xludf.DUMMYFUNCTION("""COMPUTED_VALUE"""),1195.0)</f>
        <v>1195</v>
      </c>
      <c r="C18" s="252">
        <f>IFERROR(__xludf.DUMMYFUNCTION("""COMPUTED_VALUE"""),1.0)</f>
        <v>1</v>
      </c>
      <c r="D18" s="252" t="str">
        <f>IFERROR(__xludf.DUMMYFUNCTION("""COMPUTED_VALUE"""),"Hr")</f>
        <v>Hr</v>
      </c>
    </row>
    <row r="19">
      <c r="A19" s="252" t="str">
        <f>IFERROR(__xludf.DUMMYFUNCTION("""COMPUTED_VALUE"""),"EX-12")</f>
        <v>EX-12</v>
      </c>
      <c r="B19" s="252">
        <f>IFERROR(__xludf.DUMMYFUNCTION("""COMPUTED_VALUE"""),10256.0)</f>
        <v>10256</v>
      </c>
      <c r="C19" s="252">
        <f>IFERROR(__xludf.DUMMYFUNCTION("""COMPUTED_VALUE"""),1.0)</f>
        <v>1</v>
      </c>
      <c r="D19" s="252" t="str">
        <f>IFERROR(__xludf.DUMMYFUNCTION("""COMPUTED_VALUE"""),"Hr")</f>
        <v>Hr</v>
      </c>
    </row>
    <row r="20">
      <c r="A20" s="252" t="str">
        <f>IFERROR(__xludf.DUMMYFUNCTION("""COMPUTED_VALUE"""),"EXT-08")</f>
        <v>EXT-08</v>
      </c>
      <c r="B20" s="252">
        <f>IFERROR(__xludf.DUMMYFUNCTION("""COMPUTED_VALUE"""),11516.0)</f>
        <v>11516</v>
      </c>
      <c r="C20" s="252"/>
      <c r="D20" s="252" t="str">
        <f>IFERROR(__xludf.DUMMYFUNCTION("""COMPUTED_VALUE"""),"Hr")</f>
        <v>Hr</v>
      </c>
    </row>
    <row r="21">
      <c r="A21" s="252" t="str">
        <f>IFERROR(__xludf.DUMMYFUNCTION("""COMPUTED_VALUE"""),"CT-27")</f>
        <v>CT-27</v>
      </c>
      <c r="B21" s="252">
        <f>IFERROR(__xludf.DUMMYFUNCTION("""COMPUTED_VALUE"""),453.0)</f>
        <v>453</v>
      </c>
      <c r="C21" s="252">
        <f>IFERROR(__xludf.DUMMYFUNCTION("""COMPUTED_VALUE"""),250871.0)</f>
        <v>250871</v>
      </c>
      <c r="D21" s="252" t="str">
        <f>IFERROR(__xludf.DUMMYFUNCTION("""COMPUTED_VALUE"""),"Hr")</f>
        <v>Hr</v>
      </c>
    </row>
    <row r="22">
      <c r="A22" s="252" t="str">
        <f>IFERROR(__xludf.DUMMYFUNCTION("""COMPUTED_VALUE"""),"P-05")</f>
        <v>P-05</v>
      </c>
      <c r="B22" s="252">
        <f>IFERROR(__xludf.DUMMYFUNCTION("""COMPUTED_VALUE"""),4046.0)</f>
        <v>4046</v>
      </c>
      <c r="C22" s="252"/>
      <c r="D22" s="252"/>
    </row>
    <row r="23">
      <c r="A23" s="252" t="str">
        <f>IFERROR(__xludf.DUMMYFUNCTION("""COMPUTED_VALUE"""),"C-47")</f>
        <v>C-47</v>
      </c>
      <c r="B23" s="252">
        <f>IFERROR(__xludf.DUMMYFUNCTION("""COMPUTED_VALUE"""),1.0)</f>
        <v>1</v>
      </c>
      <c r="C23" s="252">
        <f>IFERROR(__xludf.DUMMYFUNCTION("""COMPUTED_VALUE"""),80000.0)</f>
        <v>80000</v>
      </c>
      <c r="D23" s="252" t="str">
        <f>IFERROR(__xludf.DUMMYFUNCTION("""COMPUTED_VALUE"""),"Km")</f>
        <v>Km</v>
      </c>
    </row>
    <row r="24">
      <c r="A24" s="252" t="str">
        <f>IFERROR(__xludf.DUMMYFUNCTION("""COMPUTED_VALUE"""),"Cama")</f>
        <v>Cama</v>
      </c>
      <c r="B24" s="252"/>
      <c r="C24" s="252"/>
      <c r="D24" s="252" t="str">
        <f>IFERROR(__xludf.DUMMYFUNCTION("""COMPUTED_VALUE"""),"N/A")</f>
        <v>N/A</v>
      </c>
    </row>
    <row r="25">
      <c r="A25" s="252" t="str">
        <f>IFERROR(__xludf.DUMMYFUNCTION("""COMPUTED_VALUE"""),"CT-23")</f>
        <v>CT-23</v>
      </c>
      <c r="B25" s="252">
        <f>IFERROR(__xludf.DUMMYFUNCTION("""COMPUTED_VALUE"""),16303.0)</f>
        <v>16303</v>
      </c>
      <c r="C25" s="252">
        <f>IFERROR(__xludf.DUMMYFUNCTION("""COMPUTED_VALUE"""),268282.0)</f>
        <v>268282</v>
      </c>
      <c r="D25" s="252" t="str">
        <f>IFERROR(__xludf.DUMMYFUNCTION("""COMPUTED_VALUE"""),"Hr")</f>
        <v>Hr</v>
      </c>
    </row>
    <row r="26">
      <c r="A26" s="252" t="str">
        <f>IFERROR(__xludf.DUMMYFUNCTION("""COMPUTED_VALUE"""),"EXT-07")</f>
        <v>EXT-07</v>
      </c>
      <c r="B26" s="252"/>
      <c r="C26" s="252"/>
      <c r="D26" s="252" t="str">
        <f>IFERROR(__xludf.DUMMYFUNCTION("""COMPUTED_VALUE"""),"N/A")</f>
        <v>N/A</v>
      </c>
    </row>
    <row r="27">
      <c r="A27" s="252" t="str">
        <f>IFERROR(__xludf.DUMMYFUNCTION("""COMPUTED_VALUE"""),"CT-37")</f>
        <v>CT-37</v>
      </c>
      <c r="B27" s="252">
        <f>IFERROR(__xludf.DUMMYFUNCTION("""COMPUTED_VALUE"""),1403.0)</f>
        <v>1403</v>
      </c>
      <c r="C27" s="252">
        <f>IFERROR(__xludf.DUMMYFUNCTION("""COMPUTED_VALUE"""),23398.0)</f>
        <v>23398</v>
      </c>
      <c r="D27" s="252" t="str">
        <f>IFERROR(__xludf.DUMMYFUNCTION("""COMPUTED_VALUE"""),"Hr")</f>
        <v>Hr</v>
      </c>
    </row>
    <row r="28">
      <c r="A28" s="252" t="str">
        <f>IFERROR(__xludf.DUMMYFUNCTION("""COMPUTED_VALUE"""),"CF-07")</f>
        <v>CF-07</v>
      </c>
      <c r="B28" s="252">
        <f>IFERROR(__xludf.DUMMYFUNCTION("""COMPUTED_VALUE"""),9130.0)</f>
        <v>9130</v>
      </c>
      <c r="C28" s="252">
        <f>IFERROR(__xludf.DUMMYFUNCTION("""COMPUTED_VALUE"""),1.0)</f>
        <v>1</v>
      </c>
      <c r="D28" s="252" t="str">
        <f>IFERROR(__xludf.DUMMYFUNCTION("""COMPUTED_VALUE"""),"Hr")</f>
        <v>Hr</v>
      </c>
    </row>
    <row r="29">
      <c r="A29" s="252" t="str">
        <f>IFERROR(__xludf.DUMMYFUNCTION("""COMPUTED_VALUE"""),"CI-01")</f>
        <v>CI-01</v>
      </c>
      <c r="B29" s="252">
        <f>IFERROR(__xludf.DUMMYFUNCTION("""COMPUTED_VALUE"""),138463.0)</f>
        <v>138463</v>
      </c>
      <c r="C29" s="252"/>
      <c r="D29" s="252" t="str">
        <f>IFERROR(__xludf.DUMMYFUNCTION("""COMPUTED_VALUE"""),"Hr")</f>
        <v>Hr</v>
      </c>
    </row>
    <row r="30">
      <c r="A30" s="252" t="str">
        <f>IFERROR(__xludf.DUMMYFUNCTION("""COMPUTED_VALUE"""),"B_01")</f>
        <v>B_01</v>
      </c>
      <c r="B30" s="252"/>
      <c r="C30" s="252"/>
      <c r="D30" s="252" t="str">
        <f>IFERROR(__xludf.DUMMYFUNCTION("""COMPUTED_VALUE"""),"N/A")</f>
        <v>N/A</v>
      </c>
    </row>
    <row r="31">
      <c r="A31" s="252" t="str">
        <f>IFERROR(__xludf.DUMMYFUNCTION("""COMPUTED_VALUE"""),"CT-30")</f>
        <v>CT-30</v>
      </c>
      <c r="B31" s="252">
        <f>IFERROR(__xludf.DUMMYFUNCTION("""COMPUTED_VALUE"""),20076.0)</f>
        <v>20076</v>
      </c>
      <c r="C31" s="252">
        <f>IFERROR(__xludf.DUMMYFUNCTION("""COMPUTED_VALUE"""),177624.0)</f>
        <v>177624</v>
      </c>
      <c r="D31" s="252" t="str">
        <f>IFERROR(__xludf.DUMMYFUNCTION("""COMPUTED_VALUE"""),"Hr")</f>
        <v>Hr</v>
      </c>
    </row>
    <row r="32">
      <c r="A32" s="252" t="str">
        <f>IFERROR(__xludf.DUMMYFUNCTION("""COMPUTED_VALUE"""),"G-08")</f>
        <v>G-08</v>
      </c>
      <c r="B32" s="252">
        <f>IFERROR(__xludf.DUMMYFUNCTION("""COMPUTED_VALUE"""),5755.0)</f>
        <v>5755</v>
      </c>
      <c r="C32" s="252"/>
      <c r="D32" s="252" t="str">
        <f>IFERROR(__xludf.DUMMYFUNCTION("""COMPUTED_VALUE"""),"Hr")</f>
        <v>Hr</v>
      </c>
    </row>
    <row r="33">
      <c r="A33" s="252" t="str">
        <f>IFERROR(__xludf.DUMMYFUNCTION("""COMPUTED_VALUE"""),"G-10")</f>
        <v>G-10</v>
      </c>
      <c r="B33" s="252">
        <f>IFERROR(__xludf.DUMMYFUNCTION("""COMPUTED_VALUE"""),6976.0)</f>
        <v>6976</v>
      </c>
      <c r="C33" s="252">
        <f>IFERROR(__xludf.DUMMYFUNCTION("""COMPUTED_VALUE"""),1.0)</f>
        <v>1</v>
      </c>
      <c r="D33" s="252" t="str">
        <f>IFERROR(__xludf.DUMMYFUNCTION("""COMPUTED_VALUE"""),"Hr")</f>
        <v>Hr</v>
      </c>
    </row>
    <row r="34">
      <c r="A34" s="252" t="str">
        <f>IFERROR(__xludf.DUMMYFUNCTION("""COMPUTED_VALUE"""),"CB-04")</f>
        <v>CB-04</v>
      </c>
      <c r="B34" s="252"/>
      <c r="C34" s="252"/>
      <c r="D34" s="252"/>
    </row>
    <row r="35">
      <c r="A35" s="252" t="str">
        <f>IFERROR(__xludf.DUMMYFUNCTION("""COMPUTED_VALUE"""),"CT-36")</f>
        <v>CT-36</v>
      </c>
      <c r="B35" s="252">
        <f>IFERROR(__xludf.DUMMYFUNCTION("""COMPUTED_VALUE"""),912.0)</f>
        <v>912</v>
      </c>
      <c r="C35" s="252">
        <f>IFERROR(__xludf.DUMMYFUNCTION("""COMPUTED_VALUE"""),12243.0)</f>
        <v>12243</v>
      </c>
      <c r="D35" s="252" t="str">
        <f>IFERROR(__xludf.DUMMYFUNCTION("""COMPUTED_VALUE"""),"Hr")</f>
        <v>Hr</v>
      </c>
    </row>
    <row r="36">
      <c r="A36" s="252" t="str">
        <f>IFERROR(__xludf.DUMMYFUNCTION("""COMPUTED_VALUE"""),"RXm-09")</f>
        <v>RXm-09</v>
      </c>
      <c r="B36" s="252">
        <f>IFERROR(__xludf.DUMMYFUNCTION("""COMPUTED_VALUE"""),2768.0)</f>
        <v>2768</v>
      </c>
      <c r="C36" s="252"/>
      <c r="D36" s="252" t="str">
        <f>IFERROR(__xludf.DUMMYFUNCTION("""COMPUTED_VALUE"""),"Hr")</f>
        <v>Hr</v>
      </c>
    </row>
    <row r="37">
      <c r="A37" s="252" t="str">
        <f>IFERROR(__xludf.DUMMYFUNCTION("""COMPUTED_VALUE"""),"CT-26")</f>
        <v>CT-26</v>
      </c>
      <c r="B37" s="252">
        <f>IFERROR(__xludf.DUMMYFUNCTION("""COMPUTED_VALUE"""),919.0)</f>
        <v>919</v>
      </c>
      <c r="C37" s="252">
        <f>IFERROR(__xludf.DUMMYFUNCTION("""COMPUTED_VALUE"""),176778.0)</f>
        <v>176778</v>
      </c>
      <c r="D37" s="252" t="str">
        <f>IFERROR(__xludf.DUMMYFUNCTION("""COMPUTED_VALUE"""),"Hr")</f>
        <v>Hr</v>
      </c>
    </row>
    <row r="38">
      <c r="A38" s="252" t="str">
        <f>IFERROR(__xludf.DUMMYFUNCTION("""COMPUTED_VALUE"""),"EXTERNO")</f>
        <v>EXTERNO</v>
      </c>
      <c r="B38" s="252">
        <f>IFERROR(__xludf.DUMMYFUNCTION("""COMPUTED_VALUE"""),107284.0)</f>
        <v>107284</v>
      </c>
      <c r="C38" s="252">
        <f>IFERROR(__xludf.DUMMYFUNCTION("""COMPUTED_VALUE"""),316785.0)</f>
        <v>316785</v>
      </c>
      <c r="D38" s="252" t="str">
        <f>IFERROR(__xludf.DUMMYFUNCTION("""COMPUTED_VALUE"""),"N/A")</f>
        <v>N/A</v>
      </c>
    </row>
    <row r="39">
      <c r="A39" s="252" t="str">
        <f>IFERROR(__xludf.DUMMYFUNCTION("""COMPUTED_VALUE"""),"EX-21")</f>
        <v>EX-21</v>
      </c>
      <c r="B39" s="252">
        <f>IFERROR(__xludf.DUMMYFUNCTION("""COMPUTED_VALUE"""),5257.0)</f>
        <v>5257</v>
      </c>
      <c r="C39" s="252">
        <f>IFERROR(__xludf.DUMMYFUNCTION("""COMPUTED_VALUE"""),1.0)</f>
        <v>1</v>
      </c>
      <c r="D39" s="252" t="str">
        <f>IFERROR(__xludf.DUMMYFUNCTION("""COMPUTED_VALUE"""),"Hr")</f>
        <v>Hr</v>
      </c>
    </row>
    <row r="40">
      <c r="A40" s="252" t="str">
        <f>IFERROR(__xludf.DUMMYFUNCTION("""COMPUTED_VALUE"""),"COM-01")</f>
        <v>COM-01</v>
      </c>
      <c r="B40" s="252"/>
      <c r="C40" s="252"/>
      <c r="D40" s="252"/>
    </row>
    <row r="41">
      <c r="A41" s="252" t="str">
        <f>IFERROR(__xludf.DUMMYFUNCTION("""COMPUTED_VALUE"""),"CT-31")</f>
        <v>CT-31</v>
      </c>
      <c r="B41" s="252">
        <f>IFERROR(__xludf.DUMMYFUNCTION("""COMPUTED_VALUE"""),19782.0)</f>
        <v>19782</v>
      </c>
      <c r="C41" s="252">
        <f>IFERROR(__xludf.DUMMYFUNCTION("""COMPUTED_VALUE"""),219349.0)</f>
        <v>219349</v>
      </c>
      <c r="D41" s="252" t="str">
        <f>IFERROR(__xludf.DUMMYFUNCTION("""COMPUTED_VALUE"""),"Hr")</f>
        <v>Hr</v>
      </c>
    </row>
    <row r="42">
      <c r="A42" s="252" t="str">
        <f>IFERROR(__xludf.DUMMYFUNCTION("""COMPUTED_VALUE"""),"TA-01")</f>
        <v>TA-01</v>
      </c>
      <c r="B42" s="252">
        <f>IFERROR(__xludf.DUMMYFUNCTION("""COMPUTED_VALUE"""),1198.0)</f>
        <v>1198</v>
      </c>
      <c r="C42" s="252"/>
      <c r="D42" s="252" t="str">
        <f>IFERROR(__xludf.DUMMYFUNCTION("""COMPUTED_VALUE"""),"Hr")</f>
        <v>Hr</v>
      </c>
    </row>
    <row r="43">
      <c r="A43" s="252" t="str">
        <f>IFERROR(__xludf.DUMMYFUNCTION("""COMPUTED_VALUE"""),"EXT-11")</f>
        <v>EXT-11</v>
      </c>
      <c r="B43" s="252"/>
      <c r="C43" s="252"/>
      <c r="D43" s="252"/>
    </row>
    <row r="44">
      <c r="A44" s="252" t="str">
        <f>IFERROR(__xludf.DUMMYFUNCTION("""COMPUTED_VALUE"""),"Número")</f>
        <v>Número</v>
      </c>
      <c r="B44" s="252"/>
      <c r="C44" s="252">
        <f>IFERROR(__xludf.DUMMYFUNCTION("""COMPUTED_VALUE"""),0.0)</f>
        <v>0</v>
      </c>
      <c r="D44" s="252" t="str">
        <f>IFERROR(__xludf.DUMMYFUNCTION("""COMPUTED_VALUE"""),"N/A")</f>
        <v>N/A</v>
      </c>
    </row>
    <row r="45">
      <c r="A45" s="252" t="str">
        <f>IFERROR(__xludf.DUMMYFUNCTION("""COMPUTED_VALUE"""),"C-50")</f>
        <v>C-50</v>
      </c>
      <c r="B45" s="252"/>
      <c r="C45" s="252"/>
      <c r="D45" s="252"/>
    </row>
    <row r="46">
      <c r="A46" s="252" t="str">
        <f>IFERROR(__xludf.DUMMYFUNCTION("""COMPUTED_VALUE"""),"Equipos")</f>
        <v>Equipos</v>
      </c>
      <c r="B46" s="252">
        <f>IFERROR(__xludf.DUMMYFUNCTION("""COMPUTED_VALUE"""),4992.0)</f>
        <v>4992</v>
      </c>
      <c r="C46" s="252"/>
      <c r="D46" s="252" t="str">
        <f>IFERROR(__xludf.DUMMYFUNCTION("""COMPUTED_VALUE"""),"Hr")</f>
        <v>Hr</v>
      </c>
    </row>
    <row r="47">
      <c r="A47" s="252" t="str">
        <f>IFERROR(__xludf.DUMMYFUNCTION("""COMPUTED_VALUE"""),"EXT-01")</f>
        <v>EXT-01</v>
      </c>
      <c r="B47" s="252">
        <f>IFERROR(__xludf.DUMMYFUNCTION("""COMPUTED_VALUE"""),249762.0)</f>
        <v>249762</v>
      </c>
      <c r="C47" s="252">
        <f>IFERROR(__xludf.DUMMYFUNCTION("""COMPUTED_VALUE"""),250824.0)</f>
        <v>250824</v>
      </c>
      <c r="D47" s="252" t="str">
        <f>IFERROR(__xludf.DUMMYFUNCTION("""COMPUTED_VALUE"""),"Km")</f>
        <v>Km</v>
      </c>
    </row>
    <row r="48">
      <c r="A48" s="252" t="str">
        <f>IFERROR(__xludf.DUMMYFUNCTION("""COMPUTED_VALUE"""),"CF-09")</f>
        <v>CF-09</v>
      </c>
      <c r="B48" s="252">
        <f>IFERROR(__xludf.DUMMYFUNCTION("""COMPUTED_VALUE"""),17265.0)</f>
        <v>17265</v>
      </c>
      <c r="C48" s="252">
        <f>IFERROR(__xludf.DUMMYFUNCTION("""COMPUTED_VALUE"""),1.0)</f>
        <v>1</v>
      </c>
      <c r="D48" s="252" t="str">
        <f>IFERROR(__xludf.DUMMYFUNCTION("""COMPUTED_VALUE"""),"Hr")</f>
        <v>Hr</v>
      </c>
    </row>
    <row r="49">
      <c r="A49" s="252" t="str">
        <f>IFERROR(__xludf.DUMMYFUNCTION("""COMPUTED_VALUE"""),"EQUIPO")</f>
        <v>EQUIPO</v>
      </c>
      <c r="B49" s="252">
        <f>IFERROR(__xludf.DUMMYFUNCTION("""COMPUTED_VALUE"""),306.0)</f>
        <v>306</v>
      </c>
      <c r="C49" s="252"/>
      <c r="D49" s="252"/>
    </row>
    <row r="50">
      <c r="A50" s="252" t="str">
        <f>IFERROR(__xludf.DUMMYFUNCTION("""COMPUTED_VALUE"""),"CT-20")</f>
        <v>CT-20</v>
      </c>
      <c r="B50" s="252">
        <f>IFERROR(__xludf.DUMMYFUNCTION("""COMPUTED_VALUE"""),16.0)</f>
        <v>16</v>
      </c>
      <c r="C50" s="252">
        <f>IFERROR(__xludf.DUMMYFUNCTION("""COMPUTED_VALUE"""),376156.0)</f>
        <v>376156</v>
      </c>
      <c r="D50" s="252" t="str">
        <f>IFERROR(__xludf.DUMMYFUNCTION("""COMPUTED_VALUE"""),"Hr")</f>
        <v>Hr</v>
      </c>
    </row>
    <row r="51">
      <c r="A51" s="252" t="str">
        <f>IFERROR(__xludf.DUMMYFUNCTION("""COMPUTED_VALUE"""),"CK-03")</f>
        <v>CK-03</v>
      </c>
      <c r="B51" s="252">
        <f>IFERROR(__xludf.DUMMYFUNCTION("""COMPUTED_VALUE"""),5173.0)</f>
        <v>5173</v>
      </c>
      <c r="C51" s="252">
        <f>IFERROR(__xludf.DUMMYFUNCTION("""COMPUTED_VALUE"""),342349.0)</f>
        <v>342349</v>
      </c>
      <c r="D51" s="252" t="str">
        <f>IFERROR(__xludf.DUMMYFUNCTION("""COMPUTED_VALUE"""),"Km")</f>
        <v>Km</v>
      </c>
    </row>
    <row r="52">
      <c r="A52" s="252" t="str">
        <f>IFERROR(__xludf.DUMMYFUNCTION("""COMPUTED_VALUE"""),"EXT-04")</f>
        <v>EXT-04</v>
      </c>
      <c r="B52" s="252">
        <f>IFERROR(__xludf.DUMMYFUNCTION("""COMPUTED_VALUE"""),2348.0)</f>
        <v>2348</v>
      </c>
      <c r="C52" s="252"/>
      <c r="D52" s="252" t="str">
        <f>IFERROR(__xludf.DUMMYFUNCTION("""COMPUTED_VALUE"""),"Hr")</f>
        <v>Hr</v>
      </c>
    </row>
    <row r="53">
      <c r="A53" s="252" t="str">
        <f>IFERROR(__xludf.DUMMYFUNCTION("""COMPUTED_VALUE"""),"B-03")</f>
        <v>B-03</v>
      </c>
      <c r="B53" s="252">
        <f>IFERROR(__xludf.DUMMYFUNCTION("""COMPUTED_VALUE"""),1.0)</f>
        <v>1</v>
      </c>
      <c r="C53" s="252">
        <f>IFERROR(__xludf.DUMMYFUNCTION("""COMPUTED_VALUE"""),1.0)</f>
        <v>1</v>
      </c>
      <c r="D53" s="252" t="str">
        <f>IFERROR(__xludf.DUMMYFUNCTION("""COMPUTED_VALUE"""),"N/A")</f>
        <v>N/A</v>
      </c>
    </row>
    <row r="54">
      <c r="A54" s="252" t="str">
        <f>IFERROR(__xludf.DUMMYFUNCTION("""COMPUTED_VALUE"""),"EX-19")</f>
        <v>EX-19</v>
      </c>
      <c r="B54" s="252">
        <f>IFERROR(__xludf.DUMMYFUNCTION("""COMPUTED_VALUE"""),1041.0)</f>
        <v>1041</v>
      </c>
      <c r="C54" s="252"/>
      <c r="D54" s="252" t="str">
        <f>IFERROR(__xludf.DUMMYFUNCTION("""COMPUTED_VALUE"""),"Hr")</f>
        <v>Hr</v>
      </c>
    </row>
    <row r="55">
      <c r="A55" s="252" t="str">
        <f>IFERROR(__xludf.DUMMYFUNCTION("""COMPUTED_VALUE"""),"EX-20")</f>
        <v>EX-20</v>
      </c>
      <c r="B55" s="252">
        <f>IFERROR(__xludf.DUMMYFUNCTION("""COMPUTED_VALUE"""),806.0)</f>
        <v>806</v>
      </c>
      <c r="C55" s="252"/>
      <c r="D55" s="252" t="str">
        <f>IFERROR(__xludf.DUMMYFUNCTION("""COMPUTED_VALUE"""),"Hr")</f>
        <v>Hr</v>
      </c>
    </row>
    <row r="56">
      <c r="A56" s="252" t="str">
        <f>IFERROR(__xludf.DUMMYFUNCTION("""COMPUTED_VALUE"""),"EQUIPO")</f>
        <v>EQUIPO</v>
      </c>
      <c r="B56" s="252">
        <f>IFERROR(__xludf.DUMMYFUNCTION("""COMPUTED_VALUE"""),107284.0)</f>
        <v>107284</v>
      </c>
      <c r="C56" s="252">
        <f>IFERROR(__xludf.DUMMYFUNCTION("""COMPUTED_VALUE"""),316785.0)</f>
        <v>316785</v>
      </c>
      <c r="D56" s="252" t="str">
        <f>IFERROR(__xludf.DUMMYFUNCTION("""COMPUTED_VALUE"""),"N/A")</f>
        <v>N/A</v>
      </c>
    </row>
    <row r="57">
      <c r="A57" s="252" t="str">
        <f>IFERROR(__xludf.DUMMYFUNCTION("""COMPUTED_VALUE"""),"T-05")</f>
        <v>T-05</v>
      </c>
      <c r="B57" s="252">
        <f>IFERROR(__xludf.DUMMYFUNCTION("""COMPUTED_VALUE"""),1641.0)</f>
        <v>1641</v>
      </c>
      <c r="C57" s="252"/>
      <c r="D57" s="252" t="str">
        <f>IFERROR(__xludf.DUMMYFUNCTION("""COMPUTED_VALUE"""),"Hr")</f>
        <v>Hr</v>
      </c>
    </row>
    <row r="58">
      <c r="A58" s="252" t="str">
        <f>IFERROR(__xludf.DUMMYFUNCTION("""COMPUTED_VALUE"""),"Cama")</f>
        <v>Cama</v>
      </c>
      <c r="B58" s="252"/>
      <c r="C58" s="252"/>
      <c r="D58" s="252" t="str">
        <f>IFERROR(__xludf.DUMMYFUNCTION("""COMPUTED_VALUE"""),"N/A")</f>
        <v>N/A</v>
      </c>
    </row>
    <row r="59">
      <c r="A59" s="252" t="str">
        <f>IFERROR(__xludf.DUMMYFUNCTION("""COMPUTED_VALUE"""),"EX-17")</f>
        <v>EX-17</v>
      </c>
      <c r="B59" s="252">
        <f>IFERROR(__xludf.DUMMYFUNCTION("""COMPUTED_VALUE"""),1191.0)</f>
        <v>1191</v>
      </c>
      <c r="C59" s="252"/>
      <c r="D59" s="252" t="str">
        <f>IFERROR(__xludf.DUMMYFUNCTION("""COMPUTED_VALUE"""),"Hr")</f>
        <v>Hr</v>
      </c>
    </row>
    <row r="60">
      <c r="A60" s="252" t="str">
        <f>IFERROR(__xludf.DUMMYFUNCTION("""COMPUTED_VALUE"""),"G-09")</f>
        <v>G-09</v>
      </c>
      <c r="B60" s="252">
        <f>IFERROR(__xludf.DUMMYFUNCTION("""COMPUTED_VALUE"""),0.0)</f>
        <v>0</v>
      </c>
      <c r="C60" s="252"/>
      <c r="D60" s="252" t="str">
        <f>IFERROR(__xludf.DUMMYFUNCTION("""COMPUTED_VALUE"""),"Hr")</f>
        <v>Hr</v>
      </c>
    </row>
    <row r="61">
      <c r="A61" s="252" t="str">
        <f>IFERROR(__xludf.DUMMYFUNCTION("""COMPUTED_VALUE"""),"CS-01")</f>
        <v>CS-01</v>
      </c>
      <c r="B61" s="252">
        <f>IFERROR(__xludf.DUMMYFUNCTION("""COMPUTED_VALUE"""),0.0)</f>
        <v>0</v>
      </c>
      <c r="C61" s="252">
        <f>IFERROR(__xludf.DUMMYFUNCTION("""COMPUTED_VALUE"""),98383.0)</f>
        <v>98383</v>
      </c>
      <c r="D61" s="252" t="str">
        <f>IFERROR(__xludf.DUMMYFUNCTION("""COMPUTED_VALUE"""),"Km")</f>
        <v>Km</v>
      </c>
    </row>
    <row r="62">
      <c r="A62" s="252" t="str">
        <f>IFERROR(__xludf.DUMMYFUNCTION("""COMPUTED_VALUE"""),"CT-34")</f>
        <v>CT-34</v>
      </c>
      <c r="B62" s="252">
        <f>IFERROR(__xludf.DUMMYFUNCTION("""COMPUTED_VALUE"""),482.0)</f>
        <v>482</v>
      </c>
      <c r="C62" s="252">
        <f>IFERROR(__xludf.DUMMYFUNCTION("""COMPUTED_VALUE"""),269867.0)</f>
        <v>269867</v>
      </c>
      <c r="D62" s="252" t="str">
        <f>IFERROR(__xludf.DUMMYFUNCTION("""COMPUTED_VALUE"""),"Hr")</f>
        <v>Hr</v>
      </c>
    </row>
    <row r="63">
      <c r="A63" s="252" t="str">
        <f>IFERROR(__xludf.DUMMYFUNCTION("""COMPUTED_VALUE"""),"EXT-15")</f>
        <v>EXT-15</v>
      </c>
      <c r="B63" s="252">
        <f>IFERROR(__xludf.DUMMYFUNCTION("""COMPUTED_VALUE"""),5056.0)</f>
        <v>5056</v>
      </c>
      <c r="C63" s="252"/>
      <c r="D63" s="252" t="str">
        <f>IFERROR(__xludf.DUMMYFUNCTION("""COMPUTED_VALUE"""),"Hr")</f>
        <v>Hr</v>
      </c>
    </row>
    <row r="64">
      <c r="A64" s="252" t="str">
        <f>IFERROR(__xludf.DUMMYFUNCTION("""COMPUTED_VALUE"""),"CT-29")</f>
        <v>CT-29</v>
      </c>
      <c r="B64" s="252">
        <f>IFERROR(__xludf.DUMMYFUNCTION("""COMPUTED_VALUE"""),1703.0)</f>
        <v>1703</v>
      </c>
      <c r="C64" s="252">
        <f>IFERROR(__xludf.DUMMYFUNCTION("""COMPUTED_VALUE"""),263777.0)</f>
        <v>263777</v>
      </c>
      <c r="D64" s="252" t="str">
        <f>IFERROR(__xludf.DUMMYFUNCTION("""COMPUTED_VALUE"""),"Hr")</f>
        <v>Hr</v>
      </c>
    </row>
    <row r="65">
      <c r="A65" s="252" t="str">
        <f>IFERROR(__xludf.DUMMYFUNCTION("""COMPUTED_VALUE"""),"EX-18")</f>
        <v>EX-18</v>
      </c>
      <c r="B65" s="252">
        <f>IFERROR(__xludf.DUMMYFUNCTION("""COMPUTED_VALUE"""),1036.0)</f>
        <v>1036</v>
      </c>
      <c r="C65" s="252"/>
      <c r="D65" s="252" t="str">
        <f>IFERROR(__xludf.DUMMYFUNCTION("""COMPUTED_VALUE"""),"Hr")</f>
        <v>Hr</v>
      </c>
    </row>
    <row r="66">
      <c r="A66" s="252" t="str">
        <f>IFERROR(__xludf.DUMMYFUNCTION("""COMPUTED_VALUE"""),"Quemador")</f>
        <v>Quemador</v>
      </c>
      <c r="B66" s="252"/>
      <c r="C66" s="252"/>
      <c r="D66" s="252"/>
    </row>
    <row r="67">
      <c r="A67" s="252" t="str">
        <f>IFERROR(__xludf.DUMMYFUNCTION("""COMPUTED_VALUE"""),"CT-24")</f>
        <v>CT-24</v>
      </c>
      <c r="B67" s="252">
        <f>IFERROR(__xludf.DUMMYFUNCTION("""COMPUTED_VALUE"""),441.0)</f>
        <v>441</v>
      </c>
      <c r="C67" s="252">
        <f>IFERROR(__xludf.DUMMYFUNCTION("""COMPUTED_VALUE"""),196910.0)</f>
        <v>196910</v>
      </c>
      <c r="D67" s="252" t="str">
        <f>IFERROR(__xludf.DUMMYFUNCTION("""COMPUTED_VALUE"""),"Hr")</f>
        <v>Hr</v>
      </c>
    </row>
    <row r="68">
      <c r="A68" s="252" t="str">
        <f>IFERROR(__xludf.DUMMYFUNCTION("""COMPUTED_VALUE"""),"ESTANQUE")</f>
        <v>ESTANQUE</v>
      </c>
      <c r="B68" s="252">
        <f>IFERROR(__xludf.DUMMYFUNCTION("""COMPUTED_VALUE"""),110579.0)</f>
        <v>110579</v>
      </c>
      <c r="C68" s="252">
        <f>IFERROR(__xludf.DUMMYFUNCTION("""COMPUTED_VALUE"""),316785.0)</f>
        <v>316785</v>
      </c>
      <c r="D68" s="252"/>
    </row>
    <row r="69">
      <c r="A69" s="252" t="str">
        <f>IFERROR(__xludf.DUMMYFUNCTION("""COMPUTED_VALUE"""),"EXT-02")</f>
        <v>EXT-02</v>
      </c>
      <c r="B69" s="252"/>
      <c r="C69" s="252"/>
      <c r="D69" s="252" t="str">
        <f>IFERROR(__xludf.DUMMYFUNCTION("""COMPUTED_VALUE"""),"Hr")</f>
        <v>Hr</v>
      </c>
    </row>
    <row r="70">
      <c r="A70" s="252" t="str">
        <f>IFERROR(__xludf.DUMMYFUNCTION("""COMPUTED_VALUE"""),"CT-28")</f>
        <v>CT-28</v>
      </c>
      <c r="B70" s="252">
        <f>IFERROR(__xludf.DUMMYFUNCTION("""COMPUTED_VALUE"""),21449.0)</f>
        <v>21449</v>
      </c>
      <c r="C70" s="252">
        <f>IFERROR(__xludf.DUMMYFUNCTION("""COMPUTED_VALUE"""),5.6339657E7)</f>
        <v>56339657</v>
      </c>
      <c r="D70" s="252" t="str">
        <f>IFERROR(__xludf.DUMMYFUNCTION("""COMPUTED_VALUE"""),"Hr")</f>
        <v>Hr</v>
      </c>
    </row>
    <row r="71">
      <c r="A71" s="252" t="str">
        <f>IFERROR(__xludf.DUMMYFUNCTION("""COMPUTED_VALUE"""),"EXT-12")</f>
        <v>EXT-12</v>
      </c>
      <c r="B71" s="252">
        <f>IFERROR(__xludf.DUMMYFUNCTION("""COMPUTED_VALUE"""),12895.0)</f>
        <v>12895</v>
      </c>
      <c r="C71" s="252"/>
      <c r="D71" s="252" t="str">
        <f>IFERROR(__xludf.DUMMYFUNCTION("""COMPUTED_VALUE"""),"Hr")</f>
        <v>Hr</v>
      </c>
    </row>
    <row r="72">
      <c r="A72" s="252" t="str">
        <f>IFERROR(__xludf.DUMMYFUNCTION("""COMPUTED_VALUE"""),"CT-33")</f>
        <v>CT-33</v>
      </c>
      <c r="B72" s="252">
        <f>IFERROR(__xludf.DUMMYFUNCTION("""COMPUTED_VALUE"""),22704.0)</f>
        <v>22704</v>
      </c>
      <c r="C72" s="252">
        <f>IFERROR(__xludf.DUMMYFUNCTION("""COMPUTED_VALUE"""),311801.0)</f>
        <v>311801</v>
      </c>
      <c r="D72" s="252" t="str">
        <f>IFERROR(__xludf.DUMMYFUNCTION("""COMPUTED_VALUE"""),"Hr")</f>
        <v>Hr</v>
      </c>
    </row>
    <row r="73">
      <c r="A73" s="252" t="str">
        <f>IFERROR(__xludf.DUMMYFUNCTION("""COMPUTED_VALUE"""),"EXT-17")</f>
        <v>EXT-17</v>
      </c>
      <c r="B73" s="252">
        <f>IFERROR(__xludf.DUMMYFUNCTION("""COMPUTED_VALUE"""),15789.0)</f>
        <v>15789</v>
      </c>
      <c r="C73" s="252"/>
      <c r="D73" s="252"/>
    </row>
    <row r="74">
      <c r="A74" s="252" t="str">
        <f>IFERROR(__xludf.DUMMYFUNCTION("""COMPUTED_VALUE"""),"CF-10")</f>
        <v>CF-10</v>
      </c>
      <c r="B74" s="252">
        <f>IFERROR(__xludf.DUMMYFUNCTION("""COMPUTED_VALUE"""),4671.0)</f>
        <v>4671</v>
      </c>
      <c r="C74" s="252">
        <f>IFERROR(__xludf.DUMMYFUNCTION("""COMPUTED_VALUE"""),1.0)</f>
        <v>1</v>
      </c>
      <c r="D74" s="252"/>
    </row>
    <row r="75">
      <c r="A75" s="252" t="str">
        <f>IFERROR(__xludf.DUMMYFUNCTION("""COMPUTED_VALUE"""),"ESTANQUE")</f>
        <v>ESTANQUE</v>
      </c>
      <c r="B75" s="252">
        <f>IFERROR(__xludf.DUMMYFUNCTION("""COMPUTED_VALUE"""),2362.0)</f>
        <v>2362</v>
      </c>
      <c r="C75" s="252">
        <f>IFERROR(__xludf.DUMMYFUNCTION("""COMPUTED_VALUE"""),129371.0)</f>
        <v>129371</v>
      </c>
      <c r="D75" s="252"/>
    </row>
    <row r="76">
      <c r="A76" s="252" t="str">
        <f>IFERROR(__xludf.DUMMYFUNCTION("""COMPUTED_VALUE"""),"C-46")</f>
        <v>C-46</v>
      </c>
      <c r="B76" s="252">
        <f>IFERROR(__xludf.DUMMYFUNCTION("""COMPUTED_VALUE"""),877.0)</f>
        <v>877</v>
      </c>
      <c r="C76" s="252"/>
      <c r="D76" s="252" t="str">
        <f>IFERROR(__xludf.DUMMYFUNCTION("""COMPUTED_VALUE"""),"Hr")</f>
        <v>Hr</v>
      </c>
    </row>
    <row r="77">
      <c r="A77" s="252" t="str">
        <f>IFERROR(__xludf.DUMMYFUNCTION("""COMPUTED_VALUE"""),"CT-38")</f>
        <v>CT-38</v>
      </c>
      <c r="B77" s="252">
        <f>IFERROR(__xludf.DUMMYFUNCTION("""COMPUTED_VALUE"""),1489.0)</f>
        <v>1489</v>
      </c>
      <c r="C77" s="252">
        <f>IFERROR(__xludf.DUMMYFUNCTION("""COMPUTED_VALUE"""),24656.0)</f>
        <v>24656</v>
      </c>
      <c r="D77" s="252" t="str">
        <f>IFERROR(__xludf.DUMMYFUNCTION("""COMPUTED_VALUE"""),"Hr")</f>
        <v>Hr</v>
      </c>
    </row>
    <row r="78">
      <c r="A78" s="252" t="str">
        <f>IFERROR(__xludf.DUMMYFUNCTION("""COMPUTED_VALUE"""),"EX-10")</f>
        <v>EX-10</v>
      </c>
      <c r="B78" s="252">
        <f>IFERROR(__xludf.DUMMYFUNCTION("""COMPUTED_VALUE"""),10229.0)</f>
        <v>10229</v>
      </c>
      <c r="C78" s="252">
        <f>IFERROR(__xludf.DUMMYFUNCTION("""COMPUTED_VALUE"""),1.0)</f>
        <v>1</v>
      </c>
      <c r="D78" s="252" t="str">
        <f>IFERROR(__xludf.DUMMYFUNCTION("""COMPUTED_VALUE"""),"Hr")</f>
        <v>Hr</v>
      </c>
    </row>
    <row r="79">
      <c r="A79" s="252" t="str">
        <f>IFERROR(__xludf.DUMMYFUNCTION("""COMPUTED_VALUE"""),"EF-01")</f>
        <v>EF-01</v>
      </c>
      <c r="B79" s="252"/>
      <c r="C79" s="252"/>
      <c r="D79" s="252"/>
    </row>
    <row r="80">
      <c r="A80" s="252" t="str">
        <f>IFERROR(__xludf.DUMMYFUNCTION("""COMPUTED_VALUE"""),"CT-22")</f>
        <v>CT-22</v>
      </c>
      <c r="B80" s="252">
        <f>IFERROR(__xludf.DUMMYFUNCTION("""COMPUTED_VALUE"""),9221.0)</f>
        <v>9221</v>
      </c>
      <c r="C80" s="252">
        <f>IFERROR(__xludf.DUMMYFUNCTION("""COMPUTED_VALUE"""),149517.0)</f>
        <v>149517</v>
      </c>
      <c r="D80" s="252" t="str">
        <f>IFERROR(__xludf.DUMMYFUNCTION("""COMPUTED_VALUE"""),"Hr")</f>
        <v>Hr</v>
      </c>
    </row>
    <row r="81">
      <c r="A81" s="252" t="str">
        <f>IFERROR(__xludf.DUMMYFUNCTION("""COMPUTED_VALUE"""),"C-54")</f>
        <v>C-54</v>
      </c>
      <c r="B81" s="252">
        <f>IFERROR(__xludf.DUMMYFUNCTION("""COMPUTED_VALUE"""),1.0)</f>
        <v>1</v>
      </c>
      <c r="C81" s="252">
        <f>IFERROR(__xludf.DUMMYFUNCTION("""COMPUTED_VALUE"""),15567.0)</f>
        <v>15567</v>
      </c>
      <c r="D81" s="252" t="str">
        <f>IFERROR(__xludf.DUMMYFUNCTION("""COMPUTED_VALUE"""),"Km")</f>
        <v>Km</v>
      </c>
    </row>
    <row r="82">
      <c r="A82" s="252" t="str">
        <f>IFERROR(__xludf.DUMMYFUNCTION("""COMPUTED_VALUE"""),"RN-01")</f>
        <v>RN-01</v>
      </c>
      <c r="B82" s="252">
        <f>IFERROR(__xludf.DUMMYFUNCTION("""COMPUTED_VALUE"""),6499.0)</f>
        <v>6499</v>
      </c>
      <c r="C82" s="252">
        <f>IFERROR(__xludf.DUMMYFUNCTION("""COMPUTED_VALUE"""),1.0)</f>
        <v>1</v>
      </c>
      <c r="D82" s="252" t="str">
        <f>IFERROR(__xludf.DUMMYFUNCTION("""COMPUTED_VALUE"""),"Hr")</f>
        <v>Hr</v>
      </c>
    </row>
    <row r="83">
      <c r="A83" s="252" t="str">
        <f>IFERROR(__xludf.DUMMYFUNCTION("""COMPUTED_VALUE"""),"C-55")</f>
        <v>C-55</v>
      </c>
      <c r="B83" s="252"/>
      <c r="C83" s="252"/>
      <c r="D83" s="252"/>
    </row>
    <row r="84">
      <c r="A84" s="252" t="str">
        <f>IFERROR(__xludf.DUMMYFUNCTION("""COMPUTED_VALUE"""),"EM-04")</f>
        <v>EM-04</v>
      </c>
      <c r="B84" s="252"/>
      <c r="C84" s="252"/>
      <c r="D84" s="252" t="str">
        <f>IFERROR(__xludf.DUMMYFUNCTION("""COMPUTED_VALUE"""),"N/A")</f>
        <v>N/A</v>
      </c>
    </row>
    <row r="85">
      <c r="A85" s="252" t="str">
        <f>IFERROR(__xludf.DUMMYFUNCTION("""COMPUTED_VALUE"""),"EXT-06")</f>
        <v>EXT-06</v>
      </c>
      <c r="B85" s="252">
        <f>IFERROR(__xludf.DUMMYFUNCTION("""COMPUTED_VALUE"""),2023.0)</f>
        <v>2023</v>
      </c>
      <c r="C85" s="252"/>
      <c r="D85" s="252" t="str">
        <f>IFERROR(__xludf.DUMMYFUNCTION("""COMPUTED_VALUE"""),"Hr")</f>
        <v>Hr</v>
      </c>
    </row>
    <row r="86">
      <c r="A86" s="252" t="str">
        <f>IFERROR(__xludf.DUMMYFUNCTION("""COMPUTED_VALUE"""),"RX-08")</f>
        <v>RX-08</v>
      </c>
      <c r="B86" s="252">
        <f>IFERROR(__xludf.DUMMYFUNCTION("""COMPUTED_VALUE"""),11026.0)</f>
        <v>11026</v>
      </c>
      <c r="C86" s="252">
        <f>IFERROR(__xludf.DUMMYFUNCTION("""COMPUTED_VALUE"""),1.0)</f>
        <v>1</v>
      </c>
      <c r="D86" s="252" t="str">
        <f>IFERROR(__xludf.DUMMYFUNCTION("""COMPUTED_VALUE"""),"Hr")</f>
        <v>Hr</v>
      </c>
    </row>
    <row r="87">
      <c r="A87" s="252" t="str">
        <f>IFERROR(__xludf.DUMMYFUNCTION("""COMPUTED_VALUE"""),"EXT-10")</f>
        <v>EXT-10</v>
      </c>
      <c r="B87" s="252">
        <f>IFERROR(__xludf.DUMMYFUNCTION("""COMPUTED_VALUE"""),5006.0)</f>
        <v>5006</v>
      </c>
      <c r="C87" s="252"/>
      <c r="D87" s="252"/>
    </row>
    <row r="88">
      <c r="A88" s="252" t="str">
        <f>IFERROR(__xludf.DUMMYFUNCTION("""COMPUTED_VALUE"""),"G-11")</f>
        <v>G-11</v>
      </c>
      <c r="B88" s="252">
        <f>IFERROR(__xludf.DUMMYFUNCTION("""COMPUTED_VALUE"""),5086.0)</f>
        <v>5086</v>
      </c>
      <c r="C88" s="252"/>
      <c r="D88" s="252" t="str">
        <f>IFERROR(__xludf.DUMMYFUNCTION("""COMPUTED_VALUE"""),"Hr")</f>
        <v>Hr</v>
      </c>
    </row>
    <row r="89">
      <c r="A89" s="252" t="str">
        <f>IFERROR(__xludf.DUMMYFUNCTION("""COMPUTED_VALUE"""),"C-48")</f>
        <v>C-48</v>
      </c>
      <c r="B89" s="252"/>
      <c r="C89" s="252">
        <f>IFERROR(__xludf.DUMMYFUNCTION("""COMPUTED_VALUE"""),25107.0)</f>
        <v>25107</v>
      </c>
      <c r="D89" s="252" t="str">
        <f>IFERROR(__xludf.DUMMYFUNCTION("""COMPUTED_VALUE"""),"Km")</f>
        <v>Km</v>
      </c>
    </row>
    <row r="90">
      <c r="A90" s="252" t="str">
        <f>IFERROR(__xludf.DUMMYFUNCTION("""COMPUTED_VALUE"""),"CT-32")</f>
        <v>CT-32</v>
      </c>
      <c r="B90" s="252">
        <f>IFERROR(__xludf.DUMMYFUNCTION("""COMPUTED_VALUE"""),1.0)</f>
        <v>1</v>
      </c>
      <c r="C90" s="252"/>
      <c r="D90" s="252" t="str">
        <f>IFERROR(__xludf.DUMMYFUNCTION("""COMPUTED_VALUE"""),"Hr")</f>
        <v>Hr</v>
      </c>
    </row>
    <row r="91">
      <c r="A91" s="252" t="str">
        <f>IFERROR(__xludf.DUMMYFUNCTION("""COMPUTED_VALUE"""),"EM-02")</f>
        <v>EM-02</v>
      </c>
      <c r="B91" s="252"/>
      <c r="C91" s="252"/>
      <c r="D91" s="252" t="str">
        <f>IFERROR(__xludf.DUMMYFUNCTION("""COMPUTED_VALUE"""),"N/A")</f>
        <v>N/A</v>
      </c>
    </row>
    <row r="92">
      <c r="A92" s="252" t="str">
        <f>IFERROR(__xludf.DUMMYFUNCTION("""COMPUTED_VALUE"""),"TALLER")</f>
        <v>TALLER</v>
      </c>
      <c r="B92" s="252">
        <f>IFERROR(__xludf.DUMMYFUNCTION("""COMPUTED_VALUE"""),107284.0)</f>
        <v>107284</v>
      </c>
      <c r="C92" s="252">
        <f>IFERROR(__xludf.DUMMYFUNCTION("""COMPUTED_VALUE"""),316785.0)</f>
        <v>316785</v>
      </c>
      <c r="D92" s="252" t="str">
        <f>IFERROR(__xludf.DUMMYFUNCTION("""COMPUTED_VALUE"""),"N/A")</f>
        <v>N/A</v>
      </c>
    </row>
    <row r="93">
      <c r="A93" s="252" t="str">
        <f>IFERROR(__xludf.DUMMYFUNCTION("""COMPUTED_VALUE"""),"RL-01")</f>
        <v>RL-01</v>
      </c>
      <c r="B93" s="252">
        <f>IFERROR(__xludf.DUMMYFUNCTION("""COMPUTED_VALUE"""),2249.0)</f>
        <v>2249</v>
      </c>
      <c r="C93" s="252">
        <f>IFERROR(__xludf.DUMMYFUNCTION("""COMPUTED_VALUE"""),1.0)</f>
        <v>1</v>
      </c>
      <c r="D93" s="252" t="str">
        <f>IFERROR(__xludf.DUMMYFUNCTION("""COMPUTED_VALUE"""),"Hr")</f>
        <v>Hr</v>
      </c>
    </row>
    <row r="94">
      <c r="A94" s="252" t="str">
        <f>IFERROR(__xludf.DUMMYFUNCTION("""COMPUTED_VALUE"""),"EXT-09")</f>
        <v>EXT-09</v>
      </c>
      <c r="B94" s="252">
        <f>IFERROR(__xludf.DUMMYFUNCTION("""COMPUTED_VALUE"""),2525.0)</f>
        <v>2525</v>
      </c>
      <c r="C94" s="252"/>
      <c r="D94" s="252" t="str">
        <f>IFERROR(__xludf.DUMMYFUNCTION("""COMPUTED_VALUE"""),"Hr")</f>
        <v>Hr</v>
      </c>
    </row>
    <row r="95">
      <c r="A95" s="252" t="str">
        <f>IFERROR(__xludf.DUMMYFUNCTION("""COMPUTED_VALUE"""),"CT-35")</f>
        <v>CT-35</v>
      </c>
      <c r="B95" s="252">
        <f>IFERROR(__xludf.DUMMYFUNCTION("""COMPUTED_VALUE"""),906.0)</f>
        <v>906</v>
      </c>
      <c r="C95" s="252">
        <f>IFERROR(__xludf.DUMMYFUNCTION("""COMPUTED_VALUE"""),10520.0)</f>
        <v>10520</v>
      </c>
      <c r="D95" s="252" t="str">
        <f>IFERROR(__xludf.DUMMYFUNCTION("""COMPUTED_VALUE"""),"Hr")</f>
        <v>Hr</v>
      </c>
    </row>
    <row r="96">
      <c r="A96" s="252" t="str">
        <f>IFERROR(__xludf.DUMMYFUNCTION("""COMPUTED_VALUE"""),"TL_01")</f>
        <v>TL_01</v>
      </c>
      <c r="B96" s="252">
        <f>IFERROR(__xludf.DUMMYFUNCTION("""COMPUTED_VALUE"""),6641.0)</f>
        <v>6641</v>
      </c>
      <c r="C96" s="252"/>
      <c r="D96" s="252" t="str">
        <f>IFERROR(__xludf.DUMMYFUNCTION("""COMPUTED_VALUE"""),"N/A")</f>
        <v>N/A</v>
      </c>
    </row>
    <row r="97">
      <c r="A97" s="252" t="str">
        <f>IFERROR(__xludf.DUMMYFUNCTION("""COMPUTED_VALUE"""),"VH-01")</f>
        <v>VH-01</v>
      </c>
      <c r="B97" s="252">
        <f>IFERROR(__xludf.DUMMYFUNCTION("""COMPUTED_VALUE"""),8529.0)</f>
        <v>8529</v>
      </c>
      <c r="C97" s="252"/>
      <c r="D97" s="252" t="str">
        <f>IFERROR(__xludf.DUMMYFUNCTION("""COMPUTED_VALUE"""),"Hr")</f>
        <v>Hr</v>
      </c>
    </row>
    <row r="98">
      <c r="A98" s="252" t="str">
        <f>IFERROR(__xludf.DUMMYFUNCTION("""COMPUTED_VALUE"""),"EM-03")</f>
        <v>EM-03</v>
      </c>
      <c r="B98" s="252"/>
      <c r="C98" s="252"/>
      <c r="D98" s="252" t="str">
        <f>IFERROR(__xludf.DUMMYFUNCTION("""COMPUTED_VALUE"""),"N/A")</f>
        <v>N/A</v>
      </c>
    </row>
    <row r="99">
      <c r="A99" s="252" t="str">
        <f>IFERROR(__xludf.DUMMYFUNCTION("""COMPUTED_VALUE"""),"C-49")</f>
        <v>C-49</v>
      </c>
      <c r="B99" s="252"/>
      <c r="C99" s="252">
        <f>IFERROR(__xludf.DUMMYFUNCTION("""COMPUTED_VALUE"""),338443.0)</f>
        <v>338443</v>
      </c>
      <c r="D99" s="252" t="str">
        <f>IFERROR(__xludf.DUMMYFUNCTION("""COMPUTED_VALUE"""),"Km")</f>
        <v>Km</v>
      </c>
    </row>
    <row r="100">
      <c r="A100" s="252" t="str">
        <f>IFERROR(__xludf.DUMMYFUNCTION("""COMPUTED_VALUE"""),"EXT-13")</f>
        <v>EXT-13</v>
      </c>
      <c r="B100" s="252">
        <f>IFERROR(__xludf.DUMMYFUNCTION("""COMPUTED_VALUE"""),7772.0)</f>
        <v>7772</v>
      </c>
      <c r="C100" s="252"/>
      <c r="D100" s="252" t="str">
        <f>IFERROR(__xludf.DUMMYFUNCTION("""COMPUTED_VALUE"""),"Hr")</f>
        <v>Hr</v>
      </c>
    </row>
    <row r="101">
      <c r="A101" s="252" t="str">
        <f>IFERROR(__xludf.DUMMYFUNCTION("""COMPUTED_VALUE"""),"RC-02")</f>
        <v>RC-02</v>
      </c>
      <c r="B101" s="252">
        <f>IFERROR(__xludf.DUMMYFUNCTION("""COMPUTED_VALUE"""),2092.0)</f>
        <v>2092</v>
      </c>
      <c r="C101" s="252">
        <f>IFERROR(__xludf.DUMMYFUNCTION("""COMPUTED_VALUE"""),1.0)</f>
        <v>1</v>
      </c>
      <c r="D101" s="252" t="str">
        <f>IFERROR(__xludf.DUMMYFUNCTION("""COMPUTED_VALUE"""),"Hr")</f>
        <v>Hr</v>
      </c>
    </row>
    <row r="102">
      <c r="A102" s="252" t="str">
        <f>IFERROR(__xludf.DUMMYFUNCTION("""COMPUTED_VALUE"""),"Batea")</f>
        <v>Batea</v>
      </c>
      <c r="B102" s="252"/>
      <c r="C102" s="252"/>
      <c r="D102" s="252" t="str">
        <f>IFERROR(__xludf.DUMMYFUNCTION("""COMPUTED_VALUE"""),"N/A")</f>
        <v>N/A</v>
      </c>
    </row>
    <row r="103">
      <c r="A103" s="252" t="str">
        <f>IFERROR(__xludf.DUMMYFUNCTION("""COMPUTED_VALUE"""),"GM-03")</f>
        <v>GM-03</v>
      </c>
      <c r="B103" s="252">
        <f>IFERROR(__xludf.DUMMYFUNCTION("""COMPUTED_VALUE"""),4864.0)</f>
        <v>4864</v>
      </c>
      <c r="C103" s="252">
        <f>IFERROR(__xludf.DUMMYFUNCTION("""COMPUTED_VALUE"""),1.0)</f>
        <v>1</v>
      </c>
      <c r="D103" s="252"/>
    </row>
    <row r="104">
      <c r="A104" s="252" t="str">
        <f>IFERROR(__xludf.DUMMYFUNCTION("""COMPUTED_VALUE"""),"CP-05")</f>
        <v>CP-05</v>
      </c>
      <c r="B104" s="252">
        <f>IFERROR(__xludf.DUMMYFUNCTION("""COMPUTED_VALUE"""),1.0)</f>
        <v>1</v>
      </c>
      <c r="C104" s="252">
        <f>IFERROR(__xludf.DUMMYFUNCTION("""COMPUTED_VALUE"""),209398.0)</f>
        <v>209398</v>
      </c>
      <c r="D104" s="252" t="str">
        <f>IFERROR(__xludf.DUMMYFUNCTION("""COMPUTED_VALUE"""),"Km")</f>
        <v>Km</v>
      </c>
    </row>
    <row r="105">
      <c r="A105" s="252" t="str">
        <f>IFERROR(__xludf.DUMMYFUNCTION("""COMPUTED_VALUE"""),"GM-02")</f>
        <v>GM-02</v>
      </c>
      <c r="B105" s="252">
        <f>IFERROR(__xludf.DUMMYFUNCTION("""COMPUTED_VALUE"""),22330.0)</f>
        <v>22330</v>
      </c>
      <c r="C105" s="252">
        <f>IFERROR(__xludf.DUMMYFUNCTION("""COMPUTED_VALUE"""),21591.0)</f>
        <v>21591</v>
      </c>
      <c r="D105" s="252" t="str">
        <f>IFERROR(__xludf.DUMMYFUNCTION("""COMPUTED_VALUE"""),"Hr")</f>
        <v>Hr</v>
      </c>
    </row>
    <row r="106">
      <c r="A106" s="252" t="str">
        <f>IFERROR(__xludf.DUMMYFUNCTION("""COMPUTED_VALUE"""),"TC-01")</f>
        <v>TC-01</v>
      </c>
      <c r="B106" s="252">
        <f>IFERROR(__xludf.DUMMYFUNCTION("""COMPUTED_VALUE"""),2107.0)</f>
        <v>2107</v>
      </c>
      <c r="C106" s="252">
        <f>IFERROR(__xludf.DUMMYFUNCTION("""COMPUTED_VALUE"""),598125.0)</f>
        <v>598125</v>
      </c>
      <c r="D106" s="252" t="str">
        <f>IFERROR(__xludf.DUMMYFUNCTION("""COMPUTED_VALUE"""),"Hr")</f>
        <v>Hr</v>
      </c>
    </row>
    <row r="107">
      <c r="A107" s="252" t="str">
        <f>IFERROR(__xludf.DUMMYFUNCTION("""COMPUTED_VALUE"""),"TC-03")</f>
        <v>TC-03</v>
      </c>
      <c r="B107" s="252">
        <f>IFERROR(__xludf.DUMMYFUNCTION("""COMPUTED_VALUE"""),6268.0)</f>
        <v>6268</v>
      </c>
      <c r="C107" s="252">
        <f>IFERROR(__xludf.DUMMYFUNCTION("""COMPUTED_VALUE"""),245597.0)</f>
        <v>245597</v>
      </c>
      <c r="D107" s="252" t="str">
        <f>IFERROR(__xludf.DUMMYFUNCTION("""COMPUTED_VALUE"""),"Hr")</f>
        <v>Hr</v>
      </c>
    </row>
    <row r="108">
      <c r="A108" s="252" t="str">
        <f>IFERROR(__xludf.DUMMYFUNCTION("""COMPUTED_VALUE"""),"CA-01")</f>
        <v>CA-01</v>
      </c>
      <c r="B108" s="252">
        <f>IFERROR(__xludf.DUMMYFUNCTION("""COMPUTED_VALUE"""),1807.0)</f>
        <v>1807</v>
      </c>
      <c r="C108" s="252">
        <f>IFERROR(__xludf.DUMMYFUNCTION("""COMPUTED_VALUE"""),8764.0)</f>
        <v>8764</v>
      </c>
      <c r="D108" s="252" t="str">
        <f>IFERROR(__xludf.DUMMYFUNCTION("""COMPUTED_VALUE"""),"Hr")</f>
        <v>Hr</v>
      </c>
    </row>
    <row r="109">
      <c r="A109" s="252" t="str">
        <f>IFERROR(__xludf.DUMMYFUNCTION("""COMPUTED_VALUE"""),"CG-01")</f>
        <v>CG-01</v>
      </c>
      <c r="B109" s="252"/>
      <c r="C109" s="252"/>
      <c r="D109" s="252" t="str">
        <f>IFERROR(__xludf.DUMMYFUNCTION("""COMPUTED_VALUE"""),"N/A")</f>
        <v>N/A</v>
      </c>
    </row>
    <row r="110">
      <c r="A110" s="252" t="str">
        <f>IFERROR(__xludf.DUMMYFUNCTION("""COMPUTED_VALUE"""),"CG-02")</f>
        <v>CG-02</v>
      </c>
      <c r="B110" s="252">
        <f>IFERROR(__xludf.DUMMYFUNCTION("""COMPUTED_VALUE"""),112.0)</f>
        <v>112</v>
      </c>
      <c r="C110" s="252">
        <f>IFERROR(__xludf.DUMMYFUNCTION("""COMPUTED_VALUE"""),343113.0)</f>
        <v>343113</v>
      </c>
      <c r="D110" s="252" t="str">
        <f>IFERROR(__xludf.DUMMYFUNCTION("""COMPUTED_VALUE"""),"Hr")</f>
        <v>Hr</v>
      </c>
    </row>
    <row r="111">
      <c r="A111" s="252" t="str">
        <f>IFERROR(__xludf.DUMMYFUNCTION("""COMPUTED_VALUE"""),"CM-01")</f>
        <v>CM-01</v>
      </c>
      <c r="B111" s="252">
        <f>IFERROR(__xludf.DUMMYFUNCTION("""COMPUTED_VALUE"""),25691.0)</f>
        <v>25691</v>
      </c>
      <c r="C111" s="252">
        <f>IFERROR(__xludf.DUMMYFUNCTION("""COMPUTED_VALUE"""),372672.0)</f>
        <v>372672</v>
      </c>
      <c r="D111" s="252" t="str">
        <f>IFERROR(__xludf.DUMMYFUNCTION("""COMPUTED_VALUE"""),"Km")</f>
        <v>Km</v>
      </c>
    </row>
    <row r="112">
      <c r="A112" s="252" t="str">
        <f>IFERROR(__xludf.DUMMYFUNCTION("""COMPUTED_VALUE"""),"CP-01")</f>
        <v>CP-01</v>
      </c>
      <c r="B112" s="252"/>
      <c r="C112" s="252"/>
      <c r="D112" s="252" t="str">
        <f>IFERROR(__xludf.DUMMYFUNCTION("""COMPUTED_VALUE"""),"Km")</f>
        <v>Km</v>
      </c>
    </row>
    <row r="113">
      <c r="A113" s="252" t="str">
        <f>IFERROR(__xludf.DUMMYFUNCTION("""COMPUTED_VALUE"""),"CP-02")</f>
        <v>CP-02</v>
      </c>
      <c r="B113" s="252">
        <f>IFERROR(__xludf.DUMMYFUNCTION("""COMPUTED_VALUE"""),0.0)</f>
        <v>0</v>
      </c>
      <c r="C113" s="252">
        <f>IFERROR(__xludf.DUMMYFUNCTION("""COMPUTED_VALUE"""),317475.0)</f>
        <v>317475</v>
      </c>
      <c r="D113" s="252" t="str">
        <f>IFERROR(__xludf.DUMMYFUNCTION("""COMPUTED_VALUE"""),"Km")</f>
        <v>Km</v>
      </c>
    </row>
    <row r="114">
      <c r="A114" s="252" t="str">
        <f>IFERROR(__xludf.DUMMYFUNCTION("""COMPUTED_VALUE"""),"CP-03")</f>
        <v>CP-03</v>
      </c>
      <c r="B114" s="252">
        <f>IFERROR(__xludf.DUMMYFUNCTION("""COMPUTED_VALUE"""),1.0)</f>
        <v>1</v>
      </c>
      <c r="C114" s="252">
        <f>IFERROR(__xludf.DUMMYFUNCTION("""COMPUTED_VALUE"""),216887.0)</f>
        <v>216887</v>
      </c>
      <c r="D114" s="252" t="str">
        <f>IFERROR(__xludf.DUMMYFUNCTION("""COMPUTED_VALUE"""),"Km")</f>
        <v>Km</v>
      </c>
    </row>
    <row r="115">
      <c r="A115" s="252" t="str">
        <f>IFERROR(__xludf.DUMMYFUNCTION("""COMPUTED_VALUE"""),"CP-04")</f>
        <v>CP-04</v>
      </c>
      <c r="B115" s="252">
        <f>IFERROR(__xludf.DUMMYFUNCTION("""COMPUTED_VALUE"""),1.0)</f>
        <v>1</v>
      </c>
      <c r="C115" s="252">
        <f>IFERROR(__xludf.DUMMYFUNCTION("""COMPUTED_VALUE"""),284014.0)</f>
        <v>284014</v>
      </c>
      <c r="D115" s="252" t="str">
        <f>IFERROR(__xludf.DUMMYFUNCTION("""COMPUTED_VALUE"""),"Km")</f>
        <v>Km</v>
      </c>
    </row>
    <row r="116">
      <c r="A116" s="252" t="str">
        <f>IFERROR(__xludf.DUMMYFUNCTION("""COMPUTED_VALUE"""),"CP-06")</f>
        <v>CP-06</v>
      </c>
      <c r="B116" s="252">
        <f>IFERROR(__xludf.DUMMYFUNCTION("""COMPUTED_VALUE"""),10104.0)</f>
        <v>10104</v>
      </c>
      <c r="C116" s="252">
        <f>IFERROR(__xludf.DUMMYFUNCTION("""COMPUTED_VALUE"""),253164.0)</f>
        <v>253164</v>
      </c>
      <c r="D116" s="252" t="str">
        <f>IFERROR(__xludf.DUMMYFUNCTION("""COMPUTED_VALUE"""),"Hr")</f>
        <v>Hr</v>
      </c>
    </row>
    <row r="117">
      <c r="A117" s="252" t="str">
        <f>IFERROR(__xludf.DUMMYFUNCTION("""COMPUTED_VALUE"""),"CP-07")</f>
        <v>CP-07</v>
      </c>
      <c r="B117" s="252">
        <f>IFERROR(__xludf.DUMMYFUNCTION("""COMPUTED_VALUE"""),20042.0)</f>
        <v>20042</v>
      </c>
      <c r="C117" s="252">
        <f>IFERROR(__xludf.DUMMYFUNCTION("""COMPUTED_VALUE"""),288056.0)</f>
        <v>288056</v>
      </c>
      <c r="D117" s="252" t="str">
        <f>IFERROR(__xludf.DUMMYFUNCTION("""COMPUTED_VALUE"""),"Km")</f>
        <v>Km</v>
      </c>
    </row>
    <row r="118">
      <c r="A118" s="252" t="str">
        <f>IFERROR(__xludf.DUMMYFUNCTION("""COMPUTED_VALUE"""),"CP-08")</f>
        <v>CP-08</v>
      </c>
      <c r="B118" s="252">
        <f>IFERROR(__xludf.DUMMYFUNCTION("""COMPUTED_VALUE"""),3504.0)</f>
        <v>3504</v>
      </c>
      <c r="C118" s="252">
        <f>IFERROR(__xludf.DUMMYFUNCTION("""COMPUTED_VALUE"""),71432.0)</f>
        <v>71432</v>
      </c>
      <c r="D118" s="252" t="str">
        <f>IFERROR(__xludf.DUMMYFUNCTION("""COMPUTED_VALUE"""),"Km")</f>
        <v>Km</v>
      </c>
    </row>
    <row r="119">
      <c r="A119" s="252" t="str">
        <f>IFERROR(__xludf.DUMMYFUNCTION("""COMPUTED_VALUE"""),"CT-03")</f>
        <v>CT-03</v>
      </c>
      <c r="B119" s="252">
        <f>IFERROR(__xludf.DUMMYFUNCTION("""COMPUTED_VALUE"""),752.0)</f>
        <v>752</v>
      </c>
      <c r="C119" s="252">
        <f>IFERROR(__xludf.DUMMYFUNCTION("""COMPUTED_VALUE"""),999999.0)</f>
        <v>999999</v>
      </c>
      <c r="D119" s="252" t="str">
        <f>IFERROR(__xludf.DUMMYFUNCTION("""COMPUTED_VALUE"""),"Hr")</f>
        <v>Hr</v>
      </c>
    </row>
    <row r="120">
      <c r="A120" s="252" t="str">
        <f>IFERROR(__xludf.DUMMYFUNCTION("""COMPUTED_VALUE"""),"CT-06")</f>
        <v>CT-06</v>
      </c>
      <c r="B120" s="252">
        <f>IFERROR(__xludf.DUMMYFUNCTION("""COMPUTED_VALUE"""),22191.0)</f>
        <v>22191</v>
      </c>
      <c r="C120" s="252">
        <f>IFERROR(__xludf.DUMMYFUNCTION("""COMPUTED_VALUE"""),373792.0)</f>
        <v>373792</v>
      </c>
      <c r="D120" s="252" t="str">
        <f>IFERROR(__xludf.DUMMYFUNCTION("""COMPUTED_VALUE"""),"Hr")</f>
        <v>Hr</v>
      </c>
    </row>
    <row r="121">
      <c r="A121" s="252" t="str">
        <f>IFERROR(__xludf.DUMMYFUNCTION("""COMPUTED_VALUE"""),"CT-07")</f>
        <v>CT-07</v>
      </c>
      <c r="B121" s="252">
        <f>IFERROR(__xludf.DUMMYFUNCTION("""COMPUTED_VALUE"""),19673.0)</f>
        <v>19673</v>
      </c>
      <c r="C121" s="252">
        <f>IFERROR(__xludf.DUMMYFUNCTION("""COMPUTED_VALUE"""),389728.0)</f>
        <v>389728</v>
      </c>
      <c r="D121" s="252" t="str">
        <f>IFERROR(__xludf.DUMMYFUNCTION("""COMPUTED_VALUE"""),"Hr")</f>
        <v>Hr</v>
      </c>
    </row>
    <row r="122">
      <c r="A122" s="252" t="str">
        <f>IFERROR(__xludf.DUMMYFUNCTION("""COMPUTED_VALUE"""),"CT-08")</f>
        <v>CT-08</v>
      </c>
      <c r="B122" s="252">
        <f>IFERROR(__xludf.DUMMYFUNCTION("""COMPUTED_VALUE"""),6537.0)</f>
        <v>6537</v>
      </c>
      <c r="C122" s="252">
        <f>IFERROR(__xludf.DUMMYFUNCTION("""COMPUTED_VALUE"""),23129.0)</f>
        <v>23129</v>
      </c>
      <c r="D122" s="252" t="str">
        <f>IFERROR(__xludf.DUMMYFUNCTION("""COMPUTED_VALUE"""),"Hr")</f>
        <v>Hr</v>
      </c>
    </row>
    <row r="123">
      <c r="A123" s="252" t="str">
        <f>IFERROR(__xludf.DUMMYFUNCTION("""COMPUTED_VALUE"""),"CT-09")</f>
        <v>CT-09</v>
      </c>
      <c r="B123" s="252">
        <f>IFERROR(__xludf.DUMMYFUNCTION("""COMPUTED_VALUE"""),3590.0)</f>
        <v>3590</v>
      </c>
      <c r="C123" s="252">
        <f>IFERROR(__xludf.DUMMYFUNCTION("""COMPUTED_VALUE"""),227621.0)</f>
        <v>227621</v>
      </c>
      <c r="D123" s="252" t="str">
        <f>IFERROR(__xludf.DUMMYFUNCTION("""COMPUTED_VALUE"""),"Hr")</f>
        <v>Hr</v>
      </c>
    </row>
    <row r="124">
      <c r="A124" s="252" t="str">
        <f>IFERROR(__xludf.DUMMYFUNCTION("""COMPUTED_VALUE"""),"CT-10")</f>
        <v>CT-10</v>
      </c>
      <c r="B124" s="252">
        <f>IFERROR(__xludf.DUMMYFUNCTION("""COMPUTED_VALUE"""),5326.0)</f>
        <v>5326</v>
      </c>
      <c r="C124" s="252">
        <f>IFERROR(__xludf.DUMMYFUNCTION("""COMPUTED_VALUE"""),459754.0)</f>
        <v>459754</v>
      </c>
      <c r="D124" s="252" t="str">
        <f>IFERROR(__xludf.DUMMYFUNCTION("""COMPUTED_VALUE"""),"Hr")</f>
        <v>Hr</v>
      </c>
    </row>
    <row r="125">
      <c r="A125" s="252" t="str">
        <f>IFERROR(__xludf.DUMMYFUNCTION("""COMPUTED_VALUE"""),"CT-12")</f>
        <v>CT-12</v>
      </c>
      <c r="B125" s="252">
        <f>IFERROR(__xludf.DUMMYFUNCTION("""COMPUTED_VALUE"""),10306.0)</f>
        <v>10306</v>
      </c>
      <c r="C125" s="252">
        <f>IFERROR(__xludf.DUMMYFUNCTION("""COMPUTED_VALUE"""),107021.0)</f>
        <v>107021</v>
      </c>
      <c r="D125" s="252" t="str">
        <f>IFERROR(__xludf.DUMMYFUNCTION("""COMPUTED_VALUE"""),"Hr")</f>
        <v>Hr</v>
      </c>
    </row>
    <row r="126">
      <c r="A126" s="252" t="str">
        <f>IFERROR(__xludf.DUMMYFUNCTION("""COMPUTED_VALUE"""),"CT-13")</f>
        <v>CT-13</v>
      </c>
      <c r="B126" s="252">
        <f>IFERROR(__xludf.DUMMYFUNCTION("""COMPUTED_VALUE"""),5813.0)</f>
        <v>5813</v>
      </c>
      <c r="C126" s="252">
        <f>IFERROR(__xludf.DUMMYFUNCTION("""COMPUTED_VALUE"""),72042.0)</f>
        <v>72042</v>
      </c>
      <c r="D126" s="252" t="str">
        <f>IFERROR(__xludf.DUMMYFUNCTION("""COMPUTED_VALUE"""),"Hr")</f>
        <v>Hr</v>
      </c>
    </row>
    <row r="127">
      <c r="A127" s="252" t="str">
        <f>IFERROR(__xludf.DUMMYFUNCTION("""COMPUTED_VALUE"""),"CT-18")</f>
        <v>CT-18</v>
      </c>
      <c r="B127" s="252">
        <f>IFERROR(__xludf.DUMMYFUNCTION("""COMPUTED_VALUE"""),10924.0)</f>
        <v>10924</v>
      </c>
      <c r="C127" s="252">
        <f>IFERROR(__xludf.DUMMYFUNCTION("""COMPUTED_VALUE"""),103428.0)</f>
        <v>103428</v>
      </c>
      <c r="D127" s="252" t="str">
        <f>IFERROR(__xludf.DUMMYFUNCTION("""COMPUTED_VALUE"""),"Hr")</f>
        <v>Hr</v>
      </c>
    </row>
    <row r="128">
      <c r="A128" s="252" t="str">
        <f>IFERROR(__xludf.DUMMYFUNCTION("""COMPUTED_VALUE"""),"GM-01")</f>
        <v>GM-01</v>
      </c>
      <c r="B128" s="252">
        <f>IFERROR(__xludf.DUMMYFUNCTION("""COMPUTED_VALUE"""),738.0)</f>
        <v>738</v>
      </c>
      <c r="C128" s="252">
        <f>IFERROR(__xludf.DUMMYFUNCTION("""COMPUTED_VALUE"""),12.0)</f>
        <v>12</v>
      </c>
      <c r="D128" s="252" t="str">
        <f>IFERROR(__xludf.DUMMYFUNCTION("""COMPUTED_VALUE"""),"Hr")</f>
        <v>Hr</v>
      </c>
    </row>
    <row r="129">
      <c r="A129" s="252" t="str">
        <f>IFERROR(__xludf.DUMMYFUNCTION("""COMPUTED_VALUE"""),"TC-02")</f>
        <v>TC-02</v>
      </c>
      <c r="B129" s="252">
        <f>IFERROR(__xludf.DUMMYFUNCTION("""COMPUTED_VALUE"""),1.0)</f>
        <v>1</v>
      </c>
      <c r="C129" s="252">
        <f>IFERROR(__xludf.DUMMYFUNCTION("""COMPUTED_VALUE"""),688051.0)</f>
        <v>688051</v>
      </c>
      <c r="D129" s="252" t="str">
        <f>IFERROR(__xludf.DUMMYFUNCTION("""COMPUTED_VALUE"""),"Km")</f>
        <v>Km</v>
      </c>
    </row>
    <row r="130">
      <c r="A130" s="252" t="str">
        <f>IFERROR(__xludf.DUMMYFUNCTION("""COMPUTED_VALUE"""),"CT-14")</f>
        <v>CT-14</v>
      </c>
      <c r="B130" s="252">
        <f>IFERROR(__xludf.DUMMYFUNCTION("""COMPUTED_VALUE"""),11827.0)</f>
        <v>11827</v>
      </c>
      <c r="C130" s="252">
        <f>IFERROR(__xludf.DUMMYFUNCTION("""COMPUTED_VALUE"""),363044.0)</f>
        <v>363044</v>
      </c>
      <c r="D130" s="252" t="str">
        <f>IFERROR(__xludf.DUMMYFUNCTION("""COMPUTED_VALUE"""),"Hr")</f>
        <v>Hr</v>
      </c>
    </row>
    <row r="131">
      <c r="A131" s="252" t="str">
        <f>IFERROR(__xludf.DUMMYFUNCTION("""COMPUTED_VALUE"""),"CT-15")</f>
        <v>CT-15</v>
      </c>
      <c r="B131" s="252">
        <f>IFERROR(__xludf.DUMMYFUNCTION("""COMPUTED_VALUE"""),11540.0)</f>
        <v>11540</v>
      </c>
      <c r="C131" s="252">
        <f>IFERROR(__xludf.DUMMYFUNCTION("""COMPUTED_VALUE"""),144888.0)</f>
        <v>144888</v>
      </c>
      <c r="D131" s="252" t="str">
        <f>IFERROR(__xludf.DUMMYFUNCTION("""COMPUTED_VALUE"""),"Hr")</f>
        <v>Hr</v>
      </c>
    </row>
    <row r="132">
      <c r="A132" s="252" t="str">
        <f>IFERROR(__xludf.DUMMYFUNCTION("""COMPUTED_VALUE"""),"CT-16")</f>
        <v>CT-16</v>
      </c>
      <c r="B132" s="252">
        <f>IFERROR(__xludf.DUMMYFUNCTION("""COMPUTED_VALUE"""),99334.0)</f>
        <v>99334</v>
      </c>
      <c r="C132" s="252">
        <f>IFERROR(__xludf.DUMMYFUNCTION("""COMPUTED_VALUE"""),7686923.0)</f>
        <v>7686923</v>
      </c>
      <c r="D132" s="252" t="str">
        <f>IFERROR(__xludf.DUMMYFUNCTION("""COMPUTED_VALUE"""),"Hr")</f>
        <v>Hr</v>
      </c>
    </row>
    <row r="133">
      <c r="A133" s="252" t="str">
        <f>IFERROR(__xludf.DUMMYFUNCTION("""COMPUTED_VALUE"""),"G-01")</f>
        <v>G-01</v>
      </c>
      <c r="B133" s="252">
        <f>IFERROR(__xludf.DUMMYFUNCTION("""COMPUTED_VALUE"""),4347.0)</f>
        <v>4347</v>
      </c>
      <c r="C133" s="252">
        <f>IFERROR(__xludf.DUMMYFUNCTION("""COMPUTED_VALUE"""),1.0)</f>
        <v>1</v>
      </c>
      <c r="D133" s="252" t="str">
        <f>IFERROR(__xludf.DUMMYFUNCTION("""COMPUTED_VALUE"""),"Hr")</f>
        <v>Hr</v>
      </c>
    </row>
    <row r="134">
      <c r="A134" s="252" t="str">
        <f>IFERROR(__xludf.DUMMYFUNCTION("""COMPUTED_VALUE"""),"G-02")</f>
        <v>G-02</v>
      </c>
      <c r="B134" s="252"/>
      <c r="C134" s="252"/>
      <c r="D134" s="252" t="str">
        <f>IFERROR(__xludf.DUMMYFUNCTION("""COMPUTED_VALUE"""),"N/A")</f>
        <v>N/A</v>
      </c>
    </row>
    <row r="135">
      <c r="A135" s="252" t="str">
        <f>IFERROR(__xludf.DUMMYFUNCTION("""COMPUTED_VALUE"""),"G-03")</f>
        <v>G-03</v>
      </c>
      <c r="B135" s="252">
        <f>IFERROR(__xludf.DUMMYFUNCTION("""COMPUTED_VALUE"""),19017.0)</f>
        <v>19017</v>
      </c>
      <c r="C135" s="252">
        <f>IFERROR(__xludf.DUMMYFUNCTION("""COMPUTED_VALUE"""),1.0)</f>
        <v>1</v>
      </c>
      <c r="D135" s="252" t="str">
        <f>IFERROR(__xludf.DUMMYFUNCTION("""COMPUTED_VALUE"""),"Hr")</f>
        <v>Hr</v>
      </c>
    </row>
    <row r="136">
      <c r="A136" s="252" t="str">
        <f>IFERROR(__xludf.DUMMYFUNCTION("""COMPUTED_VALUE"""),"G-06")</f>
        <v>G-06</v>
      </c>
      <c r="B136" s="252">
        <f>IFERROR(__xludf.DUMMYFUNCTION("""COMPUTED_VALUE"""),20656.0)</f>
        <v>20656</v>
      </c>
      <c r="C136" s="252"/>
      <c r="D136" s="252" t="str">
        <f>IFERROR(__xludf.DUMMYFUNCTION("""COMPUTED_VALUE"""),"Hr")</f>
        <v>Hr</v>
      </c>
    </row>
    <row r="137">
      <c r="A137" s="252" t="str">
        <f>IFERROR(__xludf.DUMMYFUNCTION("""COMPUTED_VALUE"""),"G-07")</f>
        <v>G-07</v>
      </c>
      <c r="B137" s="252">
        <f>IFERROR(__xludf.DUMMYFUNCTION("""COMPUTED_VALUE"""),5707.0)</f>
        <v>5707</v>
      </c>
      <c r="C137" s="252"/>
      <c r="D137" s="252" t="str">
        <f>IFERROR(__xludf.DUMMYFUNCTION("""COMPUTED_VALUE"""),"Hr")</f>
        <v>Hr</v>
      </c>
    </row>
    <row r="138">
      <c r="A138" s="252" t="str">
        <f>IFERROR(__xludf.DUMMYFUNCTION("""COMPUTED_VALUE"""),"BD-01")</f>
        <v>BD-01</v>
      </c>
      <c r="B138" s="252">
        <f>IFERROR(__xludf.DUMMYFUNCTION("""COMPUTED_VALUE"""),1753.0)</f>
        <v>1753</v>
      </c>
      <c r="C138" s="252"/>
      <c r="D138" s="252" t="str">
        <f>IFERROR(__xludf.DUMMYFUNCTION("""COMPUTED_VALUE"""),"Hr")</f>
        <v>Hr</v>
      </c>
    </row>
    <row r="139">
      <c r="A139" s="252" t="str">
        <f>IFERROR(__xludf.DUMMYFUNCTION("""COMPUTED_VALUE"""),"BD-02")</f>
        <v>BD-02</v>
      </c>
      <c r="B139" s="252">
        <f>IFERROR(__xludf.DUMMYFUNCTION("""COMPUTED_VALUE"""),12396.0)</f>
        <v>12396</v>
      </c>
      <c r="C139" s="252">
        <f>IFERROR(__xludf.DUMMYFUNCTION("""COMPUTED_VALUE"""),1.0)</f>
        <v>1</v>
      </c>
      <c r="D139" s="252" t="str">
        <f>IFERROR(__xludf.DUMMYFUNCTION("""COMPUTED_VALUE"""),"Hr")</f>
        <v>Hr</v>
      </c>
    </row>
    <row r="140">
      <c r="A140" s="252" t="str">
        <f>IFERROR(__xludf.DUMMYFUNCTION("""COMPUTED_VALUE"""),"BD-03")</f>
        <v>BD-03</v>
      </c>
      <c r="B140" s="252">
        <f>IFERROR(__xludf.DUMMYFUNCTION("""COMPUTED_VALUE"""),11740.0)</f>
        <v>11740</v>
      </c>
      <c r="C140" s="252">
        <f>IFERROR(__xludf.DUMMYFUNCTION("""COMPUTED_VALUE"""),1.0)</f>
        <v>1</v>
      </c>
      <c r="D140" s="252" t="str">
        <f>IFERROR(__xludf.DUMMYFUNCTION("""COMPUTED_VALUE"""),"Hr")</f>
        <v>Hr</v>
      </c>
    </row>
    <row r="141">
      <c r="A141" s="252" t="str">
        <f>IFERROR(__xludf.DUMMYFUNCTION("""COMPUTED_VALUE"""),"CF-03")</f>
        <v>CF-03</v>
      </c>
      <c r="B141" s="252">
        <f>IFERROR(__xludf.DUMMYFUNCTION("""COMPUTED_VALUE"""),11346.0)</f>
        <v>11346</v>
      </c>
      <c r="C141" s="252">
        <f>IFERROR(__xludf.DUMMYFUNCTION("""COMPUTED_VALUE"""),1.0)</f>
        <v>1</v>
      </c>
      <c r="D141" s="252" t="str">
        <f>IFERROR(__xludf.DUMMYFUNCTION("""COMPUTED_VALUE"""),"Hr")</f>
        <v>Hr</v>
      </c>
    </row>
    <row r="142">
      <c r="A142" s="252" t="str">
        <f>IFERROR(__xludf.DUMMYFUNCTION("""COMPUTED_VALUE"""),"CF-04")</f>
        <v>CF-04</v>
      </c>
      <c r="B142" s="252">
        <f>IFERROR(__xludf.DUMMYFUNCTION("""COMPUTED_VALUE"""),7466.0)</f>
        <v>7466</v>
      </c>
      <c r="C142" s="252">
        <f>IFERROR(__xludf.DUMMYFUNCTION("""COMPUTED_VALUE"""),1.0)</f>
        <v>1</v>
      </c>
      <c r="D142" s="252" t="str">
        <f>IFERROR(__xludf.DUMMYFUNCTION("""COMPUTED_VALUE"""),"Hr")</f>
        <v>Hr</v>
      </c>
    </row>
    <row r="143">
      <c r="A143" s="252" t="str">
        <f>IFERROR(__xludf.DUMMYFUNCTION("""COMPUTED_VALUE"""),"CF-05")</f>
        <v>CF-05</v>
      </c>
      <c r="B143" s="252">
        <f>IFERROR(__xludf.DUMMYFUNCTION("""COMPUTED_VALUE"""),6372.0)</f>
        <v>6372</v>
      </c>
      <c r="C143" s="252">
        <f>IFERROR(__xludf.DUMMYFUNCTION("""COMPUTED_VALUE"""),1.0)</f>
        <v>1</v>
      </c>
      <c r="D143" s="252" t="str">
        <f>IFERROR(__xludf.DUMMYFUNCTION("""COMPUTED_VALUE"""),"Hr")</f>
        <v>Hr</v>
      </c>
    </row>
    <row r="144">
      <c r="A144" s="252" t="str">
        <f>IFERROR(__xludf.DUMMYFUNCTION("""COMPUTED_VALUE"""),"CF-06")</f>
        <v>CF-06</v>
      </c>
      <c r="B144" s="252">
        <f>IFERROR(__xludf.DUMMYFUNCTION("""COMPUTED_VALUE"""),10723.0)</f>
        <v>10723</v>
      </c>
      <c r="C144" s="252">
        <f>IFERROR(__xludf.DUMMYFUNCTION("""COMPUTED_VALUE"""),8832.0)</f>
        <v>8832</v>
      </c>
      <c r="D144" s="252" t="str">
        <f>IFERROR(__xludf.DUMMYFUNCTION("""COMPUTED_VALUE"""),"Hr")</f>
        <v>Hr</v>
      </c>
    </row>
    <row r="145">
      <c r="A145" s="252" t="str">
        <f>IFERROR(__xludf.DUMMYFUNCTION("""COMPUTED_VALUE"""),"EX-02")</f>
        <v>EX-02</v>
      </c>
      <c r="B145" s="252">
        <f>IFERROR(__xludf.DUMMYFUNCTION("""COMPUTED_VALUE"""),1.0)</f>
        <v>1</v>
      </c>
      <c r="C145" s="252">
        <f>IFERROR(__xludf.DUMMYFUNCTION("""COMPUTED_VALUE"""),1.0)</f>
        <v>1</v>
      </c>
      <c r="D145" s="252" t="str">
        <f>IFERROR(__xludf.DUMMYFUNCTION("""COMPUTED_VALUE"""),"Hr")</f>
        <v>Hr</v>
      </c>
    </row>
    <row r="146">
      <c r="A146" s="252" t="str">
        <f>IFERROR(__xludf.DUMMYFUNCTION("""COMPUTED_VALUE"""),"EX-03")</f>
        <v>EX-03</v>
      </c>
      <c r="B146" s="252">
        <f>IFERROR(__xludf.DUMMYFUNCTION("""COMPUTED_VALUE"""),8630.0)</f>
        <v>8630</v>
      </c>
      <c r="C146" s="252">
        <f>IFERROR(__xludf.DUMMYFUNCTION("""COMPUTED_VALUE"""),1.0)</f>
        <v>1</v>
      </c>
      <c r="D146" s="252" t="str">
        <f>IFERROR(__xludf.DUMMYFUNCTION("""COMPUTED_VALUE"""),"Hr")</f>
        <v>Hr</v>
      </c>
    </row>
    <row r="147">
      <c r="A147" s="252" t="str">
        <f>IFERROR(__xludf.DUMMYFUNCTION("""COMPUTED_VALUE"""),"EX-06")</f>
        <v>EX-06</v>
      </c>
      <c r="B147" s="252">
        <f>IFERROR(__xludf.DUMMYFUNCTION("""COMPUTED_VALUE"""),16210.0)</f>
        <v>16210</v>
      </c>
      <c r="C147" s="252">
        <f>IFERROR(__xludf.DUMMYFUNCTION("""COMPUTED_VALUE"""),1.0)</f>
        <v>1</v>
      </c>
      <c r="D147" s="252" t="str">
        <f>IFERROR(__xludf.DUMMYFUNCTION("""COMPUTED_VALUE"""),"Hr")</f>
        <v>Hr</v>
      </c>
    </row>
    <row r="148">
      <c r="A148" s="252" t="str">
        <f>IFERROR(__xludf.DUMMYFUNCTION("""COMPUTED_VALUE"""),"EX-07")</f>
        <v>EX-07</v>
      </c>
      <c r="B148" s="252">
        <f>IFERROR(__xludf.DUMMYFUNCTION("""COMPUTED_VALUE"""),16274.0)</f>
        <v>16274</v>
      </c>
      <c r="C148" s="252">
        <f>IFERROR(__xludf.DUMMYFUNCTION("""COMPUTED_VALUE"""),1.0)</f>
        <v>1</v>
      </c>
      <c r="D148" s="252" t="str">
        <f>IFERROR(__xludf.DUMMYFUNCTION("""COMPUTED_VALUE"""),"Hr")</f>
        <v>Hr</v>
      </c>
    </row>
    <row r="149">
      <c r="A149" s="252" t="str">
        <f>IFERROR(__xludf.DUMMYFUNCTION("""COMPUTED_VALUE"""),"EX-08")</f>
        <v>EX-08</v>
      </c>
      <c r="B149" s="252">
        <f>IFERROR(__xludf.DUMMYFUNCTION("""COMPUTED_VALUE"""),11023.0)</f>
        <v>11023</v>
      </c>
      <c r="C149" s="252">
        <f>IFERROR(__xludf.DUMMYFUNCTION("""COMPUTED_VALUE"""),1.0)</f>
        <v>1</v>
      </c>
      <c r="D149" s="252" t="str">
        <f>IFERROR(__xludf.DUMMYFUNCTION("""COMPUTED_VALUE"""),"Hr")</f>
        <v>Hr</v>
      </c>
    </row>
    <row r="150">
      <c r="A150" s="252" t="str">
        <f>IFERROR(__xludf.DUMMYFUNCTION("""COMPUTED_VALUE"""),"EX-09")</f>
        <v>EX-09</v>
      </c>
      <c r="B150" s="252">
        <f>IFERROR(__xludf.DUMMYFUNCTION("""COMPUTED_VALUE"""),11734.0)</f>
        <v>11734</v>
      </c>
      <c r="C150" s="252">
        <f>IFERROR(__xludf.DUMMYFUNCTION("""COMPUTED_VALUE"""),9005.0)</f>
        <v>9005</v>
      </c>
      <c r="D150" s="252" t="str">
        <f>IFERROR(__xludf.DUMMYFUNCTION("""COMPUTED_VALUE"""),"Hr")</f>
        <v>Hr</v>
      </c>
    </row>
    <row r="151">
      <c r="A151" s="252" t="str">
        <f>IFERROR(__xludf.DUMMYFUNCTION("""COMPUTED_VALUE"""),"EX-11")</f>
        <v>EX-11</v>
      </c>
      <c r="B151" s="252">
        <f>IFERROR(__xludf.DUMMYFUNCTION("""COMPUTED_VALUE"""),11096.0)</f>
        <v>11096</v>
      </c>
      <c r="C151" s="252">
        <f>IFERROR(__xludf.DUMMYFUNCTION("""COMPUTED_VALUE"""),1.0)</f>
        <v>1</v>
      </c>
      <c r="D151" s="252" t="str">
        <f>IFERROR(__xludf.DUMMYFUNCTION("""COMPUTED_VALUE"""),"Hr")</f>
        <v>Hr</v>
      </c>
    </row>
    <row r="152">
      <c r="A152" s="252" t="str">
        <f>IFERROR(__xludf.DUMMYFUNCTION("""COMPUTED_VALUE"""),"EX-13")</f>
        <v>EX-13</v>
      </c>
      <c r="B152" s="252">
        <f>IFERROR(__xludf.DUMMYFUNCTION("""COMPUTED_VALUE"""),11376.0)</f>
        <v>11376</v>
      </c>
      <c r="C152" s="252"/>
      <c r="D152" s="252" t="str">
        <f>IFERROR(__xludf.DUMMYFUNCTION("""COMPUTED_VALUE"""),"Hr")</f>
        <v>Hr</v>
      </c>
    </row>
    <row r="153">
      <c r="A153" s="252" t="str">
        <f>IFERROR(__xludf.DUMMYFUNCTION("""COMPUTED_VALUE"""),"EX-14")</f>
        <v>EX-14</v>
      </c>
      <c r="B153" s="252">
        <f>IFERROR(__xludf.DUMMYFUNCTION("""COMPUTED_VALUE"""),9932.0)</f>
        <v>9932</v>
      </c>
      <c r="C153" s="252">
        <f>IFERROR(__xludf.DUMMYFUNCTION("""COMPUTED_VALUE"""),1.0)</f>
        <v>1</v>
      </c>
      <c r="D153" s="252" t="str">
        <f>IFERROR(__xludf.DUMMYFUNCTION("""COMPUTED_VALUE"""),"Hr")</f>
        <v>Hr</v>
      </c>
    </row>
    <row r="154">
      <c r="A154" s="252" t="str">
        <f>IFERROR(__xludf.DUMMYFUNCTION("""COMPUTED_VALUE"""),"EX-15")</f>
        <v>EX-15</v>
      </c>
      <c r="B154" s="252">
        <f>IFERROR(__xludf.DUMMYFUNCTION("""COMPUTED_VALUE"""),3801.0)</f>
        <v>3801</v>
      </c>
      <c r="C154" s="252">
        <f>IFERROR(__xludf.DUMMYFUNCTION("""COMPUTED_VALUE"""),1.0)</f>
        <v>1</v>
      </c>
      <c r="D154" s="252" t="str">
        <f>IFERROR(__xludf.DUMMYFUNCTION("""COMPUTED_VALUE"""),"Hr")</f>
        <v>Hr</v>
      </c>
    </row>
    <row r="155">
      <c r="A155" s="252" t="str">
        <f>IFERROR(__xludf.DUMMYFUNCTION("""COMPUTED_VALUE"""),"EX-16")</f>
        <v>EX-16</v>
      </c>
      <c r="B155" s="252">
        <f>IFERROR(__xludf.DUMMYFUNCTION("""COMPUTED_VALUE"""),4242.0)</f>
        <v>4242</v>
      </c>
      <c r="C155" s="252">
        <f>IFERROR(__xludf.DUMMYFUNCTION("""COMPUTED_VALUE"""),1715.0)</f>
        <v>1715</v>
      </c>
      <c r="D155" s="252" t="str">
        <f>IFERROR(__xludf.DUMMYFUNCTION("""COMPUTED_VALUE"""),"Hr")</f>
        <v>Hr</v>
      </c>
    </row>
    <row r="156">
      <c r="A156" s="252" t="str">
        <f>IFERROR(__xludf.DUMMYFUNCTION("""COMPUTED_VALUE"""),"MC-01")</f>
        <v>MC-01</v>
      </c>
      <c r="B156" s="252"/>
      <c r="C156" s="252"/>
      <c r="D156" s="252" t="str">
        <f>IFERROR(__xludf.DUMMYFUNCTION("""COMPUTED_VALUE"""),"N/A")</f>
        <v>N/A</v>
      </c>
    </row>
    <row r="157">
      <c r="A157" s="252" t="str">
        <f>IFERROR(__xludf.DUMMYFUNCTION("""COMPUTED_VALUE"""),"MC-02")</f>
        <v>MC-02</v>
      </c>
      <c r="B157" s="252"/>
      <c r="C157" s="252"/>
      <c r="D157" s="252" t="str">
        <f>IFERROR(__xludf.DUMMYFUNCTION("""COMPUTED_VALUE"""),"N/A")</f>
        <v>N/A</v>
      </c>
    </row>
    <row r="158">
      <c r="A158" s="252" t="str">
        <f>IFERROR(__xludf.DUMMYFUNCTION("""COMPUTED_VALUE"""),"MC-03")</f>
        <v>MC-03</v>
      </c>
      <c r="B158" s="252">
        <f>IFERROR(__xludf.DUMMYFUNCTION("""COMPUTED_VALUE"""),18715.0)</f>
        <v>18715</v>
      </c>
      <c r="C158" s="252"/>
      <c r="D158" s="252" t="str">
        <f>IFERROR(__xludf.DUMMYFUNCTION("""COMPUTED_VALUE"""),"Hr")</f>
        <v>Hr</v>
      </c>
    </row>
    <row r="159">
      <c r="A159" s="252" t="str">
        <f>IFERROR(__xludf.DUMMYFUNCTION("""COMPUTED_VALUE"""),"MN-01")</f>
        <v>MN-01</v>
      </c>
      <c r="B159" s="252">
        <f>IFERROR(__xludf.DUMMYFUNCTION("""COMPUTED_VALUE"""),15343.0)</f>
        <v>15343</v>
      </c>
      <c r="C159" s="252"/>
      <c r="D159" s="252" t="str">
        <f>IFERROR(__xludf.DUMMYFUNCTION("""COMPUTED_VALUE"""),"Hr")</f>
        <v>Hr</v>
      </c>
    </row>
    <row r="160">
      <c r="A160" s="252" t="str">
        <f>IFERROR(__xludf.DUMMYFUNCTION("""COMPUTED_VALUE"""),"MN-02")</f>
        <v>MN-02</v>
      </c>
      <c r="B160" s="252">
        <f>IFERROR(__xludf.DUMMYFUNCTION("""COMPUTED_VALUE"""),13151.0)</f>
        <v>13151</v>
      </c>
      <c r="C160" s="252">
        <f>IFERROR(__xludf.DUMMYFUNCTION("""COMPUTED_VALUE"""),63853.0)</f>
        <v>63853</v>
      </c>
      <c r="D160" s="252" t="str">
        <f>IFERROR(__xludf.DUMMYFUNCTION("""COMPUTED_VALUE"""),"Hr")</f>
        <v>Hr</v>
      </c>
    </row>
    <row r="161">
      <c r="A161" s="252" t="str">
        <f>IFERROR(__xludf.DUMMYFUNCTION("""COMPUTED_VALUE"""),"MN-03")</f>
        <v>MN-03</v>
      </c>
      <c r="B161" s="252">
        <f>IFERROR(__xludf.DUMMYFUNCTION("""COMPUTED_VALUE"""),8299.0)</f>
        <v>8299</v>
      </c>
      <c r="C161" s="252">
        <f>IFERROR(__xludf.DUMMYFUNCTION("""COMPUTED_VALUE"""),6834.0)</f>
        <v>6834</v>
      </c>
      <c r="D161" s="252" t="str">
        <f>IFERROR(__xludf.DUMMYFUNCTION("""COMPUTED_VALUE"""),"Hr")</f>
        <v>Hr</v>
      </c>
    </row>
    <row r="162">
      <c r="A162" s="252" t="str">
        <f>IFERROR(__xludf.DUMMYFUNCTION("""COMPUTED_VALUE"""),"MX-01")</f>
        <v>MX-01</v>
      </c>
      <c r="B162" s="252"/>
      <c r="C162" s="252"/>
      <c r="D162" s="252" t="str">
        <f>IFERROR(__xludf.DUMMYFUNCTION("""COMPUTED_VALUE"""),"Hr")</f>
        <v>Hr</v>
      </c>
    </row>
    <row r="163">
      <c r="A163" s="252" t="str">
        <f>IFERROR(__xludf.DUMMYFUNCTION("""COMPUTED_VALUE"""),"MX-02")</f>
        <v>MX-02</v>
      </c>
      <c r="B163" s="252">
        <f>IFERROR(__xludf.DUMMYFUNCTION("""COMPUTED_VALUE"""),7306.0)</f>
        <v>7306</v>
      </c>
      <c r="C163" s="252">
        <f>IFERROR(__xludf.DUMMYFUNCTION("""COMPUTED_VALUE"""),1555.0)</f>
        <v>1555</v>
      </c>
      <c r="D163" s="252" t="str">
        <f>IFERROR(__xludf.DUMMYFUNCTION("""COMPUTED_VALUE"""),"Hr")</f>
        <v>Hr</v>
      </c>
    </row>
    <row r="164">
      <c r="A164" s="252" t="str">
        <f>IFERROR(__xludf.DUMMYFUNCTION("""COMPUTED_VALUE"""),"MX-03")</f>
        <v>MX-03</v>
      </c>
      <c r="B164" s="252">
        <f>IFERROR(__xludf.DUMMYFUNCTION("""COMPUTED_VALUE"""),3426.0)</f>
        <v>3426</v>
      </c>
      <c r="C164" s="252">
        <f>IFERROR(__xludf.DUMMYFUNCTION("""COMPUTED_VALUE"""),1.0)</f>
        <v>1</v>
      </c>
      <c r="D164" s="252" t="str">
        <f>IFERROR(__xludf.DUMMYFUNCTION("""COMPUTED_VALUE"""),"Hr")</f>
        <v>Hr</v>
      </c>
    </row>
    <row r="165">
      <c r="A165" s="252" t="str">
        <f>IFERROR(__xludf.DUMMYFUNCTION("""COMPUTED_VALUE"""),"P-01")</f>
        <v>P-01</v>
      </c>
      <c r="B165" s="252">
        <f>IFERROR(__xludf.DUMMYFUNCTION("""COMPUTED_VALUE"""),1.0)</f>
        <v>1</v>
      </c>
      <c r="C165" s="252">
        <f>IFERROR(__xludf.DUMMYFUNCTION("""COMPUTED_VALUE"""),1.0)</f>
        <v>1</v>
      </c>
      <c r="D165" s="252" t="str">
        <f>IFERROR(__xludf.DUMMYFUNCTION("""COMPUTED_VALUE"""),"Hr")</f>
        <v>Hr</v>
      </c>
    </row>
    <row r="166">
      <c r="A166" s="252" t="str">
        <f>IFERROR(__xludf.DUMMYFUNCTION("""COMPUTED_VALUE"""),"P-02")</f>
        <v>P-02</v>
      </c>
      <c r="B166" s="252">
        <f>IFERROR(__xludf.DUMMYFUNCTION("""COMPUTED_VALUE"""),8195.0)</f>
        <v>8195</v>
      </c>
      <c r="C166" s="252"/>
      <c r="D166" s="252" t="str">
        <f>IFERROR(__xludf.DUMMYFUNCTION("""COMPUTED_VALUE"""),"Hr")</f>
        <v>Hr</v>
      </c>
    </row>
    <row r="167">
      <c r="A167" s="252" t="str">
        <f>IFERROR(__xludf.DUMMYFUNCTION("""COMPUTED_VALUE"""),"P-03")</f>
        <v>P-03</v>
      </c>
      <c r="B167" s="252">
        <f>IFERROR(__xludf.DUMMYFUNCTION("""COMPUTED_VALUE"""),1198.0)</f>
        <v>1198</v>
      </c>
      <c r="C167" s="252"/>
      <c r="D167" s="252" t="str">
        <f>IFERROR(__xludf.DUMMYFUNCTION("""COMPUTED_VALUE"""),"Hr")</f>
        <v>Hr</v>
      </c>
    </row>
    <row r="168">
      <c r="A168" s="252" t="str">
        <f>IFERROR(__xludf.DUMMYFUNCTION("""COMPUTED_VALUE"""),"P-04")</f>
        <v>P-04</v>
      </c>
      <c r="B168" s="252">
        <f>IFERROR(__xludf.DUMMYFUNCTION("""COMPUTED_VALUE"""),3003.0)</f>
        <v>3003</v>
      </c>
      <c r="C168" s="252"/>
      <c r="D168" s="252" t="str">
        <f>IFERROR(__xludf.DUMMYFUNCTION("""COMPUTED_VALUE"""),"Hr")</f>
        <v>Hr</v>
      </c>
    </row>
    <row r="169">
      <c r="A169" s="252" t="str">
        <f>IFERROR(__xludf.DUMMYFUNCTION("""COMPUTED_VALUE"""),"RC-01")</f>
        <v>RC-01</v>
      </c>
      <c r="B169" s="252">
        <f>IFERROR(__xludf.DUMMYFUNCTION("""COMPUTED_VALUE"""),8531.0)</f>
        <v>8531</v>
      </c>
      <c r="C169" s="252">
        <f>IFERROR(__xludf.DUMMYFUNCTION("""COMPUTED_VALUE"""),1.0)</f>
        <v>1</v>
      </c>
      <c r="D169" s="252" t="str">
        <f>IFERROR(__xludf.DUMMYFUNCTION("""COMPUTED_VALUE"""),"Hr")</f>
        <v>Hr</v>
      </c>
    </row>
    <row r="170">
      <c r="A170" s="252" t="str">
        <f>IFERROR(__xludf.DUMMYFUNCTION("""COMPUTED_VALUE"""),"RX-01")</f>
        <v>RX-01</v>
      </c>
      <c r="B170" s="252">
        <f>IFERROR(__xludf.DUMMYFUNCTION("""COMPUTED_VALUE"""),21109.0)</f>
        <v>21109</v>
      </c>
      <c r="C170" s="252"/>
      <c r="D170" s="252" t="str">
        <f>IFERROR(__xludf.DUMMYFUNCTION("""COMPUTED_VALUE"""),"Hr")</f>
        <v>Hr</v>
      </c>
    </row>
    <row r="171">
      <c r="A171" s="252" t="str">
        <f>IFERROR(__xludf.DUMMYFUNCTION("""COMPUTED_VALUE"""),"RX-02")</f>
        <v>RX-02</v>
      </c>
      <c r="B171" s="252">
        <f>IFERROR(__xludf.DUMMYFUNCTION("""COMPUTED_VALUE"""),711.0)</f>
        <v>711</v>
      </c>
      <c r="C171" s="252">
        <f>IFERROR(__xludf.DUMMYFUNCTION("""COMPUTED_VALUE"""),1.0)</f>
        <v>1</v>
      </c>
      <c r="D171" s="252" t="str">
        <f>IFERROR(__xludf.DUMMYFUNCTION("""COMPUTED_VALUE"""),"Hr")</f>
        <v>Hr</v>
      </c>
    </row>
    <row r="172">
      <c r="A172" s="252" t="str">
        <f>IFERROR(__xludf.DUMMYFUNCTION("""COMPUTED_VALUE"""),"RX-03")</f>
        <v>RX-03</v>
      </c>
      <c r="B172" s="252">
        <f>IFERROR(__xludf.DUMMYFUNCTION("""COMPUTED_VALUE"""),3503.0)</f>
        <v>3503</v>
      </c>
      <c r="C172" s="252">
        <f>IFERROR(__xludf.DUMMYFUNCTION("""COMPUTED_VALUE"""),118698.0)</f>
        <v>118698</v>
      </c>
      <c r="D172" s="252" t="str">
        <f>IFERROR(__xludf.DUMMYFUNCTION("""COMPUTED_VALUE"""),"Hr")</f>
        <v>Hr</v>
      </c>
    </row>
    <row r="173">
      <c r="A173" s="252" t="str">
        <f>IFERROR(__xludf.DUMMYFUNCTION("""COMPUTED_VALUE"""),"RX-04")</f>
        <v>RX-04</v>
      </c>
      <c r="B173" s="252">
        <f>IFERROR(__xludf.DUMMYFUNCTION("""COMPUTED_VALUE"""),16512.0)</f>
        <v>16512</v>
      </c>
      <c r="C173" s="252">
        <f>IFERROR(__xludf.DUMMYFUNCTION("""COMPUTED_VALUE"""),1.0)</f>
        <v>1</v>
      </c>
      <c r="D173" s="252" t="str">
        <f>IFERROR(__xludf.DUMMYFUNCTION("""COMPUTED_VALUE"""),"Hr")</f>
        <v>Hr</v>
      </c>
    </row>
    <row r="174">
      <c r="A174" s="252" t="str">
        <f>IFERROR(__xludf.DUMMYFUNCTION("""COMPUTED_VALUE"""),"RX-05")</f>
        <v>RX-05</v>
      </c>
      <c r="B174" s="252">
        <f>IFERROR(__xludf.DUMMYFUNCTION("""COMPUTED_VALUE"""),5564.0)</f>
        <v>5564</v>
      </c>
      <c r="C174" s="252">
        <f>IFERROR(__xludf.DUMMYFUNCTION("""COMPUTED_VALUE"""),1.0)</f>
        <v>1</v>
      </c>
      <c r="D174" s="252" t="str">
        <f>IFERROR(__xludf.DUMMYFUNCTION("""COMPUTED_VALUE"""),"Hr")</f>
        <v>Hr</v>
      </c>
    </row>
    <row r="175">
      <c r="A175" s="252" t="str">
        <f>IFERROR(__xludf.DUMMYFUNCTION("""COMPUTED_VALUE"""),"RX-06")</f>
        <v>RX-06</v>
      </c>
      <c r="B175" s="252">
        <f>IFERROR(__xludf.DUMMYFUNCTION("""COMPUTED_VALUE"""),707.0)</f>
        <v>707</v>
      </c>
      <c r="C175" s="252">
        <f>IFERROR(__xludf.DUMMYFUNCTION("""COMPUTED_VALUE"""),1.0)</f>
        <v>1</v>
      </c>
      <c r="D175" s="252" t="str">
        <f>IFERROR(__xludf.DUMMYFUNCTION("""COMPUTED_VALUE"""),"Hr")</f>
        <v>Hr</v>
      </c>
    </row>
    <row r="176">
      <c r="A176" s="252" t="str">
        <f>IFERROR(__xludf.DUMMYFUNCTION("""COMPUTED_VALUE"""),"RX-07")</f>
        <v>RX-07</v>
      </c>
      <c r="B176" s="252">
        <f>IFERROR(__xludf.DUMMYFUNCTION("""COMPUTED_VALUE"""),13238.0)</f>
        <v>13238</v>
      </c>
      <c r="C176" s="252">
        <f>IFERROR(__xludf.DUMMYFUNCTION("""COMPUTED_VALUE"""),11953.0)</f>
        <v>11953</v>
      </c>
      <c r="D176" s="252" t="str">
        <f>IFERROR(__xludf.DUMMYFUNCTION("""COMPUTED_VALUE"""),"Hr")</f>
        <v>Hr</v>
      </c>
    </row>
    <row r="177">
      <c r="A177" s="252" t="str">
        <f>IFERROR(__xludf.DUMMYFUNCTION("""COMPUTED_VALUE"""),"T-01")</f>
        <v>T-01</v>
      </c>
      <c r="B177" s="252">
        <f>IFERROR(__xludf.DUMMYFUNCTION("""COMPUTED_VALUE"""),7649.0)</f>
        <v>7649</v>
      </c>
      <c r="C177" s="252"/>
      <c r="D177" s="252" t="str">
        <f>IFERROR(__xludf.DUMMYFUNCTION("""COMPUTED_VALUE"""),"Hr")</f>
        <v>Hr</v>
      </c>
    </row>
    <row r="178">
      <c r="A178" s="252" t="str">
        <f>IFERROR(__xludf.DUMMYFUNCTION("""COMPUTED_VALUE"""),"T-02")</f>
        <v>T-02</v>
      </c>
      <c r="B178" s="252">
        <f>IFERROR(__xludf.DUMMYFUNCTION("""COMPUTED_VALUE"""),7777.0)</f>
        <v>7777</v>
      </c>
      <c r="C178" s="252"/>
      <c r="D178" s="252" t="str">
        <f>IFERROR(__xludf.DUMMYFUNCTION("""COMPUTED_VALUE"""),"Hr")</f>
        <v>Hr</v>
      </c>
    </row>
    <row r="179">
      <c r="A179" s="252" t="str">
        <f>IFERROR(__xludf.DUMMYFUNCTION("""COMPUTED_VALUE"""),"T-03")</f>
        <v>T-03</v>
      </c>
      <c r="B179" s="252">
        <f>IFERROR(__xludf.DUMMYFUNCTION("""COMPUTED_VALUE"""),5779.0)</f>
        <v>5779</v>
      </c>
      <c r="C179" s="252"/>
      <c r="D179" s="252" t="str">
        <f>IFERROR(__xludf.DUMMYFUNCTION("""COMPUTED_VALUE"""),"Hr")</f>
        <v>Hr</v>
      </c>
    </row>
    <row r="180">
      <c r="A180" s="252" t="str">
        <f>IFERROR(__xludf.DUMMYFUNCTION("""COMPUTED_VALUE"""),"T-04")</f>
        <v>T-04</v>
      </c>
      <c r="B180" s="252">
        <f>IFERROR(__xludf.DUMMYFUNCTION("""COMPUTED_VALUE"""),4545.0)</f>
        <v>4545</v>
      </c>
      <c r="C180" s="252"/>
      <c r="D180" s="252" t="str">
        <f>IFERROR(__xludf.DUMMYFUNCTION("""COMPUTED_VALUE"""),"Hr")</f>
        <v>Hr</v>
      </c>
    </row>
    <row r="181">
      <c r="A181" s="252" t="str">
        <f>IFERROR(__xludf.DUMMYFUNCTION("""COMPUTED_VALUE"""),"MC-04")</f>
        <v>MC-04</v>
      </c>
      <c r="B181" s="252">
        <f>IFERROR(__xludf.DUMMYFUNCTION("""COMPUTED_VALUE"""),7821.0)</f>
        <v>7821</v>
      </c>
      <c r="C181" s="252">
        <f>IFERROR(__xludf.DUMMYFUNCTION("""COMPUTED_VALUE"""),1.0)</f>
        <v>1</v>
      </c>
      <c r="D181" s="252" t="str">
        <f>IFERROR(__xludf.DUMMYFUNCTION("""COMPUTED_VALUE"""),"Hr")</f>
        <v>Hr</v>
      </c>
    </row>
    <row r="182">
      <c r="A182" s="252" t="str">
        <f>IFERROR(__xludf.DUMMYFUNCTION("""COMPUTED_VALUE"""),"B-01")</f>
        <v>B-01</v>
      </c>
      <c r="B182" s="252">
        <f>IFERROR(__xludf.DUMMYFUNCTION("""COMPUTED_VALUE"""),1.0)</f>
        <v>1</v>
      </c>
      <c r="C182" s="252">
        <f>IFERROR(__xludf.DUMMYFUNCTION("""COMPUTED_VALUE"""),1.0)</f>
        <v>1</v>
      </c>
      <c r="D182" s="252" t="str">
        <f>IFERROR(__xludf.DUMMYFUNCTION("""COMPUTED_VALUE"""),"N/A")</f>
        <v>N/A</v>
      </c>
    </row>
    <row r="183">
      <c r="A183" s="252" t="str">
        <f>IFERROR(__xludf.DUMMYFUNCTION("""COMPUTED_VALUE"""),"B-02")</f>
        <v>B-02</v>
      </c>
      <c r="B183" s="252"/>
      <c r="C183" s="252"/>
      <c r="D183" s="252" t="str">
        <f>IFERROR(__xludf.DUMMYFUNCTION("""COMPUTED_VALUE"""),"N/A")</f>
        <v>N/A</v>
      </c>
    </row>
    <row r="184">
      <c r="A184" s="252" t="str">
        <f>IFERROR(__xludf.DUMMYFUNCTION("""COMPUTED_VALUE"""),"CB-01")</f>
        <v>CB-01</v>
      </c>
      <c r="B184" s="252"/>
      <c r="C184" s="252"/>
      <c r="D184" s="252" t="str">
        <f>IFERROR(__xludf.DUMMYFUNCTION("""COMPUTED_VALUE"""),"N/A")</f>
        <v>N/A</v>
      </c>
    </row>
    <row r="185">
      <c r="A185" s="252" t="str">
        <f>IFERROR(__xludf.DUMMYFUNCTION("""COMPUTED_VALUE"""),"CB-02")</f>
        <v>CB-02</v>
      </c>
      <c r="B185" s="252">
        <f>IFERROR(__xludf.DUMMYFUNCTION("""COMPUTED_VALUE"""),1.0)</f>
        <v>1</v>
      </c>
      <c r="C185" s="252">
        <f>IFERROR(__xludf.DUMMYFUNCTION("""COMPUTED_VALUE"""),1.0)</f>
        <v>1</v>
      </c>
      <c r="D185" s="252" t="str">
        <f>IFERROR(__xludf.DUMMYFUNCTION("""COMPUTED_VALUE"""),"N/A")</f>
        <v>N/A</v>
      </c>
    </row>
    <row r="186">
      <c r="A186" s="252" t="str">
        <f>IFERROR(__xludf.DUMMYFUNCTION("""COMPUTED_VALUE"""),"CB-03")</f>
        <v>CB-03</v>
      </c>
      <c r="B186" s="252">
        <f>IFERROR(__xludf.DUMMYFUNCTION("""COMPUTED_VALUE"""),5610.0)</f>
        <v>5610</v>
      </c>
      <c r="C186" s="252">
        <f>IFERROR(__xludf.DUMMYFUNCTION("""COMPUTED_VALUE"""),1.0)</f>
        <v>1</v>
      </c>
      <c r="D186" s="252" t="str">
        <f>IFERROR(__xludf.DUMMYFUNCTION("""COMPUTED_VALUE"""),"N/A")</f>
        <v>N/A</v>
      </c>
    </row>
    <row r="187">
      <c r="A187" s="252" t="str">
        <f>IFERROR(__xludf.DUMMYFUNCTION("""COMPUTED_VALUE"""),"R-01")</f>
        <v>R-01</v>
      </c>
      <c r="B187" s="252">
        <f>IFERROR(__xludf.DUMMYFUNCTION("""COMPUTED_VALUE"""),1705.0)</f>
        <v>1705</v>
      </c>
      <c r="C187" s="252">
        <f>IFERROR(__xludf.DUMMYFUNCTION("""COMPUTED_VALUE"""),1.0)</f>
        <v>1</v>
      </c>
      <c r="D187" s="252" t="str">
        <f>IFERROR(__xludf.DUMMYFUNCTION("""COMPUTED_VALUE"""),"N/A")</f>
        <v>N/A</v>
      </c>
    </row>
    <row r="188">
      <c r="A188" s="252" t="str">
        <f>IFERROR(__xludf.DUMMYFUNCTION("""COMPUTED_VALUE"""),"C-01")</f>
        <v>C-01</v>
      </c>
      <c r="B188" s="252"/>
      <c r="C188" s="252"/>
      <c r="D188" s="252" t="str">
        <f>IFERROR(__xludf.DUMMYFUNCTION("""COMPUTED_VALUE"""),"Km")</f>
        <v>Km</v>
      </c>
    </row>
    <row r="189">
      <c r="A189" s="252" t="str">
        <f>IFERROR(__xludf.DUMMYFUNCTION("""COMPUTED_VALUE"""),"C-02")</f>
        <v>C-02</v>
      </c>
      <c r="B189" s="252"/>
      <c r="C189" s="252">
        <f>IFERROR(__xludf.DUMMYFUNCTION("""COMPUTED_VALUE"""),379583.0)</f>
        <v>379583</v>
      </c>
      <c r="D189" s="252" t="str">
        <f>IFERROR(__xludf.DUMMYFUNCTION("""COMPUTED_VALUE"""),"Km")</f>
        <v>Km</v>
      </c>
    </row>
    <row r="190">
      <c r="A190" s="252" t="str">
        <f>IFERROR(__xludf.DUMMYFUNCTION("""COMPUTED_VALUE"""),"C-03")</f>
        <v>C-03</v>
      </c>
      <c r="B190" s="252"/>
      <c r="C190" s="252">
        <f>IFERROR(__xludf.DUMMYFUNCTION("""COMPUTED_VALUE"""),332383.0)</f>
        <v>332383</v>
      </c>
      <c r="D190" s="252" t="str">
        <f>IFERROR(__xludf.DUMMYFUNCTION("""COMPUTED_VALUE"""),"Km")</f>
        <v>Km</v>
      </c>
    </row>
    <row r="191">
      <c r="A191" s="252" t="str">
        <f>IFERROR(__xludf.DUMMYFUNCTION("""COMPUTED_VALUE"""),"C-04")</f>
        <v>C-04</v>
      </c>
      <c r="B191" s="252">
        <f>IFERROR(__xludf.DUMMYFUNCTION("""COMPUTED_VALUE"""),1.0)</f>
        <v>1</v>
      </c>
      <c r="C191" s="252">
        <f>IFERROR(__xludf.DUMMYFUNCTION("""COMPUTED_VALUE"""),386791.0)</f>
        <v>386791</v>
      </c>
      <c r="D191" s="252" t="str">
        <f>IFERROR(__xludf.DUMMYFUNCTION("""COMPUTED_VALUE"""),"Km")</f>
        <v>Km</v>
      </c>
    </row>
    <row r="192">
      <c r="A192" s="252" t="str">
        <f>IFERROR(__xludf.DUMMYFUNCTION("""COMPUTED_VALUE"""),"C-36")</f>
        <v>C-36</v>
      </c>
      <c r="B192" s="252">
        <f>IFERROR(__xludf.DUMMYFUNCTION("""COMPUTED_VALUE"""),541.0)</f>
        <v>541</v>
      </c>
      <c r="C192" s="252">
        <f>IFERROR(__xludf.DUMMYFUNCTION("""COMPUTED_VALUE"""),1.0)</f>
        <v>1</v>
      </c>
      <c r="D192" s="252" t="str">
        <f>IFERROR(__xludf.DUMMYFUNCTION("""COMPUTED_VALUE"""),"Hr")</f>
        <v>Hr</v>
      </c>
    </row>
    <row r="193">
      <c r="A193" s="252" t="str">
        <f>IFERROR(__xludf.DUMMYFUNCTION("""COMPUTED_VALUE"""),"C-06")</f>
        <v>C-06</v>
      </c>
      <c r="B193" s="252"/>
      <c r="C193" s="252">
        <f>IFERROR(__xludf.DUMMYFUNCTION("""COMPUTED_VALUE"""),449279.0)</f>
        <v>449279</v>
      </c>
      <c r="D193" s="252" t="str">
        <f>IFERROR(__xludf.DUMMYFUNCTION("""COMPUTED_VALUE"""),"Km")</f>
        <v>Km</v>
      </c>
    </row>
    <row r="194">
      <c r="A194" s="252" t="str">
        <f>IFERROR(__xludf.DUMMYFUNCTION("""COMPUTED_VALUE"""),"C-07")</f>
        <v>C-07</v>
      </c>
      <c r="B194" s="252"/>
      <c r="C194" s="252"/>
      <c r="D194" s="252"/>
    </row>
    <row r="195">
      <c r="A195" s="252" t="str">
        <f>IFERROR(__xludf.DUMMYFUNCTION("""COMPUTED_VALUE"""),"C-08")</f>
        <v>C-08</v>
      </c>
      <c r="B195" s="252"/>
      <c r="C195" s="252"/>
      <c r="D195" s="252"/>
    </row>
    <row r="196">
      <c r="A196" s="252" t="str">
        <f>IFERROR(__xludf.DUMMYFUNCTION("""COMPUTED_VALUE"""),"C-09")</f>
        <v>C-09</v>
      </c>
      <c r="B196" s="252">
        <f>IFERROR(__xludf.DUMMYFUNCTION("""COMPUTED_VALUE"""),1.0)</f>
        <v>1</v>
      </c>
      <c r="C196" s="252">
        <f>IFERROR(__xludf.DUMMYFUNCTION("""COMPUTED_VALUE"""),364846.0)</f>
        <v>364846</v>
      </c>
      <c r="D196" s="252" t="str">
        <f>IFERROR(__xludf.DUMMYFUNCTION("""COMPUTED_VALUE"""),"Km")</f>
        <v>Km</v>
      </c>
    </row>
    <row r="197">
      <c r="A197" s="252" t="str">
        <f>IFERROR(__xludf.DUMMYFUNCTION("""COMPUTED_VALUE"""),"C-10")</f>
        <v>C-10</v>
      </c>
      <c r="B197" s="252"/>
      <c r="C197" s="252"/>
      <c r="D197" s="252"/>
    </row>
    <row r="198">
      <c r="A198" s="252" t="str">
        <f>IFERROR(__xludf.DUMMYFUNCTION("""COMPUTED_VALUE"""),"C-11")</f>
        <v>C-11</v>
      </c>
      <c r="B198" s="252">
        <f>IFERROR(__xludf.DUMMYFUNCTION("""COMPUTED_VALUE"""),390.0)</f>
        <v>390</v>
      </c>
      <c r="C198" s="252"/>
      <c r="D198" s="252" t="str">
        <f>IFERROR(__xludf.DUMMYFUNCTION("""COMPUTED_VALUE"""),"Hr")</f>
        <v>Hr</v>
      </c>
    </row>
    <row r="199">
      <c r="A199" s="252" t="str">
        <f>IFERROR(__xludf.DUMMYFUNCTION("""COMPUTED_VALUE"""),"C-12")</f>
        <v>C-12</v>
      </c>
      <c r="B199" s="252">
        <f>IFERROR(__xludf.DUMMYFUNCTION("""COMPUTED_VALUE"""),9219.0)</f>
        <v>9219</v>
      </c>
      <c r="C199" s="252">
        <f>IFERROR(__xludf.DUMMYFUNCTION("""COMPUTED_VALUE"""),362130.0)</f>
        <v>362130</v>
      </c>
      <c r="D199" s="252" t="str">
        <f>IFERROR(__xludf.DUMMYFUNCTION("""COMPUTED_VALUE"""),"Km")</f>
        <v>Km</v>
      </c>
    </row>
    <row r="200">
      <c r="A200" s="252" t="str">
        <f>IFERROR(__xludf.DUMMYFUNCTION("""COMPUTED_VALUE"""),"C-16")</f>
        <v>C-16</v>
      </c>
      <c r="B200" s="252"/>
      <c r="C200" s="252">
        <f>IFERROR(__xludf.DUMMYFUNCTION("""COMPUTED_VALUE"""),379492.0)</f>
        <v>379492</v>
      </c>
      <c r="D200" s="252" t="str">
        <f>IFERROR(__xludf.DUMMYFUNCTION("""COMPUTED_VALUE"""),"Km")</f>
        <v>Km</v>
      </c>
    </row>
    <row r="201">
      <c r="A201" s="252" t="str">
        <f>IFERROR(__xludf.DUMMYFUNCTION("""COMPUTED_VALUE"""),"C-14")</f>
        <v>C-14</v>
      </c>
      <c r="B201" s="252">
        <f>IFERROR(__xludf.DUMMYFUNCTION("""COMPUTED_VALUE"""),1.0)</f>
        <v>1</v>
      </c>
      <c r="C201" s="252">
        <f>IFERROR(__xludf.DUMMYFUNCTION("""COMPUTED_VALUE"""),277993.0)</f>
        <v>277993</v>
      </c>
      <c r="D201" s="252" t="str">
        <f>IFERROR(__xludf.DUMMYFUNCTION("""COMPUTED_VALUE"""),"Km")</f>
        <v>Km</v>
      </c>
    </row>
    <row r="202">
      <c r="A202" s="252" t="str">
        <f>IFERROR(__xludf.DUMMYFUNCTION("""COMPUTED_VALUE"""),"C-15")</f>
        <v>C-15</v>
      </c>
      <c r="B202" s="252">
        <f>IFERROR(__xludf.DUMMYFUNCTION("""COMPUTED_VALUE"""),1.0)</f>
        <v>1</v>
      </c>
      <c r="C202" s="252">
        <f>IFERROR(__xludf.DUMMYFUNCTION("""COMPUTED_VALUE"""),373946.0)</f>
        <v>373946</v>
      </c>
      <c r="D202" s="252" t="str">
        <f>IFERROR(__xludf.DUMMYFUNCTION("""COMPUTED_VALUE"""),"Km")</f>
        <v>Km</v>
      </c>
    </row>
    <row r="203">
      <c r="A203" s="252" t="str">
        <f>IFERROR(__xludf.DUMMYFUNCTION("""COMPUTED_VALUE"""),"C-13")</f>
        <v>C-13</v>
      </c>
      <c r="B203" s="252">
        <f>IFERROR(__xludf.DUMMYFUNCTION("""COMPUTED_VALUE"""),1.0)</f>
        <v>1</v>
      </c>
      <c r="C203" s="252">
        <f>IFERROR(__xludf.DUMMYFUNCTION("""COMPUTED_VALUE"""),293489.0)</f>
        <v>293489</v>
      </c>
      <c r="D203" s="252" t="str">
        <f>IFERROR(__xludf.DUMMYFUNCTION("""COMPUTED_VALUE"""),"Km")</f>
        <v>Km</v>
      </c>
    </row>
    <row r="204">
      <c r="A204" s="252" t="str">
        <f>IFERROR(__xludf.DUMMYFUNCTION("""COMPUTED_VALUE"""),"C-17")</f>
        <v>C-17</v>
      </c>
      <c r="B204" s="252"/>
      <c r="C204" s="252">
        <f>IFERROR(__xludf.DUMMYFUNCTION("""COMPUTED_VALUE"""),251720.0)</f>
        <v>251720</v>
      </c>
      <c r="D204" s="252" t="str">
        <f>IFERROR(__xludf.DUMMYFUNCTION("""COMPUTED_VALUE"""),"Km")</f>
        <v>Km</v>
      </c>
    </row>
    <row r="205">
      <c r="A205" s="252" t="str">
        <f>IFERROR(__xludf.DUMMYFUNCTION("""COMPUTED_VALUE"""),"C-18")</f>
        <v>C-18</v>
      </c>
      <c r="B205" s="252">
        <f>IFERROR(__xludf.DUMMYFUNCTION("""COMPUTED_VALUE"""),1.0)</f>
        <v>1</v>
      </c>
      <c r="C205" s="252">
        <f>IFERROR(__xludf.DUMMYFUNCTION("""COMPUTED_VALUE"""),352840.0)</f>
        <v>352840</v>
      </c>
      <c r="D205" s="252" t="str">
        <f>IFERROR(__xludf.DUMMYFUNCTION("""COMPUTED_VALUE"""),"Km")</f>
        <v>Km</v>
      </c>
    </row>
    <row r="206">
      <c r="A206" s="252" t="str">
        <f>IFERROR(__xludf.DUMMYFUNCTION("""COMPUTED_VALUE"""),"C-19")</f>
        <v>C-19</v>
      </c>
      <c r="B206" s="252">
        <f>IFERROR(__xludf.DUMMYFUNCTION("""COMPUTED_VALUE"""),1.0)</f>
        <v>1</v>
      </c>
      <c r="C206" s="252">
        <f>IFERROR(__xludf.DUMMYFUNCTION("""COMPUTED_VALUE"""),198675.0)</f>
        <v>198675</v>
      </c>
      <c r="D206" s="252" t="str">
        <f>IFERROR(__xludf.DUMMYFUNCTION("""COMPUTED_VALUE"""),"Km")</f>
        <v>Km</v>
      </c>
    </row>
    <row r="207">
      <c r="A207" s="252" t="str">
        <f>IFERROR(__xludf.DUMMYFUNCTION("""COMPUTED_VALUE"""),"C-20")</f>
        <v>C-20</v>
      </c>
      <c r="B207" s="252">
        <f>IFERROR(__xludf.DUMMYFUNCTION("""COMPUTED_VALUE"""),1.0)</f>
        <v>1</v>
      </c>
      <c r="C207" s="252">
        <f>IFERROR(__xludf.DUMMYFUNCTION("""COMPUTED_VALUE"""),157411.0)</f>
        <v>157411</v>
      </c>
      <c r="D207" s="252" t="str">
        <f>IFERROR(__xludf.DUMMYFUNCTION("""COMPUTED_VALUE"""),"Km")</f>
        <v>Km</v>
      </c>
    </row>
    <row r="208">
      <c r="A208" s="252" t="str">
        <f>IFERROR(__xludf.DUMMYFUNCTION("""COMPUTED_VALUE"""),"C-21")</f>
        <v>C-21</v>
      </c>
      <c r="B208" s="252"/>
      <c r="C208" s="252">
        <f>IFERROR(__xludf.DUMMYFUNCTION("""COMPUTED_VALUE"""),83380.0)</f>
        <v>83380</v>
      </c>
      <c r="D208" s="252" t="str">
        <f>IFERROR(__xludf.DUMMYFUNCTION("""COMPUTED_VALUE"""),"Km")</f>
        <v>Km</v>
      </c>
    </row>
    <row r="209">
      <c r="A209" s="252" t="str">
        <f>IFERROR(__xludf.DUMMYFUNCTION("""COMPUTED_VALUE"""),"C-22")</f>
        <v>C-22</v>
      </c>
      <c r="B209" s="252">
        <f>IFERROR(__xludf.DUMMYFUNCTION("""COMPUTED_VALUE"""),149517.0)</f>
        <v>149517</v>
      </c>
      <c r="C209" s="252">
        <f>IFERROR(__xludf.DUMMYFUNCTION("""COMPUTED_VALUE"""),192377.0)</f>
        <v>192377</v>
      </c>
      <c r="D209" s="252" t="str">
        <f>IFERROR(__xludf.DUMMYFUNCTION("""COMPUTED_VALUE"""),"Km")</f>
        <v>Km</v>
      </c>
    </row>
    <row r="210">
      <c r="A210" s="252" t="str">
        <f>IFERROR(__xludf.DUMMYFUNCTION("""COMPUTED_VALUE"""),"C-23")</f>
        <v>C-23</v>
      </c>
      <c r="B210" s="252"/>
      <c r="C210" s="252">
        <f>IFERROR(__xludf.DUMMYFUNCTION("""COMPUTED_VALUE"""),176598.0)</f>
        <v>176598</v>
      </c>
      <c r="D210" s="252" t="str">
        <f>IFERROR(__xludf.DUMMYFUNCTION("""COMPUTED_VALUE"""),"Km")</f>
        <v>Km</v>
      </c>
    </row>
    <row r="211">
      <c r="A211" s="252" t="str">
        <f>IFERROR(__xludf.DUMMYFUNCTION("""COMPUTED_VALUE"""),"C-24")</f>
        <v>C-24</v>
      </c>
      <c r="B211" s="252">
        <f>IFERROR(__xludf.DUMMYFUNCTION("""COMPUTED_VALUE"""),1.0)</f>
        <v>1</v>
      </c>
      <c r="C211" s="252">
        <f>IFERROR(__xludf.DUMMYFUNCTION("""COMPUTED_VALUE"""),132877.0)</f>
        <v>132877</v>
      </c>
      <c r="D211" s="252" t="str">
        <f>IFERROR(__xludf.DUMMYFUNCTION("""COMPUTED_VALUE"""),"Km")</f>
        <v>Km</v>
      </c>
    </row>
    <row r="212">
      <c r="A212" s="252" t="str">
        <f>IFERROR(__xludf.DUMMYFUNCTION("""COMPUTED_VALUE"""),"C-25")</f>
        <v>C-25</v>
      </c>
      <c r="B212" s="252">
        <f>IFERROR(__xludf.DUMMYFUNCTION("""COMPUTED_VALUE"""),1.0)</f>
        <v>1</v>
      </c>
      <c r="C212" s="252">
        <f>IFERROR(__xludf.DUMMYFUNCTION("""COMPUTED_VALUE"""),181399.0)</f>
        <v>181399</v>
      </c>
      <c r="D212" s="252" t="str">
        <f>IFERROR(__xludf.DUMMYFUNCTION("""COMPUTED_VALUE"""),"Km")</f>
        <v>Km</v>
      </c>
    </row>
    <row r="213">
      <c r="A213" s="252" t="str">
        <f>IFERROR(__xludf.DUMMYFUNCTION("""COMPUTED_VALUE"""),"C-26")</f>
        <v>C-26</v>
      </c>
      <c r="B213" s="252">
        <f>IFERROR(__xludf.DUMMYFUNCTION("""COMPUTED_VALUE"""),1.0)</f>
        <v>1</v>
      </c>
      <c r="C213" s="252">
        <f>IFERROR(__xludf.DUMMYFUNCTION("""COMPUTED_VALUE"""),110338.0)</f>
        <v>110338</v>
      </c>
      <c r="D213" s="252" t="str">
        <f>IFERROR(__xludf.DUMMYFUNCTION("""COMPUTED_VALUE"""),"Km")</f>
        <v>Km</v>
      </c>
    </row>
    <row r="214">
      <c r="A214" s="252" t="str">
        <f>IFERROR(__xludf.DUMMYFUNCTION("""COMPUTED_VALUE"""),"C-27")</f>
        <v>C-27</v>
      </c>
      <c r="B214" s="252">
        <f>IFERROR(__xludf.DUMMYFUNCTION("""COMPUTED_VALUE"""),1.0)</f>
        <v>1</v>
      </c>
      <c r="C214" s="252">
        <f>IFERROR(__xludf.DUMMYFUNCTION("""COMPUTED_VALUE"""),104845.0)</f>
        <v>104845</v>
      </c>
      <c r="D214" s="252" t="str">
        <f>IFERROR(__xludf.DUMMYFUNCTION("""COMPUTED_VALUE"""),"Km")</f>
        <v>Km</v>
      </c>
    </row>
    <row r="215">
      <c r="A215" s="252" t="str">
        <f>IFERROR(__xludf.DUMMYFUNCTION("""COMPUTED_VALUE"""),"C-29")</f>
        <v>C-29</v>
      </c>
      <c r="B215" s="252">
        <f>IFERROR(__xludf.DUMMYFUNCTION("""COMPUTED_VALUE"""),1.0)</f>
        <v>1</v>
      </c>
      <c r="C215" s="252">
        <f>IFERROR(__xludf.DUMMYFUNCTION("""COMPUTED_VALUE"""),169061.0)</f>
        <v>169061</v>
      </c>
      <c r="D215" s="252" t="str">
        <f>IFERROR(__xludf.DUMMYFUNCTION("""COMPUTED_VALUE"""),"Km")</f>
        <v>Km</v>
      </c>
    </row>
    <row r="216">
      <c r="A216" s="252" t="str">
        <f>IFERROR(__xludf.DUMMYFUNCTION("""COMPUTED_VALUE"""),"C-30")</f>
        <v>C-30</v>
      </c>
      <c r="B216" s="252">
        <f>IFERROR(__xludf.DUMMYFUNCTION("""COMPUTED_VALUE"""),1507.0)</f>
        <v>1507</v>
      </c>
      <c r="C216" s="252">
        <f>IFERROR(__xludf.DUMMYFUNCTION("""COMPUTED_VALUE"""),87680.0)</f>
        <v>87680</v>
      </c>
      <c r="D216" s="252" t="str">
        <f>IFERROR(__xludf.DUMMYFUNCTION("""COMPUTED_VALUE"""),"Hr")</f>
        <v>Hr</v>
      </c>
    </row>
    <row r="217">
      <c r="A217" s="252" t="str">
        <f>IFERROR(__xludf.DUMMYFUNCTION("""COMPUTED_VALUE"""),"C-31")</f>
        <v>C-31</v>
      </c>
      <c r="B217" s="252">
        <f>IFERROR(__xludf.DUMMYFUNCTION("""COMPUTED_VALUE"""),1.0)</f>
        <v>1</v>
      </c>
      <c r="C217" s="252">
        <f>IFERROR(__xludf.DUMMYFUNCTION("""COMPUTED_VALUE"""),169400.0)</f>
        <v>169400</v>
      </c>
      <c r="D217" s="252" t="str">
        <f>IFERROR(__xludf.DUMMYFUNCTION("""COMPUTED_VALUE"""),"Km")</f>
        <v>Km</v>
      </c>
    </row>
    <row r="218">
      <c r="A218" s="252" t="str">
        <f>IFERROR(__xludf.DUMMYFUNCTION("""COMPUTED_VALUE"""),"C-32")</f>
        <v>C-32</v>
      </c>
      <c r="B218" s="252"/>
      <c r="C218" s="252"/>
      <c r="D218" s="252"/>
    </row>
    <row r="219">
      <c r="A219" s="252" t="str">
        <f>IFERROR(__xludf.DUMMYFUNCTION("""COMPUTED_VALUE"""),"C-33")</f>
        <v>C-33</v>
      </c>
      <c r="B219" s="252">
        <f>IFERROR(__xludf.DUMMYFUNCTION("""COMPUTED_VALUE"""),612.0)</f>
        <v>612</v>
      </c>
      <c r="C219" s="252"/>
      <c r="D219" s="252" t="str">
        <f>IFERROR(__xludf.DUMMYFUNCTION("""COMPUTED_VALUE"""),"Hr")</f>
        <v>Hr</v>
      </c>
    </row>
    <row r="220">
      <c r="A220" s="252" t="str">
        <f>IFERROR(__xludf.DUMMYFUNCTION("""COMPUTED_VALUE"""),"C-34")</f>
        <v>C-34</v>
      </c>
      <c r="B220" s="252"/>
      <c r="C220" s="252"/>
      <c r="D220" s="252" t="str">
        <f>IFERROR(__xludf.DUMMYFUNCTION("""COMPUTED_VALUE"""),"N/A")</f>
        <v>N/A</v>
      </c>
    </row>
    <row r="221">
      <c r="A221" s="252" t="str">
        <f>IFERROR(__xludf.DUMMYFUNCTION("""COMPUTED_VALUE"""),"C-35")</f>
        <v>C-35</v>
      </c>
      <c r="B221" s="252">
        <f>IFERROR(__xludf.DUMMYFUNCTION("""COMPUTED_VALUE"""),1.0)</f>
        <v>1</v>
      </c>
      <c r="C221" s="252">
        <f>IFERROR(__xludf.DUMMYFUNCTION("""COMPUTED_VALUE"""),46067.0)</f>
        <v>46067</v>
      </c>
      <c r="D221" s="252" t="str">
        <f>IFERROR(__xludf.DUMMYFUNCTION("""COMPUTED_VALUE"""),"Km")</f>
        <v>Km</v>
      </c>
    </row>
    <row r="222">
      <c r="A222" s="252" t="str">
        <f>IFERROR(__xludf.DUMMYFUNCTION("""COMPUTED_VALUE"""),"C-45")</f>
        <v>C-45</v>
      </c>
      <c r="B222" s="252">
        <f>IFERROR(__xludf.DUMMYFUNCTION("""COMPUTED_VALUE"""),107284.0)</f>
        <v>107284</v>
      </c>
      <c r="C222" s="252">
        <f>IFERROR(__xludf.DUMMYFUNCTION("""COMPUTED_VALUE"""),130391.0)</f>
        <v>130391</v>
      </c>
      <c r="D222" s="252" t="str">
        <f>IFERROR(__xludf.DUMMYFUNCTION("""COMPUTED_VALUE"""),"Km")</f>
        <v>Km</v>
      </c>
    </row>
    <row r="223">
      <c r="A223" s="252" t="str">
        <f>IFERROR(__xludf.DUMMYFUNCTION("""COMPUTED_VALUE"""),"C-37")</f>
        <v>C-37</v>
      </c>
      <c r="B223" s="252">
        <f>IFERROR(__xludf.DUMMYFUNCTION("""COMPUTED_VALUE"""),0.0)</f>
        <v>0</v>
      </c>
      <c r="C223" s="252">
        <f>IFERROR(__xludf.DUMMYFUNCTION("""COMPUTED_VALUE"""),112046.0)</f>
        <v>112046</v>
      </c>
      <c r="D223" s="252" t="str">
        <f>IFERROR(__xludf.DUMMYFUNCTION("""COMPUTED_VALUE"""),"Km")</f>
        <v>Km</v>
      </c>
    </row>
    <row r="224">
      <c r="A224" s="252" t="str">
        <f>IFERROR(__xludf.DUMMYFUNCTION("""COMPUTED_VALUE"""),"C-38")</f>
        <v>C-38</v>
      </c>
      <c r="B224" s="252">
        <f>IFERROR(__xludf.DUMMYFUNCTION("""COMPUTED_VALUE"""),110579.0)</f>
        <v>110579</v>
      </c>
      <c r="C224" s="252">
        <f>IFERROR(__xludf.DUMMYFUNCTION("""COMPUTED_VALUE"""),152250.0)</f>
        <v>152250</v>
      </c>
      <c r="D224" s="252" t="str">
        <f>IFERROR(__xludf.DUMMYFUNCTION("""COMPUTED_VALUE"""),"Km")</f>
        <v>Km</v>
      </c>
    </row>
    <row r="225">
      <c r="A225" s="252" t="str">
        <f>IFERROR(__xludf.DUMMYFUNCTION("""COMPUTED_VALUE"""),"C-39")</f>
        <v>C-39</v>
      </c>
      <c r="B225" s="252">
        <f>IFERROR(__xludf.DUMMYFUNCTION("""COMPUTED_VALUE"""),71963.0)</f>
        <v>71963</v>
      </c>
      <c r="C225" s="252">
        <f>IFERROR(__xludf.DUMMYFUNCTION("""COMPUTED_VALUE"""),87086.0)</f>
        <v>87086</v>
      </c>
      <c r="D225" s="252" t="str">
        <f>IFERROR(__xludf.DUMMYFUNCTION("""COMPUTED_VALUE"""),"Km")</f>
        <v>Km</v>
      </c>
    </row>
    <row r="226">
      <c r="A226" s="252" t="str">
        <f>IFERROR(__xludf.DUMMYFUNCTION("""COMPUTED_VALUE"""),"C-41")</f>
        <v>C-41</v>
      </c>
      <c r="B226" s="252"/>
      <c r="C226" s="252">
        <f>IFERROR(__xludf.DUMMYFUNCTION("""COMPUTED_VALUE"""),103332.0)</f>
        <v>103332</v>
      </c>
      <c r="D226" s="252" t="str">
        <f>IFERROR(__xludf.DUMMYFUNCTION("""COMPUTED_VALUE"""),"Km")</f>
        <v>Km</v>
      </c>
    </row>
    <row r="227">
      <c r="A227" s="252" t="str">
        <f>IFERROR(__xludf.DUMMYFUNCTION("""COMPUTED_VALUE"""),"C-42")</f>
        <v>C-42</v>
      </c>
      <c r="B227" s="252"/>
      <c r="C227" s="252">
        <f>IFERROR(__xludf.DUMMYFUNCTION("""COMPUTED_VALUE"""),40066.0)</f>
        <v>40066</v>
      </c>
      <c r="D227" s="252" t="str">
        <f>IFERROR(__xludf.DUMMYFUNCTION("""COMPUTED_VALUE"""),"Km")</f>
        <v>Km</v>
      </c>
    </row>
    <row r="228">
      <c r="A228" s="252" t="str">
        <f>IFERROR(__xludf.DUMMYFUNCTION("""COMPUTED_VALUE"""),"C-43")</f>
        <v>C-43</v>
      </c>
      <c r="B228" s="252"/>
      <c r="C228" s="252">
        <f>IFERROR(__xludf.DUMMYFUNCTION("""COMPUTED_VALUE"""),147710.0)</f>
        <v>147710</v>
      </c>
      <c r="D228" s="252" t="str">
        <f>IFERROR(__xludf.DUMMYFUNCTION("""COMPUTED_VALUE"""),"Km")</f>
        <v>Km</v>
      </c>
    </row>
    <row r="229">
      <c r="A229" s="252" t="str">
        <f>IFERROR(__xludf.DUMMYFUNCTION("""COMPUTED_VALUE"""),"C-44")</f>
        <v>C-44</v>
      </c>
      <c r="B229" s="252">
        <f>IFERROR(__xludf.DUMMYFUNCTION("""COMPUTED_VALUE"""),58627.0)</f>
        <v>58627</v>
      </c>
      <c r="C229" s="252">
        <f>IFERROR(__xludf.DUMMYFUNCTION("""COMPUTED_VALUE"""),84292.0)</f>
        <v>84292</v>
      </c>
      <c r="D229" s="252" t="str">
        <f>IFERROR(__xludf.DUMMYFUNCTION("""COMPUTED_VALUE"""),"Km")</f>
        <v>Km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2" t="str">
        <f>IFERROR(__xludf.DUMMYFUNCTION("IMPORTRANGE(""https://docs.google.com/spreadsheets/d/1CW2TbBfhyBTXmzwlhCkHvLydaAi_Be-rRuuDoPg5lUs"",""MAQUINAS!A1:AZ"")"),"ID_MAQUINA")</f>
        <v>ID_MAQUINA</v>
      </c>
      <c r="B1" s="252" t="str">
        <f>IFERROR(__xludf.DUMMYFUNCTION("""COMPUTED_VALUE"""),"CODIGO_MAQUINA")</f>
        <v>CODIGO_MAQUINA</v>
      </c>
      <c r="C1" s="252" t="str">
        <f>IFERROR(__xludf.DUMMYFUNCTION("""COMPUTED_VALUE"""),"EQUIPO_FAMILIA")</f>
        <v>EQUIPO_FAMILIA</v>
      </c>
      <c r="D1" s="252" t="str">
        <f>IFERROR(__xludf.DUMMYFUNCTION("""COMPUTED_VALUE"""),"TIPO_MAQUINA")</f>
        <v>TIPO_MAQUINA</v>
      </c>
      <c r="E1" s="252" t="str">
        <f>IFERROR(__xludf.DUMMYFUNCTION("""COMPUTED_VALUE"""),"MARCA")</f>
        <v>MARCA</v>
      </c>
      <c r="F1" s="252" t="str">
        <f>IFERROR(__xludf.DUMMYFUNCTION("""COMPUTED_VALUE"""),"MODELO")</f>
        <v>MODELO</v>
      </c>
      <c r="G1" s="252" t="str">
        <f>IFERROR(__xludf.DUMMYFUNCTION("""COMPUTED_VALUE"""),"ANYO")</f>
        <v>ANYO</v>
      </c>
      <c r="H1" s="252" t="str">
        <f>IFERROR(__xludf.DUMMYFUNCTION("""COMPUTED_VALUE"""),"NUM_MOTOR")</f>
        <v>NUM_MOTOR</v>
      </c>
      <c r="I1" s="252" t="str">
        <f>IFERROR(__xludf.DUMMYFUNCTION("""COMPUTED_VALUE"""),"NUM_CHASIS")</f>
        <v>NUM_CHASIS</v>
      </c>
      <c r="J1" s="252" t="str">
        <f>IFERROR(__xludf.DUMMYFUNCTION("""COMPUTED_VALUE"""),"PATENTE")</f>
        <v>PATENTE</v>
      </c>
      <c r="K1" s="252" t="str">
        <f>IFERROR(__xludf.DUMMYFUNCTION("""COMPUTED_VALUE"""),"EMPRESA")</f>
        <v>EMPRESA</v>
      </c>
      <c r="L1" s="252" t="str">
        <f>IFERROR(__xludf.DUMMYFUNCTION("""COMPUTED_VALUE"""),"POTENCIA_MOTOR")</f>
        <v>POTENCIA_MOTOR</v>
      </c>
      <c r="M1" s="252" t="str">
        <f>IFERROR(__xludf.DUMMYFUNCTION("""COMPUTED_VALUE"""),"LARGO")</f>
        <v>LARGO</v>
      </c>
      <c r="N1" s="252" t="str">
        <f>IFERROR(__xludf.DUMMYFUNCTION("""COMPUTED_VALUE"""),"ANCHO")</f>
        <v>ANCHO</v>
      </c>
      <c r="O1" s="252" t="str">
        <f>IFERROR(__xludf.DUMMYFUNCTION("""COMPUTED_VALUE"""),"ALTURA")</f>
        <v>ALTURA</v>
      </c>
      <c r="P1" s="252" t="str">
        <f>IFERROR(__xludf.DUMMYFUNCTION("""COMPUTED_VALUE"""),"PESO")</f>
        <v>PESO</v>
      </c>
      <c r="Q1" s="252" t="str">
        <f>IFERROR(__xludf.DUMMYFUNCTION("""COMPUTED_VALUE"""),"NEUMATICO")</f>
        <v>NEUMATICO</v>
      </c>
      <c r="R1" s="252" t="str">
        <f>IFERROR(__xludf.DUMMYFUNCTION("""COMPUTED_VALUE"""),"CAPACIDAD_COMBUSTIBLE")</f>
        <v>CAPACIDAD_COMBUSTIBLE</v>
      </c>
      <c r="S1" s="252" t="str">
        <f>IFERROR(__xludf.DUMMYFUNCTION("""COMPUTED_VALUE"""),"CAPACIDAD_TOLVA")</f>
        <v>CAPACIDAD_TOLVA</v>
      </c>
      <c r="T1" s="252" t="str">
        <f>IFERROR(__xludf.DUMMYFUNCTION("""COMPUTED_VALUE"""),"CAPACIDAD_BALDE")</f>
        <v>CAPACIDAD_BALDE</v>
      </c>
      <c r="U1" s="252" t="str">
        <f>IFERROR(__xludf.DUMMYFUNCTION("""COMPUTED_VALUE"""),"COMENTARIOS_PAUTA")</f>
        <v>COMENTARIOS_PAUTA</v>
      </c>
      <c r="V1" s="252" t="str">
        <f>IFERROR(__xludf.DUMMYFUNCTION("""COMPUTED_VALUE"""),"NF_50")</f>
        <v>NF_50</v>
      </c>
      <c r="W1" s="252" t="str">
        <f>IFERROR(__xludf.DUMMYFUNCTION("""COMPUTED_VALUE"""),"NF_250 ")</f>
        <v>NF_250 </v>
      </c>
      <c r="X1" s="252" t="str">
        <f>IFERROR(__xludf.DUMMYFUNCTION("""COMPUTED_VALUE"""),"NF_500")</f>
        <v>NF_500</v>
      </c>
      <c r="Y1" s="252" t="str">
        <f>IFERROR(__xludf.DUMMYFUNCTION("""COMPUTED_VALUE"""),"NF_750")</f>
        <v>NF_750</v>
      </c>
      <c r="Z1" s="252" t="str">
        <f>IFERROR(__xludf.DUMMYFUNCTION("""COMPUTED_VALUE"""),"NF_1000")</f>
        <v>NF_1000</v>
      </c>
      <c r="AA1" s="252" t="str">
        <f>IFERROR(__xludf.DUMMYFUNCTION("""COMPUTED_VALUE"""),"NF_2000")</f>
        <v>NF_2000</v>
      </c>
      <c r="AB1" s="252" t="str">
        <f>IFERROR(__xludf.DUMMYFUNCTION("""COMPUTED_VALUE"""),"ESTADO")</f>
        <v>ESTADO</v>
      </c>
      <c r="AC1" s="252" t="str">
        <f>IFERROR(__xludf.DUMMYFUNCTION("""COMPUTED_VALUE"""),"FOTO1")</f>
        <v>FOTO1</v>
      </c>
      <c r="AD1" s="252" t="str">
        <f>IFERROR(__xludf.DUMMYFUNCTION("""COMPUTED_VALUE"""),"CONTRATO_VIGENTE")</f>
        <v>CONTRATO_VIGENTE</v>
      </c>
      <c r="AE1" s="252" t="str">
        <f>IFERROR(__xludf.DUMMYFUNCTION("""COMPUTED_VALUE"""),"ALERTA_INCIDENTE")</f>
        <v>ALERTA_INCIDENTE</v>
      </c>
      <c r="AF1" s="252" t="str">
        <f>IFERROR(__xludf.DUMMYFUNCTION("""COMPUTED_VALUE"""),"CONTROL")</f>
        <v>CONTROL</v>
      </c>
      <c r="AG1" s="252" t="str">
        <f>IFERROR(__xludf.DUMMYFUNCTION("""COMPUTED_VALUE"""),"MAQUINA")</f>
        <v>MAQUINA</v>
      </c>
      <c r="AH1" s="252" t="str">
        <f>IFERROR(__xludf.DUMMYFUNCTION("""COMPUTED_VALUE"""),"HR_Actual")</f>
        <v>HR_Actual</v>
      </c>
      <c r="AI1" s="252" t="str">
        <f>IFERROR(__xludf.DUMMYFUNCTION("""COMPUTED_VALUE"""),"KM_Actual")</f>
        <v>KM_Actual</v>
      </c>
      <c r="AJ1" s="252" t="str">
        <f>IFERROR(__xludf.DUMMYFUNCTION("""COMPUTED_VALUE"""),"Ultima_Actualizacion_HR")</f>
        <v>Ultima_Actualizacion_HR</v>
      </c>
      <c r="AK1" s="252" t="str">
        <f>IFERROR(__xludf.DUMMYFUNCTION("""COMPUTED_VALUE"""),"Ultima_Actualizacion_KM")</f>
        <v>Ultima_Actualizacion_KM</v>
      </c>
      <c r="AL1" s="880" t="str">
        <f>IFERROR(__xludf.DUMMYFUNCTION("""COMPUTED_VALUE"""),"HR_Proximo_Preventivo")</f>
        <v>HR_Proximo_Preventivo</v>
      </c>
      <c r="AM1" s="252" t="str">
        <f>IFERROR(__xludf.DUMMYFUNCTION("""COMPUTED_VALUE"""),"KM_Proximo_Preventivo")</f>
        <v>KM_Proximo_Preventivo</v>
      </c>
      <c r="AN1" s="252" t="str">
        <f>IFERROR(__xludf.DUMMYFUNCTION("""COMPUTED_VALUE"""),"ID_OT_Ultimo_Preventivo")</f>
        <v>ID_OT_Ultimo_Preventivo</v>
      </c>
      <c r="AO1" s="252" t="str">
        <f>IFERROR(__xludf.DUMMYFUNCTION("""COMPUTED_VALUE"""),"KmHr")</f>
        <v>KmHr</v>
      </c>
      <c r="AP1" s="252" t="str">
        <f>IFERROR(__xludf.DUMMYFUNCTION("""COMPUTED_VALUE"""),"ID_Ultimo_IS")</f>
        <v>ID_Ultimo_IS</v>
      </c>
      <c r="AQ1" s="252" t="str">
        <f>IFERROR(__xludf.DUMMYFUNCTION("""COMPUTED_VALUE"""),"HR_ActualCopia")</f>
        <v>HR_ActualCopia</v>
      </c>
      <c r="AR1" s="252" t="str">
        <f>IFERROR(__xludf.DUMMYFUNCTION("""COMPUTED_VALUE"""),"KM_ActualCopia")</f>
        <v>KM_ActualCopia</v>
      </c>
      <c r="AS1" s="881" t="str">
        <f>IFERROR(__xludf.DUMMYFUNCTION("""COMPUTED_VALUE"""),"Fecha_Horometro")</f>
        <v>Fecha_Horometro</v>
      </c>
      <c r="AT1" s="881" t="str">
        <f>IFERROR(__xludf.DUMMYFUNCTION("""COMPUTED_VALUE"""),"Fecha_CuentaKm")</f>
        <v>Fecha_CuentaKm</v>
      </c>
      <c r="AU1" s="252" t="str">
        <f>IFERROR(__xludf.DUMMYFUNCTION("""COMPUTED_VALUE"""),"ID_Ultimo_Reporte")</f>
        <v>ID_Ultimo_Reporte</v>
      </c>
      <c r="AV1" s="252" t="str">
        <f>IFERROR(__xludf.DUMMYFUNCTION("""COMPUTED_VALUE"""),"ID_Ultima_Recarga")</f>
        <v>ID_Ultima_Recarga</v>
      </c>
      <c r="AW1" s="252" t="str">
        <f>IFERROR(__xludf.DUMMYFUNCTION("""COMPUTED_VALUE"""),"Litros_Ultima")</f>
        <v>Litros_Ultima</v>
      </c>
      <c r="AX1" s="252" t="str">
        <f>IFERROR(__xludf.DUMMYFUNCTION("""COMPUTED_VALUE"""),"HrTrabajadas_Ultima")</f>
        <v>HrTrabajadas_Ultima</v>
      </c>
      <c r="AY1" s="252" t="str">
        <f>IFERROR(__xludf.DUMMYFUNCTION("""COMPUTED_VALUE"""),"KmRecorridos_Ultima")</f>
        <v>KmRecorridos_Ultima</v>
      </c>
      <c r="AZ1" s="252" t="str">
        <f>IFERROR(__xludf.DUMMYFUNCTION("""COMPUTED_VALUE"""),"Fecha_Ultima")</f>
        <v>Fecha_Ultima</v>
      </c>
    </row>
    <row r="2">
      <c r="A2" s="252" t="str">
        <f>IFERROR(__xludf.DUMMYFUNCTION("""COMPUTED_VALUE"""),"00e8b7bd")</f>
        <v>00e8b7bd</v>
      </c>
      <c r="B2" s="252" t="str">
        <f>IFERROR(__xludf.DUMMYFUNCTION("""COMPUTED_VALUE"""),"C-52 LGTF54")</f>
        <v>C-52 LGTF54</v>
      </c>
      <c r="C2" s="252" t="str">
        <f>IFERROR(__xludf.DUMMYFUNCTION("""COMPUTED_VALUE"""),"CAMIONETA")</f>
        <v>CAMIONETA</v>
      </c>
      <c r="D2" s="252" t="str">
        <f>IFERROR(__xludf.DUMMYFUNCTION("""COMPUTED_VALUE"""),"CAMIONETA")</f>
        <v>CAMIONETA</v>
      </c>
      <c r="E2" s="252" t="str">
        <f>IFERROR(__xludf.DUMMYFUNCTION("""COMPUTED_VALUE"""),"MITSUBISHI")</f>
        <v>MITSUBISHI</v>
      </c>
      <c r="F2" s="252" t="str">
        <f>IFERROR(__xludf.DUMMYFUNCTION("""COMPUTED_VALUE"""),"L200")</f>
        <v>L200</v>
      </c>
      <c r="G2" s="252"/>
      <c r="H2" s="252"/>
      <c r="I2" s="252"/>
      <c r="J2" s="252" t="str">
        <f>IFERROR(__xludf.DUMMYFUNCTION("""COMPUTED_VALUE"""),"LGTF54")</f>
        <v>LGTF54</v>
      </c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 t="str">
        <f>IFERROR(__xludf.DUMMYFUNCTION("""COMPUTED_VALUE"""),"Fuera de la empresa")</f>
        <v>Fuera de la empresa</v>
      </c>
      <c r="AC2" s="252"/>
      <c r="AD2" s="252">
        <f>IFERROR(__xludf.DUMMYFUNCTION("""COMPUTED_VALUE"""),1074.0)</f>
        <v>1074</v>
      </c>
      <c r="AE2" s="252" t="str">
        <f>IFERROR(__xludf.DUMMYFUNCTION("""COMPUTED_VALUE"""),"Sin incidentes")</f>
        <v>Sin incidentes</v>
      </c>
      <c r="AF2" s="252"/>
      <c r="AG2" s="252" t="str">
        <f>IFERROR(__xludf.DUMMYFUNCTION("""COMPUTED_VALUE"""),"[C-52 LGTF54] - MITSUBISHI L200")</f>
        <v>[C-52 LGTF54] - MITSUBISHI L200</v>
      </c>
      <c r="AH2" s="252">
        <f>IFERROR(__xludf.DUMMYFUNCTION("""COMPUTED_VALUE"""),1.0)</f>
        <v>1</v>
      </c>
      <c r="AI2" s="252">
        <f>IFERROR(__xludf.DUMMYFUNCTION("""COMPUTED_VALUE"""),68374.0)</f>
        <v>68374</v>
      </c>
      <c r="AJ2" s="882">
        <f>IFERROR(__xludf.DUMMYFUNCTION("""COMPUTED_VALUE"""),46063.380844907406)</f>
        <v>46063.38084</v>
      </c>
      <c r="AK2" s="882">
        <f>IFERROR(__xludf.DUMMYFUNCTION("""COMPUTED_VALUE"""),46069.475625)</f>
        <v>46069.47563</v>
      </c>
      <c r="AL2" s="252"/>
      <c r="AM2" s="880">
        <f>IFERROR(__xludf.DUMMYFUNCTION("""COMPUTED_VALUE"""),71666.0)</f>
        <v>71666</v>
      </c>
      <c r="AN2" s="252" t="str">
        <f>IFERROR(__xludf.DUMMYFUNCTION("""COMPUTED_VALUE"""),"OT250709085939")</f>
        <v>OT250709085939</v>
      </c>
      <c r="AO2" s="252" t="str">
        <f>IFERROR(__xludf.DUMMYFUNCTION("""COMPUTED_VALUE"""),"Km")</f>
        <v>Km</v>
      </c>
      <c r="AP2" s="252" t="str">
        <f>IFERROR(__xludf.DUMMYFUNCTION("""COMPUTED_VALUE"""),"IS251029103227")</f>
        <v>IS251029103227</v>
      </c>
      <c r="AQ2" s="252"/>
      <c r="AR2" s="252">
        <f>IFERROR(__xludf.DUMMYFUNCTION("""COMPUTED_VALUE"""),44200.0)</f>
        <v>44200</v>
      </c>
      <c r="AS2" s="881">
        <f>IFERROR(__xludf.DUMMYFUNCTION("""COMPUTED_VALUE"""),44927.0)</f>
        <v>44927</v>
      </c>
      <c r="AT2" s="881">
        <f>IFERROR(__xludf.DUMMYFUNCTION("""COMPUTED_VALUE"""),44927.0)</f>
        <v>44927</v>
      </c>
      <c r="AU2" s="252" t="str">
        <f>IFERROR(__xludf.DUMMYFUNCTION("""COMPUTED_VALUE"""),"RDC260216132411")</f>
        <v>RDC260216132411</v>
      </c>
      <c r="AV2" s="252" t="str">
        <f>IFERROR(__xludf.DUMMYFUNCTION("""COMPUTED_VALUE"""),"RCO251029082145")</f>
        <v>RCO251029082145</v>
      </c>
      <c r="AW2" s="252">
        <f>IFERROR(__xludf.DUMMYFUNCTION("""COMPUTED_VALUE"""),50.0)</f>
        <v>50</v>
      </c>
      <c r="AX2" s="252"/>
      <c r="AY2" s="252">
        <f>IFERROR(__xludf.DUMMYFUNCTION("""COMPUTED_VALUE"""),2436.0)</f>
        <v>2436</v>
      </c>
      <c r="AZ2" s="883">
        <f>IFERROR(__xludf.DUMMYFUNCTION("""COMPUTED_VALUE"""),45959.0)</f>
        <v>45959</v>
      </c>
    </row>
    <row r="3">
      <c r="A3" s="252" t="str">
        <f>IFERROR(__xludf.DUMMYFUNCTION("""COMPUTED_VALUE"""),"015142dd")</f>
        <v>015142dd</v>
      </c>
      <c r="B3" s="252" t="str">
        <f>IFERROR(__xludf.DUMMYFUNCTION("""COMPUTED_VALUE"""),"EXT-16 RODILLO GHDB23")</f>
        <v>EXT-16 RODILLO GHDB23</v>
      </c>
      <c r="C3" s="252" t="str">
        <f>IFERROR(__xludf.DUMMYFUNCTION("""COMPUTED_VALUE"""),"MAQUINARIA")</f>
        <v>MAQUINARIA</v>
      </c>
      <c r="D3" s="252" t="str">
        <f>IFERROR(__xludf.DUMMYFUNCTION("""COMPUTED_VALUE"""),"EXTERNO")</f>
        <v>EXTERNO</v>
      </c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  <c r="AB3" s="252" t="str">
        <f>IFERROR(__xludf.DUMMYFUNCTION("""COMPUTED_VALUE"""),"En producción")</f>
        <v>En producción</v>
      </c>
      <c r="AC3" s="252"/>
      <c r="AD3" s="252">
        <f>IFERROR(__xludf.DUMMYFUNCTION("""COMPUTED_VALUE"""),504.0)</f>
        <v>504</v>
      </c>
      <c r="AE3" s="252" t="str">
        <f>IFERROR(__xludf.DUMMYFUNCTION("""COMPUTED_VALUE"""),"Sin incidentes")</f>
        <v>Sin incidentes</v>
      </c>
      <c r="AF3" s="252"/>
      <c r="AG3" s="252" t="str">
        <f>IFERROR(__xludf.DUMMYFUNCTION("""COMPUTED_VALUE"""),"[EXT-16 RODILLO GHDB23] -  ")</f>
        <v>[EXT-16 RODILLO GHDB23] -  </v>
      </c>
      <c r="AH3" s="252">
        <f>IFERROR(__xludf.DUMMYFUNCTION("""COMPUTED_VALUE"""),4993.0)</f>
        <v>4993</v>
      </c>
      <c r="AI3" s="252"/>
      <c r="AJ3" s="882">
        <f>IFERROR(__xludf.DUMMYFUNCTION("""COMPUTED_VALUE"""),45723.56280092592)</f>
        <v>45723.5628</v>
      </c>
      <c r="AK3" s="252"/>
      <c r="AL3" s="880">
        <f>IFERROR(__xludf.DUMMYFUNCTION("""COMPUTED_VALUE"""),5000.0)</f>
        <v>5000</v>
      </c>
      <c r="AM3" s="880" t="str">
        <f>IFERROR(__xludf.DUMMYFUNCTION("""COMPUTED_VALUE"""),"")</f>
        <v/>
      </c>
      <c r="AN3" s="252"/>
      <c r="AO3" s="252" t="str">
        <f>IFERROR(__xludf.DUMMYFUNCTION("""COMPUTED_VALUE"""),"Hr")</f>
        <v>Hr</v>
      </c>
      <c r="AP3" s="252"/>
      <c r="AQ3" s="252">
        <f>IFERROR(__xludf.DUMMYFUNCTION("""COMPUTED_VALUE"""),4993.0)</f>
        <v>4993</v>
      </c>
      <c r="AR3" s="252"/>
      <c r="AS3" s="881">
        <f>IFERROR(__xludf.DUMMYFUNCTION("""COMPUTED_VALUE"""),44927.0)</f>
        <v>44927</v>
      </c>
      <c r="AT3" s="881">
        <f>IFERROR(__xludf.DUMMYFUNCTION("""COMPUTED_VALUE"""),44927.0)</f>
        <v>44927</v>
      </c>
      <c r="AU3" s="252" t="str">
        <f>IFERROR(__xludf.DUMMYFUNCTION("""COMPUTED_VALUE"""),"RDC250207081721")</f>
        <v>RDC250207081721</v>
      </c>
      <c r="AV3" s="252"/>
      <c r="AW3" s="252"/>
      <c r="AX3" s="252"/>
      <c r="AY3" s="252"/>
      <c r="AZ3" s="252"/>
    </row>
    <row r="4">
      <c r="A4" s="252" t="str">
        <f>IFERROR(__xludf.DUMMYFUNCTION("""COMPUTED_VALUE"""),"069deb48")</f>
        <v>069deb48</v>
      </c>
      <c r="B4" s="252" t="str">
        <f>IFERROR(__xludf.DUMMYFUNCTION("""COMPUTED_VALUE"""),"MB-01 KDWS38")</f>
        <v>MB-01 KDWS38</v>
      </c>
      <c r="C4" s="252" t="str">
        <f>IFERROR(__xludf.DUMMYFUNCTION("""COMPUTED_VALUE"""),"CAMIONETA")</f>
        <v>CAMIONETA</v>
      </c>
      <c r="D4" s="252" t="str">
        <f>IFERROR(__xludf.DUMMYFUNCTION("""COMPUTED_VALUE"""),"MINI BUS")</f>
        <v>MINI BUS</v>
      </c>
      <c r="E4" s="252" t="str">
        <f>IFERROR(__xludf.DUMMYFUNCTION("""COMPUTED_VALUE"""),"MERCEDEZ BENZ")</f>
        <v>MERCEDEZ BENZ</v>
      </c>
      <c r="F4" s="252" t="str">
        <f>IFERROR(__xludf.DUMMYFUNCTION("""COMPUTED_VALUE"""),"SPRINTER 315 CDI")</f>
        <v>SPRINTER 315 CDI</v>
      </c>
      <c r="G4" s="252">
        <f>IFERROR(__xludf.DUMMYFUNCTION("""COMPUTED_VALUE"""),2018.0)</f>
        <v>2018</v>
      </c>
      <c r="H4" s="252" t="str">
        <f>IFERROR(__xludf.DUMMYFUNCTION("""COMPUTED_VALUE"""),"65195534098994")</f>
        <v>65195534098994</v>
      </c>
      <c r="I4" s="252" t="str">
        <f>IFERROR(__xludf.DUMMYFUNCTION("""COMPUTED_VALUE"""),"WDB906633JP410005")</f>
        <v>WDB906633JP410005</v>
      </c>
      <c r="J4" s="252" t="str">
        <f>IFERROR(__xludf.DUMMYFUNCTION("""COMPUTED_VALUE"""),"KDWS38-2")</f>
        <v>KDWS38-2</v>
      </c>
      <c r="K4" s="252"/>
      <c r="L4" s="252"/>
      <c r="M4" s="252"/>
      <c r="N4" s="252"/>
      <c r="O4" s="252"/>
      <c r="P4" s="252" t="str">
        <f>IFERROR(__xludf.DUMMYFUNCTION("""COMPUTED_VALUE"""),"3880")</f>
        <v>3880</v>
      </c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 t="str">
        <f>IFERROR(__xludf.DUMMYFUNCTION("""COMPUTED_VALUE"""),"En producción")</f>
        <v>En producción</v>
      </c>
      <c r="AC4" s="252"/>
      <c r="AD4" s="252">
        <f>IFERROR(__xludf.DUMMYFUNCTION("""COMPUTED_VALUE"""),892.0)</f>
        <v>892</v>
      </c>
      <c r="AE4" s="252" t="str">
        <f>IFERROR(__xludf.DUMMYFUNCTION("""COMPUTED_VALUE"""),"Sin incidentes")</f>
        <v>Sin incidentes</v>
      </c>
      <c r="AF4" s="252"/>
      <c r="AG4" s="252" t="str">
        <f>IFERROR(__xludf.DUMMYFUNCTION("""COMPUTED_VALUE"""),"[MB-01 KDWS38] - MERCEDEZ BENZ SPRINTER 315 CDI")</f>
        <v>[MB-01 KDWS38] - MERCEDEZ BENZ SPRINTER 315 CDI</v>
      </c>
      <c r="AH4" s="252"/>
      <c r="AI4" s="252">
        <f>IFERROR(__xludf.DUMMYFUNCTION("""COMPUTED_VALUE"""),344355.0)</f>
        <v>344355</v>
      </c>
      <c r="AJ4" s="882">
        <f>IFERROR(__xludf.DUMMYFUNCTION("""COMPUTED_VALUE"""),45723.53969907408)</f>
        <v>45723.5397</v>
      </c>
      <c r="AK4" s="882">
        <f>IFERROR(__xludf.DUMMYFUNCTION("""COMPUTED_VALUE"""),46096.506898148145)</f>
        <v>46096.5069</v>
      </c>
      <c r="AL4" s="252"/>
      <c r="AM4" s="880">
        <f>IFERROR(__xludf.DUMMYFUNCTION("""COMPUTED_VALUE"""),350495.0)</f>
        <v>350495</v>
      </c>
      <c r="AN4" s="252" t="str">
        <f>IFERROR(__xludf.DUMMYFUNCTION("""COMPUTED_VALUE"""),"OT260212181745")</f>
        <v>OT260212181745</v>
      </c>
      <c r="AO4" s="252" t="str">
        <f>IFERROR(__xludf.DUMMYFUNCTION("""COMPUTED_VALUE"""),"Km")</f>
        <v>Km</v>
      </c>
      <c r="AP4" s="252" t="str">
        <f>IFERROR(__xludf.DUMMYFUNCTION("""COMPUTED_VALUE"""),"IS250912104536")</f>
        <v>IS250912104536</v>
      </c>
      <c r="AQ4" s="252"/>
      <c r="AR4" s="252">
        <f>IFERROR(__xludf.DUMMYFUNCTION("""COMPUTED_VALUE"""),302822.0)</f>
        <v>302822</v>
      </c>
      <c r="AS4" s="881">
        <f>IFERROR(__xludf.DUMMYFUNCTION("""COMPUTED_VALUE"""),44927.0)</f>
        <v>44927</v>
      </c>
      <c r="AT4" s="881">
        <f>IFERROR(__xludf.DUMMYFUNCTION("""COMPUTED_VALUE"""),44927.0)</f>
        <v>44927</v>
      </c>
      <c r="AU4" s="252" t="str">
        <f>IFERROR(__xludf.DUMMYFUNCTION("""COMPUTED_VALUE"""),"RDC260305203324")</f>
        <v>RDC260305203324</v>
      </c>
      <c r="AV4" s="252" t="str">
        <f>IFERROR(__xludf.DUMMYFUNCTION("""COMPUTED_VALUE"""),"RCO260315140517")</f>
        <v>RCO260315140517</v>
      </c>
      <c r="AW4" s="252">
        <f>IFERROR(__xludf.DUMMYFUNCTION("""COMPUTED_VALUE"""),35.0)</f>
        <v>35</v>
      </c>
      <c r="AX4" s="252"/>
      <c r="AY4" s="252">
        <f>IFERROR(__xludf.DUMMYFUNCTION("""COMPUTED_VALUE"""),257.0)</f>
        <v>257</v>
      </c>
      <c r="AZ4" s="884">
        <f>IFERROR(__xludf.DUMMYFUNCTION("""COMPUTED_VALUE"""),46096.0)</f>
        <v>46096</v>
      </c>
    </row>
    <row r="5">
      <c r="A5" s="252" t="str">
        <f>IFERROR(__xludf.DUMMYFUNCTION("""COMPUTED_VALUE"""),"102cb70d")</f>
        <v>102cb70d</v>
      </c>
      <c r="B5" s="252" t="str">
        <f>IFERROR(__xludf.DUMMYFUNCTION("""COMPUTED_VALUE"""),"CT-25 WH9819-7")</f>
        <v>CT-25 WH9819-7</v>
      </c>
      <c r="C5" s="252" t="str">
        <f>IFERROR(__xludf.DUMMYFUNCTION("""COMPUTED_VALUE"""),"CAMION TOLVA")</f>
        <v>CAMION TOLVA</v>
      </c>
      <c r="D5" s="252" t="str">
        <f>IFERROR(__xludf.DUMMYFUNCTION("""COMPUTED_VALUE"""),"CAMION TOLVA")</f>
        <v>CAMION TOLVA</v>
      </c>
      <c r="E5" s="252" t="str">
        <f>IFERROR(__xludf.DUMMYFUNCTION("""COMPUTED_VALUE"""),"MACK")</f>
        <v>MACK</v>
      </c>
      <c r="F5" s="252" t="str">
        <f>IFERROR(__xludf.DUMMYFUNCTION("""COMPUTED_VALUE"""),"CV713")</f>
        <v>CV713</v>
      </c>
      <c r="G5" s="252">
        <f>IFERROR(__xludf.DUMMYFUNCTION("""COMPUTED_VALUE"""),2006.0)</f>
        <v>2006</v>
      </c>
      <c r="H5" s="252" t="str">
        <f>IFERROR(__xludf.DUMMYFUNCTION("""COMPUTED_VALUE"""),"5W1432")</f>
        <v>5W1432</v>
      </c>
      <c r="I5" s="252" t="str">
        <f>IFERROR(__xludf.DUMMYFUNCTION("""COMPUTED_VALUE"""),"1M2AG11C96M043974")</f>
        <v>1M2AG11C96M043974</v>
      </c>
      <c r="J5" s="252" t="str">
        <f>IFERROR(__xludf.DUMMYFUNCTION("""COMPUTED_VALUE"""),"WH9819-7")</f>
        <v>WH9819-7</v>
      </c>
      <c r="K5" s="252" t="str">
        <f>IFERROR(__xludf.DUMMYFUNCTION("""COMPUTED_VALUE"""),"COMERCIALIZADORA ECMA SPA")</f>
        <v>COMERCIALIZADORA ECMA SPA</v>
      </c>
      <c r="L5" s="252"/>
      <c r="M5" s="252"/>
      <c r="N5" s="252"/>
      <c r="O5" s="252"/>
      <c r="P5" s="252"/>
      <c r="Q5" s="252"/>
      <c r="R5" s="252"/>
      <c r="S5" s="252" t="str">
        <f>IFERROR(__xludf.DUMMYFUNCTION("""COMPUTED_VALUE"""),"15")</f>
        <v>15</v>
      </c>
      <c r="T5" s="252"/>
      <c r="U5" s="252"/>
      <c r="V5" s="252"/>
      <c r="W5" s="252"/>
      <c r="X5" s="252"/>
      <c r="Y5" s="252"/>
      <c r="Z5" s="252"/>
      <c r="AA5" s="252"/>
      <c r="AB5" s="252" t="str">
        <f>IFERROR(__xludf.DUMMYFUNCTION("""COMPUTED_VALUE"""),"En producción")</f>
        <v>En producción</v>
      </c>
      <c r="AC5" s="252" t="str">
        <f>IFERROR(__xludf.DUMMYFUNCTION("""COMPUTED_VALUE"""),"MAQUINAS_Images/102cb70d.FOTO1.200147.jpg")</f>
        <v>MAQUINAS_Images/102cb70d.FOTO1.200147.jpg</v>
      </c>
      <c r="AD5" s="252">
        <f>IFERROR(__xludf.DUMMYFUNCTION("""COMPUTED_VALUE"""),367.0)</f>
        <v>367</v>
      </c>
      <c r="AE5" s="252" t="str">
        <f>IFERROR(__xludf.DUMMYFUNCTION("""COMPUTED_VALUE"""),"Sin incidentes")</f>
        <v>Sin incidentes</v>
      </c>
      <c r="AF5" s="252"/>
      <c r="AG5" s="252" t="str">
        <f>IFERROR(__xludf.DUMMYFUNCTION("""COMPUTED_VALUE"""),"[CT-25 WH9819-7] - MACK CV713")</f>
        <v>[CT-25 WH9819-7] - MACK CV713</v>
      </c>
      <c r="AH5" s="252">
        <f>IFERROR(__xludf.DUMMYFUNCTION("""COMPUTED_VALUE"""),1130.0)</f>
        <v>1130</v>
      </c>
      <c r="AI5" s="252">
        <f>IFERROR(__xludf.DUMMYFUNCTION("""COMPUTED_VALUE"""),283438.0)</f>
        <v>283438</v>
      </c>
      <c r="AJ5" s="882">
        <f>IFERROR(__xludf.DUMMYFUNCTION("""COMPUTED_VALUE"""),46094.683275462965)</f>
        <v>46094.68328</v>
      </c>
      <c r="AK5" s="882">
        <f>IFERROR(__xludf.DUMMYFUNCTION("""COMPUTED_VALUE"""),46093.258414351854)</f>
        <v>46093.25841</v>
      </c>
      <c r="AL5" s="880">
        <f>IFERROR(__xludf.DUMMYFUNCTION("""COMPUTED_VALUE"""),1461.0)</f>
        <v>1461</v>
      </c>
      <c r="AM5" s="252"/>
      <c r="AN5" s="252" t="str">
        <f>IFERROR(__xludf.DUMMYFUNCTION("""COMPUTED_VALUE"""),"OT260310170000")</f>
        <v>OT260310170000</v>
      </c>
      <c r="AO5" s="252" t="str">
        <f>IFERROR(__xludf.DUMMYFUNCTION("""COMPUTED_VALUE"""),"Hr")</f>
        <v>Hr</v>
      </c>
      <c r="AP5" s="252" t="str">
        <f>IFERROR(__xludf.DUMMYFUNCTION("""COMPUTED_VALUE"""),"IS260312085331")</f>
        <v>IS260312085331</v>
      </c>
      <c r="AQ5" s="252">
        <f>IFERROR(__xludf.DUMMYFUNCTION("""COMPUTED_VALUE"""),391.0)</f>
        <v>391</v>
      </c>
      <c r="AR5" s="252"/>
      <c r="AS5" s="881">
        <f>IFERROR(__xludf.DUMMYFUNCTION("""COMPUTED_VALUE"""),44927.0)</f>
        <v>44927</v>
      </c>
      <c r="AT5" s="881">
        <f>IFERROR(__xludf.DUMMYFUNCTION("""COMPUTED_VALUE"""),44927.0)</f>
        <v>44927</v>
      </c>
      <c r="AU5" s="252" t="str">
        <f>IFERROR(__xludf.DUMMYFUNCTION("""COMPUTED_VALUE"""),"RDC260313182002")</f>
        <v>RDC260313182002</v>
      </c>
      <c r="AV5" s="252" t="str">
        <f>IFERROR(__xludf.DUMMYFUNCTION("""COMPUTED_VALUE"""),"RCO260312081057")</f>
        <v>RCO260312081057</v>
      </c>
      <c r="AW5" s="252">
        <f>IFERROR(__xludf.DUMMYFUNCTION("""COMPUTED_VALUE"""),90.0)</f>
        <v>90</v>
      </c>
      <c r="AX5" s="252">
        <f>IFERROR(__xludf.DUMMYFUNCTION("""COMPUTED_VALUE"""),7.0)</f>
        <v>7</v>
      </c>
      <c r="AY5" s="252">
        <f>IFERROR(__xludf.DUMMYFUNCTION("""COMPUTED_VALUE"""),0.0)</f>
        <v>0</v>
      </c>
      <c r="AZ5" s="883">
        <f>IFERROR(__xludf.DUMMYFUNCTION("""COMPUTED_VALUE"""),46093.0)</f>
        <v>46093</v>
      </c>
    </row>
    <row r="6">
      <c r="A6" s="252" t="str">
        <f>IFERROR(__xludf.DUMMYFUNCTION("""COMPUTED_VALUE"""),"1234c9d4")</f>
        <v>1234c9d4</v>
      </c>
      <c r="B6" s="252" t="str">
        <f>IFERROR(__xludf.DUMMYFUNCTION("""COMPUTED_VALUE"""),"BA-01")</f>
        <v>BA-01</v>
      </c>
      <c r="C6" s="252" t="str">
        <f>IFERROR(__xludf.DUMMYFUNCTION("""COMPUTED_VALUE"""),"BARREDORA")</f>
        <v>BARREDORA</v>
      </c>
      <c r="D6" s="252" t="str">
        <f>IFERROR(__xludf.DUMMYFUNCTION("""COMPUTED_VALUE"""),"BARREDORA")</f>
        <v>BARREDORA</v>
      </c>
      <c r="E6" s="252" t="str">
        <f>IFERROR(__xludf.DUMMYFUNCTION("""COMPUTED_VALUE"""),"LAYMOR")</f>
        <v>LAYMOR</v>
      </c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 t="str">
        <f>IFERROR(__xludf.DUMMYFUNCTION("""COMPUTED_VALUE"""),"En producción")</f>
        <v>En producción</v>
      </c>
      <c r="AC6" s="252" t="str">
        <f>IFERROR(__xludf.DUMMYFUNCTION("""COMPUTED_VALUE"""),"MAQUINAS_Images/1234c9d4.FOTO1.133049.jpg")</f>
        <v>MAQUINAS_Images/1234c9d4.FOTO1.133049.jpg</v>
      </c>
      <c r="AD6" s="252">
        <f>IFERROR(__xludf.DUMMYFUNCTION("""COMPUTED_VALUE"""),1091.0)</f>
        <v>1091</v>
      </c>
      <c r="AE6" s="252" t="str">
        <f>IFERROR(__xludf.DUMMYFUNCTION("""COMPUTED_VALUE"""),"Sin incidentes")</f>
        <v>Sin incidentes</v>
      </c>
      <c r="AF6" s="252"/>
      <c r="AG6" s="252" t="str">
        <f>IFERROR(__xludf.DUMMYFUNCTION("""COMPUTED_VALUE"""),"[BA-01] - LAYMOR ")</f>
        <v>[BA-01] - LAYMOR </v>
      </c>
      <c r="AH6" s="252">
        <f>IFERROR(__xludf.DUMMYFUNCTION("""COMPUTED_VALUE"""),1408.0)</f>
        <v>1408</v>
      </c>
      <c r="AI6" s="252">
        <f>IFERROR(__xludf.DUMMYFUNCTION("""COMPUTED_VALUE"""),1.0)</f>
        <v>1</v>
      </c>
      <c r="AJ6" s="882">
        <f>IFERROR(__xludf.DUMMYFUNCTION("""COMPUTED_VALUE"""),46095.2530787037)</f>
        <v>46095.25308</v>
      </c>
      <c r="AK6" s="882">
        <f>IFERROR(__xludf.DUMMYFUNCTION("""COMPUTED_VALUE"""),46070.59564814815)</f>
        <v>46070.59565</v>
      </c>
      <c r="AL6" s="880">
        <f>IFERROR(__xludf.DUMMYFUNCTION("""COMPUTED_VALUE"""),1258.0)</f>
        <v>1258</v>
      </c>
      <c r="AM6" s="880" t="str">
        <f>IFERROR(__xludf.DUMMYFUNCTION("""COMPUTED_VALUE"""),"")</f>
        <v/>
      </c>
      <c r="AN6" s="252" t="str">
        <f>IFERROR(__xludf.DUMMYFUNCTION("""COMPUTED_VALUE"""),"OT250902095632")</f>
        <v>OT250902095632</v>
      </c>
      <c r="AO6" s="252" t="str">
        <f>IFERROR(__xludf.DUMMYFUNCTION("""COMPUTED_VALUE"""),"Hr")</f>
        <v>Hr</v>
      </c>
      <c r="AP6" s="252"/>
      <c r="AQ6" s="252">
        <f>IFERROR(__xludf.DUMMYFUNCTION("""COMPUTED_VALUE"""),1047.0)</f>
        <v>1047</v>
      </c>
      <c r="AR6" s="252"/>
      <c r="AS6" s="881">
        <f>IFERROR(__xludf.DUMMYFUNCTION("""COMPUTED_VALUE"""),44927.0)</f>
        <v>44927</v>
      </c>
      <c r="AT6" s="881">
        <f>IFERROR(__xludf.DUMMYFUNCTION("""COMPUTED_VALUE"""),44927.0)</f>
        <v>44927</v>
      </c>
      <c r="AU6" s="252" t="str">
        <f>IFERROR(__xludf.DUMMYFUNCTION("""COMPUTED_VALUE"""),"RDC260314080353")</f>
        <v>RDC260314080353</v>
      </c>
      <c r="AV6" s="252" t="str">
        <f>IFERROR(__xludf.DUMMYFUNCTION("""COMPUTED_VALUE"""),"RCO260206105705")</f>
        <v>RCO260206105705</v>
      </c>
      <c r="AW6" s="252">
        <f>IFERROR(__xludf.DUMMYFUNCTION("""COMPUTED_VALUE"""),80.0)</f>
        <v>80</v>
      </c>
      <c r="AX6" s="252">
        <f>IFERROR(__xludf.DUMMYFUNCTION("""COMPUTED_VALUE"""),17.0)</f>
        <v>17</v>
      </c>
      <c r="AY6" s="252">
        <f>IFERROR(__xludf.DUMMYFUNCTION("""COMPUTED_VALUE"""),0.0)</f>
        <v>0</v>
      </c>
      <c r="AZ6" s="883">
        <f>IFERROR(__xludf.DUMMYFUNCTION("""COMPUTED_VALUE"""),46059.0)</f>
        <v>46059</v>
      </c>
    </row>
    <row r="7">
      <c r="A7" s="252" t="str">
        <f>IFERROR(__xludf.DUMMYFUNCTION("""COMPUTED_VALUE"""),"12fa78bc")</f>
        <v>12fa78bc</v>
      </c>
      <c r="B7" s="252" t="str">
        <f>IFERROR(__xludf.DUMMYFUNCTION("""COMPUTED_VALUE"""),"C-51 TSXT79")</f>
        <v>C-51 TSXT79</v>
      </c>
      <c r="C7" s="252" t="str">
        <f>IFERROR(__xludf.DUMMYFUNCTION("""COMPUTED_VALUE"""),"CAMIONETA")</f>
        <v>CAMIONETA</v>
      </c>
      <c r="D7" s="252" t="str">
        <f>IFERROR(__xludf.DUMMYFUNCTION("""COMPUTED_VALUE"""),"CAMIONETA")</f>
        <v>CAMIONETA</v>
      </c>
      <c r="E7" s="252" t="str">
        <f>IFERROR(__xludf.DUMMYFUNCTION("""COMPUTED_VALUE"""),"PEUGEOT")</f>
        <v>PEUGEOT</v>
      </c>
      <c r="F7" s="252" t="str">
        <f>IFERROR(__xludf.DUMMYFUNCTION("""COMPUTED_VALUE"""),"PARTNER L2 1.5")</f>
        <v>PARTNER L2 1.5</v>
      </c>
      <c r="G7" s="252">
        <f>IFERROR(__xludf.DUMMYFUNCTION("""COMPUTED_VALUE"""),2025.0)</f>
        <v>2025</v>
      </c>
      <c r="H7" s="252"/>
      <c r="I7" s="252"/>
      <c r="J7" s="252" t="str">
        <f>IFERROR(__xludf.DUMMYFUNCTION("""COMPUTED_VALUE"""),"TSXT79")</f>
        <v>TSXT79</v>
      </c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52"/>
      <c r="V7" s="252"/>
      <c r="W7" s="252"/>
      <c r="X7" s="252"/>
      <c r="Y7" s="252"/>
      <c r="Z7" s="252"/>
      <c r="AA7" s="252"/>
      <c r="AB7" s="252" t="str">
        <f>IFERROR(__xludf.DUMMYFUNCTION("""COMPUTED_VALUE"""),"En producción")</f>
        <v>En producción</v>
      </c>
      <c r="AC7" s="252" t="str">
        <f>IFERROR(__xludf.DUMMYFUNCTION("""COMPUTED_VALUE"""),"MAQUINAS_Images/12fa78bc.FOTO1.120340.jpg")</f>
        <v>MAQUINAS_Images/12fa78bc.FOTO1.120340.jpg</v>
      </c>
      <c r="AD7" s="252">
        <f>IFERROR(__xludf.DUMMYFUNCTION("""COMPUTED_VALUE"""),1065.0)</f>
        <v>1065</v>
      </c>
      <c r="AE7" s="252" t="str">
        <f>IFERROR(__xludf.DUMMYFUNCTION("""COMPUTED_VALUE"""),"Sin incidentes")</f>
        <v>Sin incidentes</v>
      </c>
      <c r="AF7" s="252"/>
      <c r="AG7" s="252" t="str">
        <f>IFERROR(__xludf.DUMMYFUNCTION("""COMPUTED_VALUE"""),"[C-51 TSXT79] - PEUGEOT PARTNER L2 1.5")</f>
        <v>[C-51 TSXT79] - PEUGEOT PARTNER L2 1.5</v>
      </c>
      <c r="AH7" s="252">
        <f>IFERROR(__xludf.DUMMYFUNCTION("""COMPUTED_VALUE"""),1.0)</f>
        <v>1</v>
      </c>
      <c r="AI7" s="252">
        <f>IFERROR(__xludf.DUMMYFUNCTION("""COMPUTED_VALUE"""),85130.0)</f>
        <v>85130</v>
      </c>
      <c r="AJ7" s="882">
        <f>IFERROR(__xludf.DUMMYFUNCTION("""COMPUTED_VALUE"""),46094.34289351852)</f>
        <v>46094.34289</v>
      </c>
      <c r="AK7" s="882">
        <f>IFERROR(__xludf.DUMMYFUNCTION("""COMPUTED_VALUE"""),46094.342939814815)</f>
        <v>46094.34294</v>
      </c>
      <c r="AL7" s="252"/>
      <c r="AM7" s="880">
        <f>IFERROR(__xludf.DUMMYFUNCTION("""COMPUTED_VALUE"""),92544.0)</f>
        <v>92544</v>
      </c>
      <c r="AN7" s="252" t="str">
        <f>IFERROR(__xludf.DUMMYFUNCTION("""COMPUTED_VALUE"""),"OT260219092327")</f>
        <v>OT260219092327</v>
      </c>
      <c r="AO7" s="252" t="str">
        <f>IFERROR(__xludf.DUMMYFUNCTION("""COMPUTED_VALUE"""),"Km")</f>
        <v>Km</v>
      </c>
      <c r="AP7" s="252" t="str">
        <f>IFERROR(__xludf.DUMMYFUNCTION("""COMPUTED_VALUE"""),"IS260225091631")</f>
        <v>IS260225091631</v>
      </c>
      <c r="AQ7" s="252"/>
      <c r="AR7" s="252">
        <f>IFERROR(__xludf.DUMMYFUNCTION("""COMPUTED_VALUE"""),27719.0)</f>
        <v>27719</v>
      </c>
      <c r="AS7" s="881">
        <f>IFERROR(__xludf.DUMMYFUNCTION("""COMPUTED_VALUE"""),44927.0)</f>
        <v>44927</v>
      </c>
      <c r="AT7" s="881">
        <f>IFERROR(__xludf.DUMMYFUNCTION("""COMPUTED_VALUE"""),44927.0)</f>
        <v>44927</v>
      </c>
      <c r="AU7" s="252" t="str">
        <f>IFERROR(__xludf.DUMMYFUNCTION("""COMPUTED_VALUE"""),"RDC260306220315")</f>
        <v>RDC260306220315</v>
      </c>
      <c r="AV7" s="252" t="str">
        <f>IFERROR(__xludf.DUMMYFUNCTION("""COMPUTED_VALUE"""),"RCO260313100939")</f>
        <v>RCO260313100939</v>
      </c>
      <c r="AW7" s="252">
        <f>IFERROR(__xludf.DUMMYFUNCTION("""COMPUTED_VALUE"""),52.0)</f>
        <v>52</v>
      </c>
      <c r="AX7" s="252">
        <f>IFERROR(__xludf.DUMMYFUNCTION("""COMPUTED_VALUE"""),0.0)</f>
        <v>0</v>
      </c>
      <c r="AY7" s="252">
        <f>IFERROR(__xludf.DUMMYFUNCTION("""COMPUTED_VALUE"""),750.0)</f>
        <v>750</v>
      </c>
      <c r="AZ7" s="881">
        <f>IFERROR(__xludf.DUMMYFUNCTION("""COMPUTED_VALUE"""),46094.0)</f>
        <v>46094</v>
      </c>
    </row>
    <row r="8">
      <c r="A8" s="252" t="str">
        <f>IFERROR(__xludf.DUMMYFUNCTION("""COMPUTED_VALUE"""),"13ab1058")</f>
        <v>13ab1058</v>
      </c>
      <c r="B8" s="252" t="str">
        <f>IFERROR(__xludf.DUMMYFUNCTION("""COMPUTED_VALUE"""),"PF-01")</f>
        <v>PF-01</v>
      </c>
      <c r="C8" s="252" t="str">
        <f>IFERROR(__xludf.DUMMYFUNCTION("""COMPUTED_VALUE"""),"EQUIPO MENOR")</f>
        <v>EQUIPO MENOR</v>
      </c>
      <c r="D8" s="252" t="str">
        <f>IFERROR(__xludf.DUMMYFUNCTION("""COMPUTED_VALUE"""),"PERFORADORA")</f>
        <v>PERFORADORA</v>
      </c>
      <c r="E8" s="252" t="str">
        <f>IFERROR(__xludf.DUMMYFUNCTION("""COMPUTED_VALUE"""),"CRAWLER")</f>
        <v>CRAWLER</v>
      </c>
      <c r="F8" s="252" t="str">
        <f>IFERROR(__xludf.DUMMYFUNCTION("""COMPUTED_VALUE"""),"DRILL RIG")</f>
        <v>DRILL RIG</v>
      </c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 t="str">
        <f>IFERROR(__xludf.DUMMYFUNCTION("""COMPUTED_VALUE"""),"En producción")</f>
        <v>En producción</v>
      </c>
      <c r="AC8" s="252"/>
      <c r="AD8" s="252">
        <f>IFERROR(__xludf.DUMMYFUNCTION("""COMPUTED_VALUE"""),937.0)</f>
        <v>937</v>
      </c>
      <c r="AE8" s="252" t="str">
        <f>IFERROR(__xludf.DUMMYFUNCTION("""COMPUTED_VALUE"""),"Sin incidentes")</f>
        <v>Sin incidentes</v>
      </c>
      <c r="AF8" s="252"/>
      <c r="AG8" s="252" t="str">
        <f>IFERROR(__xludf.DUMMYFUNCTION("""COMPUTED_VALUE"""),"[PF-01] - CRAWLER DRILL RIG")</f>
        <v>[PF-01] - CRAWLER DRILL RIG</v>
      </c>
      <c r="AH8" s="252">
        <f>IFERROR(__xludf.DUMMYFUNCTION("""COMPUTED_VALUE"""),1.0)</f>
        <v>1</v>
      </c>
      <c r="AI8" s="252">
        <f>IFERROR(__xludf.DUMMYFUNCTION("""COMPUTED_VALUE"""),1.0)</f>
        <v>1</v>
      </c>
      <c r="AJ8" s="882">
        <f>IFERROR(__xludf.DUMMYFUNCTION("""COMPUTED_VALUE"""),46038.65193287037)</f>
        <v>46038.65193</v>
      </c>
      <c r="AK8" s="882">
        <f>IFERROR(__xludf.DUMMYFUNCTION("""COMPUTED_VALUE"""),46038.651967592596)</f>
        <v>46038.65197</v>
      </c>
      <c r="AL8" s="252"/>
      <c r="AM8" s="252"/>
      <c r="AN8" s="252"/>
      <c r="AO8" s="252"/>
      <c r="AP8" s="252"/>
      <c r="AQ8" s="252"/>
      <c r="AR8" s="252"/>
      <c r="AS8" s="881">
        <f>IFERROR(__xludf.DUMMYFUNCTION("""COMPUTED_VALUE"""),45905.0)</f>
        <v>45905</v>
      </c>
      <c r="AT8" s="881">
        <f>IFERROR(__xludf.DUMMYFUNCTION("""COMPUTED_VALUE"""),45905.0)</f>
        <v>45905</v>
      </c>
      <c r="AU8" s="252"/>
      <c r="AV8" s="252" t="str">
        <f>IFERROR(__xludf.DUMMYFUNCTION("""COMPUTED_VALUE"""),"RCO260116173516")</f>
        <v>RCO260116173516</v>
      </c>
      <c r="AW8" s="252">
        <f>IFERROR(__xludf.DUMMYFUNCTION("""COMPUTED_VALUE"""),43.0)</f>
        <v>43</v>
      </c>
      <c r="AX8" s="252"/>
      <c r="AY8" s="252"/>
      <c r="AZ8" s="883">
        <f>IFERROR(__xludf.DUMMYFUNCTION("""COMPUTED_VALUE"""),46038.0)</f>
        <v>46038</v>
      </c>
    </row>
    <row r="9">
      <c r="A9" s="252" t="str">
        <f>IFERROR(__xludf.DUMMYFUNCTION("""COMPUTED_VALUE"""),"1643976a")</f>
        <v>1643976a</v>
      </c>
      <c r="B9" s="252" t="str">
        <f>IFERROR(__xludf.DUMMYFUNCTION("""COMPUTED_VALUE"""),"CF-08 KOMATSU WA430 6")</f>
        <v>CF-08 KOMATSU WA430 6</v>
      </c>
      <c r="C9" s="252" t="str">
        <f>IFERROR(__xludf.DUMMYFUNCTION("""COMPUTED_VALUE"""),"CARGADOR FRONTAL")</f>
        <v>CARGADOR FRONTAL</v>
      </c>
      <c r="D9" s="252" t="str">
        <f>IFERROR(__xludf.DUMMYFUNCTION("""COMPUTED_VALUE"""),"CARGADOR FRONTAL")</f>
        <v>CARGADOR FRONTAL</v>
      </c>
      <c r="E9" s="252" t="str">
        <f>IFERROR(__xludf.DUMMYFUNCTION("""COMPUTED_VALUE"""),"KOMATSU")</f>
        <v>KOMATSU</v>
      </c>
      <c r="F9" s="252" t="str">
        <f>IFERROR(__xludf.DUMMYFUNCTION("""COMPUTED_VALUE"""),"WA430 6")</f>
        <v>WA430 6</v>
      </c>
      <c r="G9" s="252">
        <f>IFERROR(__xludf.DUMMYFUNCTION("""COMPUTED_VALUE"""),2012.0)</f>
        <v>2012</v>
      </c>
      <c r="H9" s="252" t="str">
        <f>IFERROR(__xludf.DUMMYFUNCTION("""COMPUTED_VALUE"""),"26862025")</f>
        <v>26862025</v>
      </c>
      <c r="I9" s="252"/>
      <c r="J9" s="252" t="str">
        <f>IFERROR(__xludf.DUMMYFUNCTION("""COMPUTED_VALUE"""),"CYWH62")</f>
        <v>CYWH62</v>
      </c>
      <c r="K9" s="252" t="str">
        <f>IFERROR(__xludf.DUMMYFUNCTION("""COMPUTED_VALUE"""),"COMERCIALIZADORA ECMA SPA")</f>
        <v>COMERCIALIZADORA ECMA SPA</v>
      </c>
      <c r="L9" s="252"/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 t="str">
        <f>IFERROR(__xludf.DUMMYFUNCTION("""COMPUTED_VALUE"""),"Reparando en taller")</f>
        <v>Reparando en taller</v>
      </c>
      <c r="AC9" s="252" t="str">
        <f>IFERROR(__xludf.DUMMYFUNCTION("""COMPUTED_VALUE"""),"MAQUINAS_Images/1643976a.FOTO1.172821.jpg")</f>
        <v>MAQUINAS_Images/1643976a.FOTO1.172821.jpg</v>
      </c>
      <c r="AD9" s="252">
        <f>IFERROR(__xludf.DUMMYFUNCTION("""COMPUTED_VALUE"""),946.0)</f>
        <v>946</v>
      </c>
      <c r="AE9" s="252" t="str">
        <f>IFERROR(__xludf.DUMMYFUNCTION("""COMPUTED_VALUE"""),"Alerta incidente")</f>
        <v>Alerta incidente</v>
      </c>
      <c r="AF9" s="252">
        <f>IFERROR(__xludf.DUMMYFUNCTION("""COMPUTED_VALUE"""),2.0)</f>
        <v>2</v>
      </c>
      <c r="AG9" s="252" t="str">
        <f>IFERROR(__xludf.DUMMYFUNCTION("""COMPUTED_VALUE"""),"[CF-08 KOMATSU WA430 6] - KOMATSU WA430 6")</f>
        <v>[CF-08 KOMATSU WA430 6] - KOMATSU WA430 6</v>
      </c>
      <c r="AH9" s="252">
        <f>IFERROR(__xludf.DUMMYFUNCTION("""COMPUTED_VALUE"""),23292.0)</f>
        <v>23292</v>
      </c>
      <c r="AI9" s="252">
        <f>IFERROR(__xludf.DUMMYFUNCTION("""COMPUTED_VALUE"""),2.0)</f>
        <v>2</v>
      </c>
      <c r="AJ9" s="882">
        <f>IFERROR(__xludf.DUMMYFUNCTION("""COMPUTED_VALUE"""),46083.397986111115)</f>
        <v>46083.39799</v>
      </c>
      <c r="AK9" s="882">
        <f>IFERROR(__xludf.DUMMYFUNCTION("""COMPUTED_VALUE"""),46083.39805555555)</f>
        <v>46083.39806</v>
      </c>
      <c r="AL9" s="880">
        <f>IFERROR(__xludf.DUMMYFUNCTION("""COMPUTED_VALUE"""),23468.0)</f>
        <v>23468</v>
      </c>
      <c r="AM9" s="880" t="str">
        <f>IFERROR(__xludf.DUMMYFUNCTION("""COMPUTED_VALUE"""),"")</f>
        <v/>
      </c>
      <c r="AN9" s="252" t="str">
        <f>IFERROR(__xludf.DUMMYFUNCTION("""COMPUTED_VALUE"""),"OT250814120203")</f>
        <v>OT250814120203</v>
      </c>
      <c r="AO9" s="252" t="str">
        <f>IFERROR(__xludf.DUMMYFUNCTION("""COMPUTED_VALUE"""),"Hr")</f>
        <v>Hr</v>
      </c>
      <c r="AP9" s="252" t="str">
        <f>IFERROR(__xludf.DUMMYFUNCTION("""COMPUTED_VALUE"""),"IS250326173553")</f>
        <v>IS250326173553</v>
      </c>
      <c r="AQ9" s="252">
        <f>IFERROR(__xludf.DUMMYFUNCTION("""COMPUTED_VALUE"""),22713.0)</f>
        <v>22713</v>
      </c>
      <c r="AR9" s="252"/>
      <c r="AS9" s="881">
        <f>IFERROR(__xludf.DUMMYFUNCTION("""COMPUTED_VALUE"""),44927.0)</f>
        <v>44927</v>
      </c>
      <c r="AT9" s="881">
        <f>IFERROR(__xludf.DUMMYFUNCTION("""COMPUTED_VALUE"""),44927.0)</f>
        <v>44927</v>
      </c>
      <c r="AU9" s="252" t="str">
        <f>IFERROR(__xludf.DUMMYFUNCTION("""COMPUTED_VALUE"""),"RDC251124082135")</f>
        <v>RDC251124082135</v>
      </c>
      <c r="AV9" s="252" t="str">
        <f>IFERROR(__xludf.DUMMYFUNCTION("""COMPUTED_VALUE"""),"RCO251021191053")</f>
        <v>RCO251021191053</v>
      </c>
      <c r="AW9" s="252">
        <f>IFERROR(__xludf.DUMMYFUNCTION("""COMPUTED_VALUE"""),240.0)</f>
        <v>240</v>
      </c>
      <c r="AX9" s="252">
        <f>IFERROR(__xludf.DUMMYFUNCTION("""COMPUTED_VALUE"""),13.0)</f>
        <v>13</v>
      </c>
      <c r="AY9" s="252">
        <f>IFERROR(__xludf.DUMMYFUNCTION("""COMPUTED_VALUE"""),0.0)</f>
        <v>0</v>
      </c>
      <c r="AZ9" s="884">
        <f>IFERROR(__xludf.DUMMYFUNCTION("""COMPUTED_VALUE"""),45951.0)</f>
        <v>45951</v>
      </c>
    </row>
    <row r="10">
      <c r="A10" s="252" t="str">
        <f>IFERROR(__xludf.DUMMYFUNCTION("""COMPUTED_VALUE"""),"16463019")</f>
        <v>16463019</v>
      </c>
      <c r="B10" s="252" t="str">
        <f>IFERROR(__xludf.DUMMYFUNCTION("""COMPUTED_VALUE"""),"MN-04 YF5586-4 VOLVO G730B")</f>
        <v>MN-04 YF5586-4 VOLVO G730B</v>
      </c>
      <c r="C10" s="252" t="str">
        <f>IFERROR(__xludf.DUMMYFUNCTION("""COMPUTED_VALUE"""),"MOTONIVELADORA")</f>
        <v>MOTONIVELADORA</v>
      </c>
      <c r="D10" s="252" t="str">
        <f>IFERROR(__xludf.DUMMYFUNCTION("""COMPUTED_VALUE"""),"MOTO NIVELADORA")</f>
        <v>MOTO NIVELADORA</v>
      </c>
      <c r="E10" s="252" t="str">
        <f>IFERROR(__xludf.DUMMYFUNCTION("""COMPUTED_VALUE"""),"VOLVO")</f>
        <v>VOLVO</v>
      </c>
      <c r="F10" s="252" t="str">
        <f>IFERROR(__xludf.DUMMYFUNCTION("""COMPUTED_VALUE"""),"G730B")</f>
        <v>G730B</v>
      </c>
      <c r="G10" s="252">
        <f>IFERROR(__xludf.DUMMYFUNCTION("""COMPUTED_VALUE"""),2004.0)</f>
        <v>2004</v>
      </c>
      <c r="H10" s="252" t="str">
        <f>IFERROR(__xludf.DUMMYFUNCTION("""COMPUTED_VALUE"""),"883851")</f>
        <v>883851</v>
      </c>
      <c r="I10" s="252"/>
      <c r="J10" s="252" t="str">
        <f>IFERROR(__xludf.DUMMYFUNCTION("""COMPUTED_VALUE"""),"YF5586-4")</f>
        <v>YF5586-4</v>
      </c>
      <c r="K10" s="252" t="str">
        <f>IFERROR(__xludf.DUMMYFUNCTION("""COMPUTED_VALUE"""),"COMERCIALIZADORA ECMA SPA")</f>
        <v>COMERCIALIZADORA ECMA SPA</v>
      </c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 t="str">
        <f>IFERROR(__xludf.DUMMYFUNCTION("""COMPUTED_VALUE"""),"Patio LL")</f>
        <v>Patio LL</v>
      </c>
      <c r="AC10" s="252" t="str">
        <f>IFERROR(__xludf.DUMMYFUNCTION("""COMPUTED_VALUE"""),"MAQUINAS_Images/16463019.FOTO1.200214.jpg")</f>
        <v>MAQUINAS_Images/16463019.FOTO1.200214.jpg</v>
      </c>
      <c r="AD10" s="252">
        <f>IFERROR(__xludf.DUMMYFUNCTION("""COMPUTED_VALUE"""),1078.0)</f>
        <v>1078</v>
      </c>
      <c r="AE10" s="252" t="str">
        <f>IFERROR(__xludf.DUMMYFUNCTION("""COMPUTED_VALUE"""),"Sin incidentes")</f>
        <v>Sin incidentes</v>
      </c>
      <c r="AF10" s="252"/>
      <c r="AG10" s="252" t="str">
        <f>IFERROR(__xludf.DUMMYFUNCTION("""COMPUTED_VALUE"""),"[MN-04 YF5586-4 VOLVO G730B] - VOLVO G730B")</f>
        <v>[MN-04 YF5586-4 VOLVO G730B] - VOLVO G730B</v>
      </c>
      <c r="AH10" s="252">
        <f>IFERROR(__xludf.DUMMYFUNCTION("""COMPUTED_VALUE"""),12172.0)</f>
        <v>12172</v>
      </c>
      <c r="AI10" s="252">
        <f>IFERROR(__xludf.DUMMYFUNCTION("""COMPUTED_VALUE"""),139021.0)</f>
        <v>139021</v>
      </c>
      <c r="AJ10" s="882">
        <f>IFERROR(__xludf.DUMMYFUNCTION("""COMPUTED_VALUE"""),46091.30355324074)</f>
        <v>46091.30355</v>
      </c>
      <c r="AK10" s="882">
        <f>IFERROR(__xludf.DUMMYFUNCTION("""COMPUTED_VALUE"""),46091.30359953704)</f>
        <v>46091.3036</v>
      </c>
      <c r="AL10" s="880">
        <f>IFERROR(__xludf.DUMMYFUNCTION("""COMPUTED_VALUE"""),12435.0)</f>
        <v>12435</v>
      </c>
      <c r="AM10" s="252"/>
      <c r="AN10" s="252" t="str">
        <f>IFERROR(__xludf.DUMMYFUNCTION("""COMPUTED_VALUE"""),"OT260309170300")</f>
        <v>OT260309170300</v>
      </c>
      <c r="AO10" s="252" t="str">
        <f>IFERROR(__xludf.DUMMYFUNCTION("""COMPUTED_VALUE"""),"Hr")</f>
        <v>Hr</v>
      </c>
      <c r="AP10" s="252"/>
      <c r="AQ10" s="252">
        <f>IFERROR(__xludf.DUMMYFUNCTION("""COMPUTED_VALUE"""),12094.0)</f>
        <v>12094</v>
      </c>
      <c r="AR10" s="252"/>
      <c r="AS10" s="881">
        <f>IFERROR(__xludf.DUMMYFUNCTION("""COMPUTED_VALUE"""),44927.0)</f>
        <v>44927</v>
      </c>
      <c r="AT10" s="881">
        <f>IFERROR(__xludf.DUMMYFUNCTION("""COMPUTED_VALUE"""),44927.0)</f>
        <v>44927</v>
      </c>
      <c r="AU10" s="252" t="str">
        <f>IFERROR(__xludf.DUMMYFUNCTION("""COMPUTED_VALUE"""),"RDC260302125335")</f>
        <v>RDC260302125335</v>
      </c>
      <c r="AV10" s="252" t="str">
        <f>IFERROR(__xludf.DUMMYFUNCTION("""COMPUTED_VALUE"""),"RCO260310091558")</f>
        <v>RCO260310091558</v>
      </c>
      <c r="AW10" s="252">
        <f>IFERROR(__xludf.DUMMYFUNCTION("""COMPUTED_VALUE"""),196.0)</f>
        <v>196</v>
      </c>
      <c r="AX10" s="252">
        <f>IFERROR(__xludf.DUMMYFUNCTION("""COMPUTED_VALUE"""),13.0)</f>
        <v>13</v>
      </c>
      <c r="AY10" s="252">
        <f>IFERROR(__xludf.DUMMYFUNCTION("""COMPUTED_VALUE"""),139020.0)</f>
        <v>139020</v>
      </c>
      <c r="AZ10" s="883">
        <f>IFERROR(__xludf.DUMMYFUNCTION("""COMPUTED_VALUE"""),46091.0)</f>
        <v>46091</v>
      </c>
    </row>
    <row r="11">
      <c r="A11" s="252" t="str">
        <f>IFERROR(__xludf.DUMMYFUNCTION("""COMPUTED_VALUE"""),"1aba966d")</f>
        <v>1aba966d</v>
      </c>
      <c r="B11" s="252" t="str">
        <f>IFERROR(__xludf.DUMMYFUNCTION("""COMPUTED_VALUE"""),"GV-01 VHRZ33")</f>
        <v>GV-01 VHRZ33</v>
      </c>
      <c r="C11" s="252" t="str">
        <f>IFERROR(__xludf.DUMMYFUNCTION("""COMPUTED_VALUE"""),"GRAVILLADORA")</f>
        <v>GRAVILLADORA</v>
      </c>
      <c r="D11" s="252" t="str">
        <f>IFERROR(__xludf.DUMMYFUNCTION("""COMPUTED_VALUE"""),"MAQUINARIA ASFALTICA")</f>
        <v>MAQUINARIA ASFALTICA</v>
      </c>
      <c r="E11" s="252" t="str">
        <f>IFERROR(__xludf.DUMMYFUNCTION("""COMPUTED_VALUE"""),"ETNYRE")</f>
        <v>ETNYRE</v>
      </c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 t="str">
        <f>IFERROR(__xludf.DUMMYFUNCTION("""COMPUTED_VALUE"""),"En producción")</f>
        <v>En producción</v>
      </c>
      <c r="AC11" s="252" t="str">
        <f>IFERROR(__xludf.DUMMYFUNCTION("""COMPUTED_VALUE"""),"MAQUINAS_Images/1aba966d.FOTO1.200238.jpg")</f>
        <v>MAQUINAS_Images/1aba966d.FOTO1.200238.jpg</v>
      </c>
      <c r="AD11" s="252">
        <f>IFERROR(__xludf.DUMMYFUNCTION("""COMPUTED_VALUE"""),1080.0)</f>
        <v>1080</v>
      </c>
      <c r="AE11" s="252" t="str">
        <f>IFERROR(__xludf.DUMMYFUNCTION("""COMPUTED_VALUE"""),"Sin incidentes")</f>
        <v>Sin incidentes</v>
      </c>
      <c r="AF11" s="252"/>
      <c r="AG11" s="252" t="str">
        <f>IFERROR(__xludf.DUMMYFUNCTION("""COMPUTED_VALUE"""),"[GV-01 VHRZ33] - ETNYRE ")</f>
        <v>[GV-01 VHRZ33] - ETNYRE </v>
      </c>
      <c r="AH11" s="252">
        <f>IFERROR(__xludf.DUMMYFUNCTION("""COMPUTED_VALUE"""),413.0)</f>
        <v>413</v>
      </c>
      <c r="AI11" s="252">
        <f>IFERROR(__xludf.DUMMYFUNCTION("""COMPUTED_VALUE"""),1.0)</f>
        <v>1</v>
      </c>
      <c r="AJ11" s="882">
        <f>IFERROR(__xludf.DUMMYFUNCTION("""COMPUTED_VALUE"""),46095.25381944444)</f>
        <v>46095.25382</v>
      </c>
      <c r="AK11" s="882">
        <f>IFERROR(__xludf.DUMMYFUNCTION("""COMPUTED_VALUE"""),46094.53350694444)</f>
        <v>46094.53351</v>
      </c>
      <c r="AL11" s="880">
        <f>IFERROR(__xludf.DUMMYFUNCTION("""COMPUTED_VALUE"""),750.0)</f>
        <v>750</v>
      </c>
      <c r="AM11" s="252"/>
      <c r="AN11" s="252" t="str">
        <f>IFERROR(__xludf.DUMMYFUNCTION("""COMPUTED_VALUE"""),"OT250609100424")</f>
        <v>OT250609100424</v>
      </c>
      <c r="AO11" s="252" t="str">
        <f>IFERROR(__xludf.DUMMYFUNCTION("""COMPUTED_VALUE"""),"Hr")</f>
        <v>Hr</v>
      </c>
      <c r="AP11" s="252"/>
      <c r="AQ11" s="252">
        <f>IFERROR(__xludf.DUMMYFUNCTION("""COMPUTED_VALUE"""),373.0)</f>
        <v>373</v>
      </c>
      <c r="AR11" s="252"/>
      <c r="AS11" s="881">
        <f>IFERROR(__xludf.DUMMYFUNCTION("""COMPUTED_VALUE"""),44927.0)</f>
        <v>44927</v>
      </c>
      <c r="AT11" s="881">
        <f>IFERROR(__xludf.DUMMYFUNCTION("""COMPUTED_VALUE"""),44927.0)</f>
        <v>44927</v>
      </c>
      <c r="AU11" s="252" t="str">
        <f>IFERROR(__xludf.DUMMYFUNCTION("""COMPUTED_VALUE"""),"RDC260314080406")</f>
        <v>RDC260314080406</v>
      </c>
      <c r="AV11" s="252" t="str">
        <f>IFERROR(__xludf.DUMMYFUNCTION("""COMPUTED_VALUE"""),"RCO260313144540")</f>
        <v>RCO260313144540</v>
      </c>
      <c r="AW11" s="252">
        <f>IFERROR(__xludf.DUMMYFUNCTION("""COMPUTED_VALUE"""),35.0)</f>
        <v>35</v>
      </c>
      <c r="AX11" s="252">
        <f>IFERROR(__xludf.DUMMYFUNCTION("""COMPUTED_VALUE"""),3.0)</f>
        <v>3</v>
      </c>
      <c r="AY11" s="252">
        <f>IFERROR(__xludf.DUMMYFUNCTION("""COMPUTED_VALUE"""),0.0)</f>
        <v>0</v>
      </c>
      <c r="AZ11" s="883">
        <f>IFERROR(__xludf.DUMMYFUNCTION("""COMPUTED_VALUE"""),46094.0)</f>
        <v>46094</v>
      </c>
    </row>
    <row r="12">
      <c r="A12" s="252" t="str">
        <f>IFERROR(__xludf.DUMMYFUNCTION("""COMPUTED_VALUE"""),"1b3df8b7")</f>
        <v>1b3df8b7</v>
      </c>
      <c r="B12" s="252" t="str">
        <f>IFERROR(__xludf.DUMMYFUNCTION("""COMPUTED_VALUE"""),"CI-02 GGHD72")</f>
        <v>CI-02 GGHD72</v>
      </c>
      <c r="C12" s="252" t="str">
        <f>IFERROR(__xludf.DUMMYFUNCTION("""COMPUTED_VALUE"""),"CAMION IMPRIMADOR Y MIXER")</f>
        <v>CAMION IMPRIMADOR Y MIXER</v>
      </c>
      <c r="D12" s="252" t="str">
        <f>IFERROR(__xludf.DUMMYFUNCTION("""COMPUTED_VALUE"""),"CAMION IMPRIMADOR")</f>
        <v>CAMION IMPRIMADOR</v>
      </c>
      <c r="E12" s="252" t="str">
        <f>IFERROR(__xludf.DUMMYFUNCTION("""COMPUTED_VALUE"""),"FREIGHTLINER")</f>
        <v>FREIGHTLINER</v>
      </c>
      <c r="F12" s="252" t="str">
        <f>IFERROR(__xludf.DUMMYFUNCTION("""COMPUTED_VALUE"""),"GGHD72")</f>
        <v>GGHD72</v>
      </c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 t="str">
        <f>IFERROR(__xludf.DUMMYFUNCTION("""COMPUTED_VALUE"""),"Reparando en terreno")</f>
        <v>Reparando en terreno</v>
      </c>
      <c r="AC12" s="252"/>
      <c r="AD12" s="252">
        <f>IFERROR(__xludf.DUMMYFUNCTION("""COMPUTED_VALUE"""),1079.0)</f>
        <v>1079</v>
      </c>
      <c r="AE12" s="252" t="str">
        <f>IFERROR(__xludf.DUMMYFUNCTION("""COMPUTED_VALUE"""),"Sin incidentes")</f>
        <v>Sin incidentes</v>
      </c>
      <c r="AF12" s="252"/>
      <c r="AG12" s="252" t="str">
        <f>IFERROR(__xludf.DUMMYFUNCTION("""COMPUTED_VALUE"""),"[CI-02 GGHD72] - FREIGHTLINER GGHD72")</f>
        <v>[CI-02 GGHD72] - FREIGHTLINER GGHD72</v>
      </c>
      <c r="AH12" s="252">
        <f>IFERROR(__xludf.DUMMYFUNCTION("""COMPUTED_VALUE"""),1.0)</f>
        <v>1</v>
      </c>
      <c r="AI12" s="252">
        <f>IFERROR(__xludf.DUMMYFUNCTION("""COMPUTED_VALUE"""),190254.0)</f>
        <v>190254</v>
      </c>
      <c r="AJ12" s="882">
        <f>IFERROR(__xludf.DUMMYFUNCTION("""COMPUTED_VALUE"""),46093.53607638889)</f>
        <v>46093.53608</v>
      </c>
      <c r="AK12" s="882">
        <f>IFERROR(__xludf.DUMMYFUNCTION("""COMPUTED_VALUE"""),46093.53612268518)</f>
        <v>46093.53612</v>
      </c>
      <c r="AL12" s="252"/>
      <c r="AM12" s="880">
        <f>IFERROR(__xludf.DUMMYFUNCTION("""COMPUTED_VALUE"""),191899.0)</f>
        <v>191899</v>
      </c>
      <c r="AN12" s="252"/>
      <c r="AO12" s="252" t="str">
        <f>IFERROR(__xludf.DUMMYFUNCTION("""COMPUTED_VALUE"""),"Km")</f>
        <v>Km</v>
      </c>
      <c r="AP12" s="252" t="str">
        <f>IFERROR(__xludf.DUMMYFUNCTION("""COMPUTED_VALUE"""),"IS250326173313")</f>
        <v>IS250326173313</v>
      </c>
      <c r="AQ12" s="252"/>
      <c r="AR12" s="252">
        <f>IFERROR(__xludf.DUMMYFUNCTION("""COMPUTED_VALUE"""),185099.0)</f>
        <v>185099</v>
      </c>
      <c r="AS12" s="881">
        <f>IFERROR(__xludf.DUMMYFUNCTION("""COMPUTED_VALUE"""),44927.0)</f>
        <v>44927</v>
      </c>
      <c r="AT12" s="881">
        <f>IFERROR(__xludf.DUMMYFUNCTION("""COMPUTED_VALUE"""),44927.0)</f>
        <v>44927</v>
      </c>
      <c r="AU12" s="252" t="str">
        <f>IFERROR(__xludf.DUMMYFUNCTION("""COMPUTED_VALUE"""),"RDC260304112202")</f>
        <v>RDC260304112202</v>
      </c>
      <c r="AV12" s="252" t="str">
        <f>IFERROR(__xludf.DUMMYFUNCTION("""COMPUTED_VALUE"""),"RCO260312144950")</f>
        <v>RCO260312144950</v>
      </c>
      <c r="AW12" s="252">
        <f>IFERROR(__xludf.DUMMYFUNCTION("""COMPUTED_VALUE"""),56.0)</f>
        <v>56</v>
      </c>
      <c r="AX12" s="252">
        <f>IFERROR(__xludf.DUMMYFUNCTION("""COMPUTED_VALUE"""),0.0)</f>
        <v>0</v>
      </c>
      <c r="AY12" s="252">
        <f>IFERROR(__xludf.DUMMYFUNCTION("""COMPUTED_VALUE"""),57.0)</f>
        <v>57</v>
      </c>
      <c r="AZ12" s="883">
        <f>IFERROR(__xludf.DUMMYFUNCTION("""COMPUTED_VALUE"""),46093.0)</f>
        <v>46093</v>
      </c>
    </row>
    <row r="13">
      <c r="A13" s="252" t="str">
        <f>IFERROR(__xludf.DUMMYFUNCTION("""COMPUTED_VALUE"""),"1c3365b8")</f>
        <v>1c3365b8</v>
      </c>
      <c r="B13" s="252" t="str">
        <f>IFERROR(__xludf.DUMMYFUNCTION("""COMPUTED_VALUE"""),"CT-21 BFTP65")</f>
        <v>CT-21 BFTP65</v>
      </c>
      <c r="C13" s="252" t="str">
        <f>IFERROR(__xludf.DUMMYFUNCTION("""COMPUTED_VALUE"""),"CAMION TOLVA")</f>
        <v>CAMION TOLVA</v>
      </c>
      <c r="D13" s="252" t="str">
        <f>IFERROR(__xludf.DUMMYFUNCTION("""COMPUTED_VALUE"""),"CAMION TOLVA")</f>
        <v>CAMION TOLVA</v>
      </c>
      <c r="E13" s="252" t="str">
        <f>IFERROR(__xludf.DUMMYFUNCTION("""COMPUTED_VALUE"""),"MERCEDEZ BENZ")</f>
        <v>MERCEDEZ BENZ</v>
      </c>
      <c r="F13" s="252"/>
      <c r="G13" s="252"/>
      <c r="H13" s="252"/>
      <c r="I13" s="252"/>
      <c r="J13" s="252" t="str">
        <f>IFERROR(__xludf.DUMMYFUNCTION("""COMPUTED_VALUE"""),"BFTP65")</f>
        <v>BFTP65</v>
      </c>
      <c r="K13" s="252"/>
      <c r="L13" s="252"/>
      <c r="M13" s="252"/>
      <c r="N13" s="252"/>
      <c r="O13" s="252"/>
      <c r="P13" s="252"/>
      <c r="Q13" s="252"/>
      <c r="R13" s="252"/>
      <c r="S13" s="252" t="str">
        <f>IFERROR(__xludf.DUMMYFUNCTION("""COMPUTED_VALUE"""),"15")</f>
        <v>15</v>
      </c>
      <c r="T13" s="252"/>
      <c r="U13" s="252"/>
      <c r="V13" s="252"/>
      <c r="W13" s="252"/>
      <c r="X13" s="252"/>
      <c r="Y13" s="252"/>
      <c r="Z13" s="252"/>
      <c r="AA13" s="252"/>
      <c r="AB13" s="252" t="str">
        <f>IFERROR(__xludf.DUMMYFUNCTION("""COMPUTED_VALUE"""),"En producción")</f>
        <v>En producción</v>
      </c>
      <c r="AC13" s="252"/>
      <c r="AD13" s="252">
        <f>IFERROR(__xludf.DUMMYFUNCTION("""COMPUTED_VALUE"""),70.0)</f>
        <v>70</v>
      </c>
      <c r="AE13" s="252" t="str">
        <f>IFERROR(__xludf.DUMMYFUNCTION("""COMPUTED_VALUE"""),"Sin incidentes")</f>
        <v>Sin incidentes</v>
      </c>
      <c r="AF13" s="252"/>
      <c r="AG13" s="252" t="str">
        <f>IFERROR(__xludf.DUMMYFUNCTION("""COMPUTED_VALUE"""),"[CT-21 BFTP65] - MERCEDEZ BENZ ")</f>
        <v>[CT-21 BFTP65] - MERCEDEZ BENZ </v>
      </c>
      <c r="AH13" s="252">
        <f>IFERROR(__xludf.DUMMYFUNCTION("""COMPUTED_VALUE"""),5242.0)</f>
        <v>5242</v>
      </c>
      <c r="AI13" s="252">
        <f>IFERROR(__xludf.DUMMYFUNCTION("""COMPUTED_VALUE"""),5180.0)</f>
        <v>5180</v>
      </c>
      <c r="AJ13" s="882">
        <f>IFERROR(__xludf.DUMMYFUNCTION("""COMPUTED_VALUE"""),46083.40684027778)</f>
        <v>46083.40684</v>
      </c>
      <c r="AK13" s="882">
        <f>IFERROR(__xludf.DUMMYFUNCTION("""COMPUTED_VALUE"""),46083.40696759259)</f>
        <v>46083.40697</v>
      </c>
      <c r="AL13" s="880">
        <f>IFERROR(__xludf.DUMMYFUNCTION("""COMPUTED_VALUE"""),5364.0)</f>
        <v>5364</v>
      </c>
      <c r="AM13" s="880">
        <f>IFERROR(__xludf.DUMMYFUNCTION("""COMPUTED_VALUE"""),0.0)</f>
        <v>0</v>
      </c>
      <c r="AN13" s="252" t="str">
        <f>IFERROR(__xludf.DUMMYFUNCTION("""COMPUTED_VALUE"""),"OT250806162233")</f>
        <v>OT250806162233</v>
      </c>
      <c r="AO13" s="252" t="str">
        <f>IFERROR(__xludf.DUMMYFUNCTION("""COMPUTED_VALUE"""),"Hr")</f>
        <v>Hr</v>
      </c>
      <c r="AP13" s="252" t="str">
        <f>IFERROR(__xludf.DUMMYFUNCTION("""COMPUTED_VALUE"""),"IS260203140514")</f>
        <v>IS260203140514</v>
      </c>
      <c r="AQ13" s="252">
        <f>IFERROR(__xludf.DUMMYFUNCTION("""COMPUTED_VALUE"""),4499.0)</f>
        <v>4499</v>
      </c>
      <c r="AR13" s="252"/>
      <c r="AS13" s="881">
        <f>IFERROR(__xludf.DUMMYFUNCTION("""COMPUTED_VALUE"""),44927.0)</f>
        <v>44927</v>
      </c>
      <c r="AT13" s="881">
        <f>IFERROR(__xludf.DUMMYFUNCTION("""COMPUTED_VALUE"""),44927.0)</f>
        <v>44927</v>
      </c>
      <c r="AU13" s="252" t="str">
        <f>IFERROR(__xludf.DUMMYFUNCTION("""COMPUTED_VALUE"""),"RDC260211115921")</f>
        <v>RDC260211115921</v>
      </c>
      <c r="AV13" s="252" t="str">
        <f>IFERROR(__xludf.DUMMYFUNCTION("""COMPUTED_VALUE"""),"RCO260130123137")</f>
        <v>RCO260130123137</v>
      </c>
      <c r="AW13" s="252">
        <f>IFERROR(__xludf.DUMMYFUNCTION("""COMPUTED_VALUE"""),145.0)</f>
        <v>145</v>
      </c>
      <c r="AX13" s="252">
        <f>IFERROR(__xludf.DUMMYFUNCTION("""COMPUTED_VALUE"""),14.0)</f>
        <v>14</v>
      </c>
      <c r="AY13" s="252">
        <f>IFERROR(__xludf.DUMMYFUNCTION("""COMPUTED_VALUE"""),0.0)</f>
        <v>0</v>
      </c>
      <c r="AZ13" s="884">
        <f>IFERROR(__xludf.DUMMYFUNCTION("""COMPUTED_VALUE"""),46052.0)</f>
        <v>46052</v>
      </c>
    </row>
    <row r="14">
      <c r="A14" s="252" t="str">
        <f>IFERROR(__xludf.DUMMYFUNCTION("""COMPUTED_VALUE"""),"1cb6f2ef")</f>
        <v>1cb6f2ef</v>
      </c>
      <c r="B14" s="252" t="str">
        <f>IFERROR(__xludf.DUMMYFUNCTION("""COMPUTED_VALUE"""),"EM-01 Rodillo bomag")</f>
        <v>EM-01 Rodillo bomag</v>
      </c>
      <c r="C14" s="252" t="str">
        <f>IFERROR(__xludf.DUMMYFUNCTION("""COMPUTED_VALUE"""),"EQUIPO MENOR")</f>
        <v>EQUIPO MENOR</v>
      </c>
      <c r="D14" s="252" t="str">
        <f>IFERROR(__xludf.DUMMYFUNCTION("""COMPUTED_VALUE"""),"EQUIPO MENOR")</f>
        <v>EQUIPO MENOR</v>
      </c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/>
      <c r="Y14" s="252"/>
      <c r="Z14" s="252"/>
      <c r="AA14" s="252"/>
      <c r="AB14" s="252" t="str">
        <f>IFERROR(__xludf.DUMMYFUNCTION("""COMPUTED_VALUE"""),"En producción")</f>
        <v>En producción</v>
      </c>
      <c r="AC14" s="252"/>
      <c r="AD14" s="252"/>
      <c r="AE14" s="252" t="str">
        <f>IFERROR(__xludf.DUMMYFUNCTION("""COMPUTED_VALUE"""),"Sin incidentes")</f>
        <v>Sin incidentes</v>
      </c>
      <c r="AF14" s="252"/>
      <c r="AG14" s="252" t="str">
        <f>IFERROR(__xludf.DUMMYFUNCTION("""COMPUTED_VALUE"""),"[EM-01 Rodillo bomag] -  ")</f>
        <v>[EM-01 Rodillo bomag] -  </v>
      </c>
      <c r="AH14" s="252"/>
      <c r="AI14" s="252"/>
      <c r="AJ14" s="252"/>
      <c r="AK14" s="252"/>
      <c r="AL14" s="880" t="str">
        <f>IFERROR(__xludf.DUMMYFUNCTION("""COMPUTED_VALUE"""),"")</f>
        <v/>
      </c>
      <c r="AM14" s="880" t="str">
        <f>IFERROR(__xludf.DUMMYFUNCTION("""COMPUTED_VALUE"""),"")</f>
        <v/>
      </c>
      <c r="AN14" s="252"/>
      <c r="AO14" s="252" t="str">
        <f>IFERROR(__xludf.DUMMYFUNCTION("""COMPUTED_VALUE"""),"N/A")</f>
        <v>N/A</v>
      </c>
      <c r="AP14" s="252"/>
      <c r="AQ14" s="252"/>
      <c r="AR14" s="252"/>
      <c r="AS14" s="881">
        <f>IFERROR(__xludf.DUMMYFUNCTION("""COMPUTED_VALUE"""),44927.0)</f>
        <v>44927</v>
      </c>
      <c r="AT14" s="881">
        <f>IFERROR(__xludf.DUMMYFUNCTION("""COMPUTED_VALUE"""),44927.0)</f>
        <v>44927</v>
      </c>
      <c r="AU14" s="252"/>
      <c r="AV14" s="252"/>
      <c r="AW14" s="252"/>
      <c r="AX14" s="252"/>
      <c r="AY14" s="252"/>
      <c r="AZ14" s="252"/>
    </row>
    <row r="15">
      <c r="A15" s="252" t="str">
        <f>IFERROR(__xludf.DUMMYFUNCTION("""COMPUTED_VALUE"""),"1f45f283")</f>
        <v>1f45f283</v>
      </c>
      <c r="B15" s="252" t="str">
        <f>IFERROR(__xludf.DUMMYFUNCTION("""COMPUTED_VALUE"""),"TR-01")</f>
        <v>TR-01</v>
      </c>
      <c r="C15" s="252" t="str">
        <f>IFERROR(__xludf.DUMMYFUNCTION("""COMPUTED_VALUE"""),"TRILLADORA")</f>
        <v>TRILLADORA</v>
      </c>
      <c r="D15" s="252" t="str">
        <f>IFERROR(__xludf.DUMMYFUNCTION("""COMPUTED_VALUE"""),"TRILLADORA")</f>
        <v>TRILLADORA</v>
      </c>
      <c r="E15" s="252" t="str">
        <f>IFERROR(__xludf.DUMMYFUNCTION("""COMPUTED_VALUE"""),"CASE")</f>
        <v>CASE</v>
      </c>
      <c r="F15" s="252" t="str">
        <f>IFERROR(__xludf.DUMMYFUNCTION("""COMPUTED_VALUE"""),"2166")</f>
        <v>2166</v>
      </c>
      <c r="G15" s="252"/>
      <c r="H15" s="252" t="str">
        <f>IFERROR(__xludf.DUMMYFUNCTION("""COMPUTED_VALUE"""),"4N5F90")</f>
        <v>4N5F90</v>
      </c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  <c r="AA15" s="252"/>
      <c r="AB15" s="252" t="str">
        <f>IFERROR(__xludf.DUMMYFUNCTION("""COMPUTED_VALUE"""),"En producción")</f>
        <v>En producción</v>
      </c>
      <c r="AC15" s="252" t="str">
        <f>IFERROR(__xludf.DUMMYFUNCTION("""COMPUTED_VALUE"""),"MAQUINAS_Images/1f45f283.FOTO1.172426.jpg")</f>
        <v>MAQUINAS_Images/1f45f283.FOTO1.172426.jpg</v>
      </c>
      <c r="AD15" s="252"/>
      <c r="AE15" s="252" t="str">
        <f>IFERROR(__xludf.DUMMYFUNCTION("""COMPUTED_VALUE"""),"Sin incidentes")</f>
        <v>Sin incidentes</v>
      </c>
      <c r="AF15" s="252"/>
      <c r="AG15" s="252" t="str">
        <f>IFERROR(__xludf.DUMMYFUNCTION("""COMPUTED_VALUE"""),"[TR-01] - CASE 2166")</f>
        <v>[TR-01] - CASE 2166</v>
      </c>
      <c r="AH15" s="252"/>
      <c r="AI15" s="252"/>
      <c r="AJ15" s="252"/>
      <c r="AK15" s="252"/>
      <c r="AL15" s="252"/>
      <c r="AM15" s="252"/>
      <c r="AN15" s="252"/>
      <c r="AO15" s="252"/>
      <c r="AP15" s="252"/>
      <c r="AQ15" s="252"/>
      <c r="AR15" s="252"/>
      <c r="AS15" s="881">
        <f>IFERROR(__xludf.DUMMYFUNCTION("""COMPUTED_VALUE"""),46042.0)</f>
        <v>46042</v>
      </c>
      <c r="AT15" s="881">
        <f>IFERROR(__xludf.DUMMYFUNCTION("""COMPUTED_VALUE"""),46042.0)</f>
        <v>46042</v>
      </c>
      <c r="AU15" s="252"/>
      <c r="AV15" s="252" t="str">
        <f>IFERROR(__xludf.DUMMYFUNCTION("""COMPUTED_VALUE"""),"RCO260311100549")</f>
        <v>RCO260311100549</v>
      </c>
      <c r="AW15" s="252">
        <f>IFERROR(__xludf.DUMMYFUNCTION("""COMPUTED_VALUE"""),220.0)</f>
        <v>220</v>
      </c>
      <c r="AX15" s="252"/>
      <c r="AY15" s="252"/>
      <c r="AZ15" s="883">
        <f>IFERROR(__xludf.DUMMYFUNCTION("""COMPUTED_VALUE"""),46092.0)</f>
        <v>46092</v>
      </c>
    </row>
    <row r="16">
      <c r="A16" s="252" t="str">
        <f>IFERROR(__xludf.DUMMYFUNCTION("""COMPUTED_VALUE"""),"2115423d")</f>
        <v>2115423d</v>
      </c>
      <c r="B16" s="252" t="str">
        <f>IFERROR(__xludf.DUMMYFUNCTION("""COMPUTED_VALUE"""),"GM-04")</f>
        <v>GM-04</v>
      </c>
      <c r="C16" s="252" t="str">
        <f>IFERROR(__xludf.DUMMYFUNCTION("""COMPUTED_VALUE"""),"GRUA MOVIL")</f>
        <v>GRUA MOVIL</v>
      </c>
      <c r="D16" s="252" t="str">
        <f>IFERROR(__xludf.DUMMYFUNCTION("""COMPUTED_VALUE"""),"GRUA MOVIL")</f>
        <v>GRUA MOVIL</v>
      </c>
      <c r="E16" s="252" t="str">
        <f>IFERROR(__xludf.DUMMYFUNCTION("""COMPUTED_VALUE"""),"TEREX")</f>
        <v>TEREX</v>
      </c>
      <c r="F16" s="252" t="str">
        <f>IFERROR(__xludf.DUMMYFUNCTION("""COMPUTED_VALUE"""),"RT-345-1 XL")</f>
        <v>RT-345-1 XL</v>
      </c>
      <c r="G16" s="252">
        <f>IFERROR(__xludf.DUMMYFUNCTION("""COMPUTED_VALUE"""),2013.0)</f>
        <v>2013</v>
      </c>
      <c r="H16" s="252" t="str">
        <f>IFERROR(__xludf.DUMMYFUNCTION("""COMPUTED_VALUE"""),"QSB6.7")</f>
        <v>QSB6.7</v>
      </c>
      <c r="I16" s="252" t="str">
        <f>IFERROR(__xludf.DUMMYFUNCTION("""COMPUTED_VALUE"""),"160836")</f>
        <v>160836</v>
      </c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  <c r="AA16" s="252"/>
      <c r="AB16" s="252" t="str">
        <f>IFERROR(__xludf.DUMMYFUNCTION("""COMPUTED_VALUE"""),"En producción")</f>
        <v>En producción</v>
      </c>
      <c r="AC16" s="252"/>
      <c r="AD16" s="252">
        <f>IFERROR(__xludf.DUMMYFUNCTION("""COMPUTED_VALUE"""),964.0)</f>
        <v>964</v>
      </c>
      <c r="AE16" s="252" t="str">
        <f>IFERROR(__xludf.DUMMYFUNCTION("""COMPUTED_VALUE"""),"Sin incidentes")</f>
        <v>Sin incidentes</v>
      </c>
      <c r="AF16" s="252"/>
      <c r="AG16" s="252" t="str">
        <f>IFERROR(__xludf.DUMMYFUNCTION("""COMPUTED_VALUE"""),"[GM-04] - TEREX RT-345-1 XL")</f>
        <v>[GM-04] - TEREX RT-345-1 XL</v>
      </c>
      <c r="AH16" s="252">
        <f>IFERROR(__xludf.DUMMYFUNCTION("""COMPUTED_VALUE"""),2929.0)</f>
        <v>2929</v>
      </c>
      <c r="AI16" s="252">
        <f>IFERROR(__xludf.DUMMYFUNCTION("""COMPUTED_VALUE"""),1.0)</f>
        <v>1</v>
      </c>
      <c r="AJ16" s="882">
        <f>IFERROR(__xludf.DUMMYFUNCTION("""COMPUTED_VALUE"""),46096.78668981481)</f>
        <v>46096.78669</v>
      </c>
      <c r="AK16" s="882">
        <f>IFERROR(__xludf.DUMMYFUNCTION("""COMPUTED_VALUE"""),46094.40331018518)</f>
        <v>46094.40331</v>
      </c>
      <c r="AL16" s="252"/>
      <c r="AM16" s="252"/>
      <c r="AN16" s="252" t="str">
        <f>IFERROR(__xludf.DUMMYFUNCTION("""COMPUTED_VALUE"""),"OT250924083540")</f>
        <v>OT250924083540</v>
      </c>
      <c r="AO16" s="252" t="str">
        <f>IFERROR(__xludf.DUMMYFUNCTION("""COMPUTED_VALUE"""),"Hr")</f>
        <v>Hr</v>
      </c>
      <c r="AP16" s="252"/>
      <c r="AQ16" s="252"/>
      <c r="AR16" s="252"/>
      <c r="AS16" s="881">
        <f>IFERROR(__xludf.DUMMYFUNCTION("""COMPUTED_VALUE"""),45905.0)</f>
        <v>45905</v>
      </c>
      <c r="AT16" s="881">
        <f>IFERROR(__xludf.DUMMYFUNCTION("""COMPUTED_VALUE"""),45905.0)</f>
        <v>45905</v>
      </c>
      <c r="AU16" s="252" t="str">
        <f>IFERROR(__xludf.DUMMYFUNCTION("""COMPUTED_VALUE"""),"RDC260315205206")</f>
        <v>RDC260315205206</v>
      </c>
      <c r="AV16" s="252" t="str">
        <f>IFERROR(__xludf.DUMMYFUNCTION("""COMPUTED_VALUE"""),"RCO260313113738")</f>
        <v>RCO260313113738</v>
      </c>
      <c r="AW16" s="252">
        <f>IFERROR(__xludf.DUMMYFUNCTION("""COMPUTED_VALUE"""),156.0)</f>
        <v>156</v>
      </c>
      <c r="AX16" s="252">
        <f>IFERROR(__xludf.DUMMYFUNCTION("""COMPUTED_VALUE"""),20.0)</f>
        <v>20</v>
      </c>
      <c r="AY16" s="252">
        <f>IFERROR(__xludf.DUMMYFUNCTION("""COMPUTED_VALUE"""),0.0)</f>
        <v>0</v>
      </c>
      <c r="AZ16" s="883">
        <f>IFERROR(__xludf.DUMMYFUNCTION("""COMPUTED_VALUE"""),46094.0)</f>
        <v>46094</v>
      </c>
    </row>
    <row r="17">
      <c r="A17" s="252" t="str">
        <f>IFERROR(__xludf.DUMMYFUNCTION("""COMPUTED_VALUE"""),"28bcb178")</f>
        <v>28bcb178</v>
      </c>
      <c r="B17" s="252" t="str">
        <f>IFERROR(__xludf.DUMMYFUNCTION("""COMPUTED_VALUE"""),"EXT-03 RETROEXCAVADORA JOHN DEERE DSKH21")</f>
        <v>EXT-03 RETROEXCAVADORA JOHN DEERE DSKH21</v>
      </c>
      <c r="C17" s="252" t="str">
        <f>IFERROR(__xludf.DUMMYFUNCTION("""COMPUTED_VALUE"""),"RETROEXCAVADORA")</f>
        <v>RETROEXCAVADORA</v>
      </c>
      <c r="D17" s="252" t="str">
        <f>IFERROR(__xludf.DUMMYFUNCTION("""COMPUTED_VALUE"""),"EXTERNO")</f>
        <v>EXTERNO</v>
      </c>
      <c r="E17" s="252" t="str">
        <f>IFERROR(__xludf.DUMMYFUNCTION("""COMPUTED_VALUE"""),"JONH DEERE")</f>
        <v>JONH DEERE</v>
      </c>
      <c r="F17" s="252"/>
      <c r="G17" s="252"/>
      <c r="H17" s="252"/>
      <c r="I17" s="252"/>
      <c r="J17" s="252" t="str">
        <f>IFERROR(__xludf.DUMMYFUNCTION("""COMPUTED_VALUE"""),"DSKH21")</f>
        <v>DSKH21</v>
      </c>
      <c r="K17" s="252" t="str">
        <f>IFERROR(__xludf.DUMMYFUNCTION("""COMPUTED_VALUE"""),"EXTERNA")</f>
        <v>EXTERNA</v>
      </c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  <c r="AA17" s="252"/>
      <c r="AB17" s="252" t="str">
        <f>IFERROR(__xludf.DUMMYFUNCTION("""COMPUTED_VALUE"""),"En producción")</f>
        <v>En producción</v>
      </c>
      <c r="AC17" s="252"/>
      <c r="AD17" s="252">
        <f>IFERROR(__xludf.DUMMYFUNCTION("""COMPUTED_VALUE"""),323.0)</f>
        <v>323</v>
      </c>
      <c r="AE17" s="252" t="str">
        <f>IFERROR(__xludf.DUMMYFUNCTION("""COMPUTED_VALUE"""),"Alerta incidente")</f>
        <v>Alerta incidente</v>
      </c>
      <c r="AF17" s="252">
        <f>IFERROR(__xludf.DUMMYFUNCTION("""COMPUTED_VALUE"""),7.0)</f>
        <v>7</v>
      </c>
      <c r="AG17" s="252" t="str">
        <f>IFERROR(__xludf.DUMMYFUNCTION("""COMPUTED_VALUE"""),"[EXT-03 RETROEXCAVADORA JOHN DEERE DSKH21] - JONH DEERE ")</f>
        <v>[EXT-03 RETROEXCAVADORA JOHN DEERE DSKH21] - JONH DEERE </v>
      </c>
      <c r="AH17" s="252">
        <f>IFERROR(__xludf.DUMMYFUNCTION("""COMPUTED_VALUE"""),10453.0)</f>
        <v>10453</v>
      </c>
      <c r="AI17" s="252">
        <f>IFERROR(__xludf.DUMMYFUNCTION("""COMPUTED_VALUE"""),3.0)</f>
        <v>3</v>
      </c>
      <c r="AJ17" s="882">
        <f>IFERROR(__xludf.DUMMYFUNCTION("""COMPUTED_VALUE"""),45833.416180555556)</f>
        <v>45833.41618</v>
      </c>
      <c r="AK17" s="882">
        <f>IFERROR(__xludf.DUMMYFUNCTION("""COMPUTED_VALUE"""),45758.66515046296)</f>
        <v>45758.66515</v>
      </c>
      <c r="AL17" s="880">
        <f>IFERROR(__xludf.DUMMYFUNCTION("""COMPUTED_VALUE"""),10350.0)</f>
        <v>10350</v>
      </c>
      <c r="AM17" s="252"/>
      <c r="AN17" s="252"/>
      <c r="AO17" s="252" t="str">
        <f>IFERROR(__xludf.DUMMYFUNCTION("""COMPUTED_VALUE"""),"Hr")</f>
        <v>Hr</v>
      </c>
      <c r="AP17" s="252"/>
      <c r="AQ17" s="252">
        <f>IFERROR(__xludf.DUMMYFUNCTION("""COMPUTED_VALUE"""),10453.0)</f>
        <v>10453</v>
      </c>
      <c r="AR17" s="252"/>
      <c r="AS17" s="881">
        <f>IFERROR(__xludf.DUMMYFUNCTION("""COMPUTED_VALUE"""),44927.0)</f>
        <v>44927</v>
      </c>
      <c r="AT17" s="881">
        <f>IFERROR(__xludf.DUMMYFUNCTION("""COMPUTED_VALUE"""),44927.0)</f>
        <v>44927</v>
      </c>
      <c r="AU17" s="252" t="str">
        <f>IFERROR(__xludf.DUMMYFUNCTION("""COMPUTED_VALUE"""),"RDC250401180741")</f>
        <v>RDC250401180741</v>
      </c>
      <c r="AV17" s="252" t="str">
        <f>IFERROR(__xludf.DUMMYFUNCTION("""COMPUTED_VALUE"""),"RCO250401154307")</f>
        <v>RCO250401154307</v>
      </c>
      <c r="AW17" s="252">
        <f>IFERROR(__xludf.DUMMYFUNCTION("""COMPUTED_VALUE"""),50.0)</f>
        <v>50</v>
      </c>
      <c r="AX17" s="252">
        <f>IFERROR(__xludf.DUMMYFUNCTION("""COMPUTED_VALUE"""),122.0)</f>
        <v>122</v>
      </c>
      <c r="AY17" s="252">
        <f>IFERROR(__xludf.DUMMYFUNCTION("""COMPUTED_VALUE"""),-1.0)</f>
        <v>-1</v>
      </c>
      <c r="AZ17" s="884">
        <f>IFERROR(__xludf.DUMMYFUNCTION("""COMPUTED_VALUE"""),45748.0)</f>
        <v>45748</v>
      </c>
    </row>
    <row r="18">
      <c r="A18" s="252" t="str">
        <f>IFERROR(__xludf.DUMMYFUNCTION("""COMPUTED_VALUE"""),"29b79e17")</f>
        <v>29b79e17</v>
      </c>
      <c r="B18" s="252" t="str">
        <f>IFERROR(__xludf.DUMMYFUNCTION("""COMPUTED_VALUE"""),"T-06 VDYH39")</f>
        <v>T-06 VDYH39</v>
      </c>
      <c r="C18" s="252" t="str">
        <f>IFERROR(__xludf.DUMMYFUNCTION("""COMPUTED_VALUE"""),"TRACTOR")</f>
        <v>TRACTOR</v>
      </c>
      <c r="D18" s="252" t="str">
        <f>IFERROR(__xludf.DUMMYFUNCTION("""COMPUTED_VALUE"""),"TRACTOR")</f>
        <v>TRACTOR</v>
      </c>
      <c r="E18" s="252" t="str">
        <f>IFERROR(__xludf.DUMMYFUNCTION("""COMPUTED_VALUE"""),"CASE")</f>
        <v>CASE</v>
      </c>
      <c r="F18" s="252" t="str">
        <f>IFERROR(__xludf.DUMMYFUNCTION("""COMPUTED_VALUE"""),"PUMA 155")</f>
        <v>PUMA 155</v>
      </c>
      <c r="G18" s="252">
        <f>IFERROR(__xludf.DUMMYFUNCTION("""COMPUTED_VALUE"""),2025.0)</f>
        <v>2025</v>
      </c>
      <c r="H18" s="252"/>
      <c r="I18" s="252"/>
      <c r="J18" s="252" t="str">
        <f>IFERROR(__xludf.DUMMYFUNCTION("""COMPUTED_VALUE"""),"VDYH39")</f>
        <v>VDYH39</v>
      </c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  <c r="AA18" s="252"/>
      <c r="AB18" s="252" t="str">
        <f>IFERROR(__xludf.DUMMYFUNCTION("""COMPUTED_VALUE"""),"En producción")</f>
        <v>En producción</v>
      </c>
      <c r="AC18" s="252" t="str">
        <f>IFERROR(__xludf.DUMMYFUNCTION("""COMPUTED_VALUE"""),"MAQUINAS_Images/29b79e17.FOTO1.140255.jpg")</f>
        <v>MAQUINAS_Images/29b79e17.FOTO1.140255.jpg</v>
      </c>
      <c r="AD18" s="252">
        <f>IFERROR(__xludf.DUMMYFUNCTION("""COMPUTED_VALUE"""),928.0)</f>
        <v>928</v>
      </c>
      <c r="AE18" s="252" t="str">
        <f>IFERROR(__xludf.DUMMYFUNCTION("""COMPUTED_VALUE"""),"Sin incidentes")</f>
        <v>Sin incidentes</v>
      </c>
      <c r="AF18" s="252"/>
      <c r="AG18" s="252" t="str">
        <f>IFERROR(__xludf.DUMMYFUNCTION("""COMPUTED_VALUE"""),"[T-06 VDYH39] - CASE PUMA 155")</f>
        <v>[T-06 VDYH39] - CASE PUMA 155</v>
      </c>
      <c r="AH18" s="252">
        <f>IFERROR(__xludf.DUMMYFUNCTION("""COMPUTED_VALUE"""),1195.0)</f>
        <v>1195</v>
      </c>
      <c r="AI18" s="252">
        <f>IFERROR(__xludf.DUMMYFUNCTION("""COMPUTED_VALUE"""),1.0)</f>
        <v>1</v>
      </c>
      <c r="AJ18" s="882">
        <f>IFERROR(__xludf.DUMMYFUNCTION("""COMPUTED_VALUE"""),46095.25614583334)</f>
        <v>46095.25615</v>
      </c>
      <c r="AK18" s="882">
        <f>IFERROR(__xludf.DUMMYFUNCTION("""COMPUTED_VALUE"""),46095.25618055555)</f>
        <v>46095.25618</v>
      </c>
      <c r="AL18" s="880">
        <f>IFERROR(__xludf.DUMMYFUNCTION("""COMPUTED_VALUE"""),1325.0)</f>
        <v>1325</v>
      </c>
      <c r="AM18" s="252"/>
      <c r="AN18" s="252" t="str">
        <f>IFERROR(__xludf.DUMMYFUNCTION("""COMPUTED_VALUE"""),"OT260127101526")</f>
        <v>OT260127101526</v>
      </c>
      <c r="AO18" s="252" t="str">
        <f>IFERROR(__xludf.DUMMYFUNCTION("""COMPUTED_VALUE"""),"Hr")</f>
        <v>Hr</v>
      </c>
      <c r="AP18" s="252"/>
      <c r="AQ18" s="252"/>
      <c r="AR18" s="252"/>
      <c r="AS18" s="881">
        <f>IFERROR(__xludf.DUMMYFUNCTION("""COMPUTED_VALUE"""),45803.0)</f>
        <v>45803</v>
      </c>
      <c r="AT18" s="881">
        <f>IFERROR(__xludf.DUMMYFUNCTION("""COMPUTED_VALUE"""),45803.0)</f>
        <v>45803</v>
      </c>
      <c r="AU18" s="252" t="str">
        <f>IFERROR(__xludf.DUMMYFUNCTION("""COMPUTED_VALUE"""),"RDC260210171638")</f>
        <v>RDC260210171638</v>
      </c>
      <c r="AV18" s="252" t="str">
        <f>IFERROR(__xludf.DUMMYFUNCTION("""COMPUTED_VALUE"""),"RCO260314080402")</f>
        <v>RCO260314080402</v>
      </c>
      <c r="AW18" s="252">
        <f>IFERROR(__xludf.DUMMYFUNCTION("""COMPUTED_VALUE"""),135.0)</f>
        <v>135</v>
      </c>
      <c r="AX18" s="252">
        <f>IFERROR(__xludf.DUMMYFUNCTION("""COMPUTED_VALUE"""),12.0)</f>
        <v>12</v>
      </c>
      <c r="AY18" s="252">
        <f>IFERROR(__xludf.DUMMYFUNCTION("""COMPUTED_VALUE"""),0.0)</f>
        <v>0</v>
      </c>
      <c r="AZ18" s="883">
        <f>IFERROR(__xludf.DUMMYFUNCTION("""COMPUTED_VALUE"""),46095.0)</f>
        <v>46095</v>
      </c>
    </row>
    <row r="19">
      <c r="A19" s="252" t="str">
        <f>IFERROR(__xludf.DUMMYFUNCTION("""COMPUTED_VALUE"""),"2b751702")</f>
        <v>2b751702</v>
      </c>
      <c r="B19" s="252" t="str">
        <f>IFERROR(__xludf.DUMMYFUNCTION("""COMPUTED_VALUE"""),"EX-12 JJLH67")</f>
        <v>EX-12 JJLH67</v>
      </c>
      <c r="C19" s="252" t="str">
        <f>IFERROR(__xludf.DUMMYFUNCTION("""COMPUTED_VALUE"""),"EXCAVADORA")</f>
        <v>EXCAVADORA</v>
      </c>
      <c r="D19" s="252" t="str">
        <f>IFERROR(__xludf.DUMMYFUNCTION("""COMPUTED_VALUE"""),"EXCAVADORA")</f>
        <v>EXCAVADORA</v>
      </c>
      <c r="E19" s="252" t="str">
        <f>IFERROR(__xludf.DUMMYFUNCTION("""COMPUTED_VALUE"""),"JOHN DEERE")</f>
        <v>JOHN DEERE</v>
      </c>
      <c r="F19" s="252" t="str">
        <f>IFERROR(__xludf.DUMMYFUNCTION("""COMPUTED_VALUE"""),"350G")</f>
        <v>350G</v>
      </c>
      <c r="G19" s="252"/>
      <c r="H19" s="252"/>
      <c r="I19" s="252"/>
      <c r="J19" s="252" t="str">
        <f>IFERROR(__xludf.DUMMYFUNCTION("""COMPUTED_VALUE"""),"JJLH67-6")</f>
        <v>JJLH67-6</v>
      </c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  <c r="AA19" s="252"/>
      <c r="AB19" s="252" t="str">
        <f>IFERROR(__xludf.DUMMYFUNCTION("""COMPUTED_VALUE"""),"En producción")</f>
        <v>En producción</v>
      </c>
      <c r="AC19" s="252"/>
      <c r="AD19" s="252">
        <f>IFERROR(__xludf.DUMMYFUNCTION("""COMPUTED_VALUE"""),867.0)</f>
        <v>867</v>
      </c>
      <c r="AE19" s="252" t="str">
        <f>IFERROR(__xludf.DUMMYFUNCTION("""COMPUTED_VALUE"""),"Sin incidentes")</f>
        <v>Sin incidentes</v>
      </c>
      <c r="AF19" s="252"/>
      <c r="AG19" s="252" t="str">
        <f>IFERROR(__xludf.DUMMYFUNCTION("""COMPUTED_VALUE"""),"[EX-12 JJLH67] - JOHN DEERE 350G")</f>
        <v>[EX-12 JJLH67] - JOHN DEERE 350G</v>
      </c>
      <c r="AH19" s="252">
        <f>IFERROR(__xludf.DUMMYFUNCTION("""COMPUTED_VALUE"""),10256.0)</f>
        <v>10256</v>
      </c>
      <c r="AI19" s="252">
        <f>IFERROR(__xludf.DUMMYFUNCTION("""COMPUTED_VALUE"""),1.0)</f>
        <v>1</v>
      </c>
      <c r="AJ19" s="882">
        <f>IFERROR(__xludf.DUMMYFUNCTION("""COMPUTED_VALUE"""),46086.390555555554)</f>
        <v>46086.39056</v>
      </c>
      <c r="AK19" s="882">
        <f>IFERROR(__xludf.DUMMYFUNCTION("""COMPUTED_VALUE"""),46085.52064814815)</f>
        <v>46085.52065</v>
      </c>
      <c r="AL19" s="880">
        <f>IFERROR(__xludf.DUMMYFUNCTION("""COMPUTED_VALUE"""),10314.0)</f>
        <v>10314</v>
      </c>
      <c r="AM19" s="880" t="str">
        <f>IFERROR(__xludf.DUMMYFUNCTION("""COMPUTED_VALUE"""),"")</f>
        <v/>
      </c>
      <c r="AN19" s="252" t="str">
        <f>IFERROR(__xludf.DUMMYFUNCTION("""COMPUTED_VALUE"""),"OT251121172855")</f>
        <v>OT251121172855</v>
      </c>
      <c r="AO19" s="252" t="str">
        <f>IFERROR(__xludf.DUMMYFUNCTION("""COMPUTED_VALUE"""),"Hr")</f>
        <v>Hr</v>
      </c>
      <c r="AP19" s="252"/>
      <c r="AQ19" s="252">
        <f>IFERROR(__xludf.DUMMYFUNCTION("""COMPUTED_VALUE"""),9102.0)</f>
        <v>9102</v>
      </c>
      <c r="AR19" s="252"/>
      <c r="AS19" s="881">
        <f>IFERROR(__xludf.DUMMYFUNCTION("""COMPUTED_VALUE"""),44927.0)</f>
        <v>44927</v>
      </c>
      <c r="AT19" s="881">
        <f>IFERROR(__xludf.DUMMYFUNCTION("""COMPUTED_VALUE"""),44927.0)</f>
        <v>44927</v>
      </c>
      <c r="AU19" s="252" t="str">
        <f>IFERROR(__xludf.DUMMYFUNCTION("""COMPUTED_VALUE"""),"RDC260305112059")</f>
        <v>RDC260305112059</v>
      </c>
      <c r="AV19" s="252" t="str">
        <f>IFERROR(__xludf.DUMMYFUNCTION("""COMPUTED_VALUE"""),"RCO260304142127")</f>
        <v>RCO260304142127</v>
      </c>
      <c r="AW19" s="252">
        <f>IFERROR(__xludf.DUMMYFUNCTION("""COMPUTED_VALUE"""),308.0)</f>
        <v>308</v>
      </c>
      <c r="AX19" s="252">
        <f>IFERROR(__xludf.DUMMYFUNCTION("""COMPUTED_VALUE"""),13.0)</f>
        <v>13</v>
      </c>
      <c r="AY19" s="252">
        <f>IFERROR(__xludf.DUMMYFUNCTION("""COMPUTED_VALUE"""),0.0)</f>
        <v>0</v>
      </c>
      <c r="AZ19" s="884">
        <f>IFERROR(__xludf.DUMMYFUNCTION("""COMPUTED_VALUE"""),46085.0)</f>
        <v>46085</v>
      </c>
    </row>
    <row r="20">
      <c r="A20" s="252" t="str">
        <f>IFERROR(__xludf.DUMMYFUNCTION("""COMPUTED_VALUE"""),"2c38a2be")</f>
        <v>2c38a2be</v>
      </c>
      <c r="B20" s="252" t="str">
        <f>IFERROR(__xludf.DUMMYFUNCTION("""COMPUTED_VALUE"""),"EXT-08 MOTONIVELADORA CZCY60")</f>
        <v>EXT-08 MOTONIVELADORA CZCY60</v>
      </c>
      <c r="C20" s="252" t="str">
        <f>IFERROR(__xludf.DUMMYFUNCTION("""COMPUTED_VALUE"""),"EXCAVADORA")</f>
        <v>EXCAVADORA</v>
      </c>
      <c r="D20" s="252" t="str">
        <f>IFERROR(__xludf.DUMMYFUNCTION("""COMPUTED_VALUE"""),"EXTERNO")</f>
        <v>EXTERNO</v>
      </c>
      <c r="E20" s="252" t="str">
        <f>IFERROR(__xludf.DUMMYFUNCTION("""COMPUTED_VALUE"""),"KOMATSU")</f>
        <v>KOMATSU</v>
      </c>
      <c r="F20" s="252"/>
      <c r="G20" s="252"/>
      <c r="H20" s="252"/>
      <c r="I20" s="252"/>
      <c r="J20" s="252" t="str">
        <f>IFERROR(__xludf.DUMMYFUNCTION("""COMPUTED_VALUE"""),"CZCY60")</f>
        <v>CZCY60</v>
      </c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  <c r="AA20" s="252"/>
      <c r="AB20" s="252" t="str">
        <f>IFERROR(__xludf.DUMMYFUNCTION("""COMPUTED_VALUE"""),"En producción")</f>
        <v>En producción</v>
      </c>
      <c r="AC20" s="252"/>
      <c r="AD20" s="252">
        <f>IFERROR(__xludf.DUMMYFUNCTION("""COMPUTED_VALUE"""),352.0)</f>
        <v>352</v>
      </c>
      <c r="AE20" s="252" t="str">
        <f>IFERROR(__xludf.DUMMYFUNCTION("""COMPUTED_VALUE"""),"Sin incidentes")</f>
        <v>Sin incidentes</v>
      </c>
      <c r="AF20" s="252"/>
      <c r="AG20" s="252" t="str">
        <f>IFERROR(__xludf.DUMMYFUNCTION("""COMPUTED_VALUE"""),"[EXT-08 MOTONIVELADORA CZCY60] - KOMATSU ")</f>
        <v>[EXT-08 MOTONIVELADORA CZCY60] - KOMATSU </v>
      </c>
      <c r="AH20" s="252">
        <f>IFERROR(__xludf.DUMMYFUNCTION("""COMPUTED_VALUE"""),11516.0)</f>
        <v>11516</v>
      </c>
      <c r="AI20" s="252"/>
      <c r="AJ20" s="882">
        <f>IFERROR(__xludf.DUMMYFUNCTION("""COMPUTED_VALUE"""),45723.56265046296)</f>
        <v>45723.56265</v>
      </c>
      <c r="AK20" s="252"/>
      <c r="AL20" s="880">
        <f>IFERROR(__xludf.DUMMYFUNCTION("""COMPUTED_VALUE"""),11700.0)</f>
        <v>11700</v>
      </c>
      <c r="AM20" s="880" t="str">
        <f>IFERROR(__xludf.DUMMYFUNCTION("""COMPUTED_VALUE"""),"")</f>
        <v/>
      </c>
      <c r="AN20" s="252"/>
      <c r="AO20" s="252" t="str">
        <f>IFERROR(__xludf.DUMMYFUNCTION("""COMPUTED_VALUE"""),"Hr")</f>
        <v>Hr</v>
      </c>
      <c r="AP20" s="252"/>
      <c r="AQ20" s="252">
        <f>IFERROR(__xludf.DUMMYFUNCTION("""COMPUTED_VALUE"""),11516.0)</f>
        <v>11516</v>
      </c>
      <c r="AR20" s="252"/>
      <c r="AS20" s="881">
        <f>IFERROR(__xludf.DUMMYFUNCTION("""COMPUTED_VALUE"""),44927.0)</f>
        <v>44927</v>
      </c>
      <c r="AT20" s="881">
        <f>IFERROR(__xludf.DUMMYFUNCTION("""COMPUTED_VALUE"""),44927.0)</f>
        <v>44927</v>
      </c>
      <c r="AU20" s="252" t="str">
        <f>IFERROR(__xludf.DUMMYFUNCTION("""COMPUTED_VALUE"""),"RDC241126163218")</f>
        <v>RDC241126163218</v>
      </c>
      <c r="AV20" s="252"/>
      <c r="AW20" s="252"/>
      <c r="AX20" s="252"/>
      <c r="AY20" s="252"/>
      <c r="AZ20" s="252"/>
    </row>
    <row r="21">
      <c r="A21" s="252" t="str">
        <f>IFERROR(__xludf.DUMMYFUNCTION("""COMPUTED_VALUE"""),"2dbcf22c")</f>
        <v>2dbcf22c</v>
      </c>
      <c r="B21" s="252" t="str">
        <f>IFERROR(__xludf.DUMMYFUNCTION("""COMPUTED_VALUE"""),"CT-27 WH9821")</f>
        <v>CT-27 WH9821</v>
      </c>
      <c r="C21" s="252" t="str">
        <f>IFERROR(__xludf.DUMMYFUNCTION("""COMPUTED_VALUE"""),"CAMION TOLVA")</f>
        <v>CAMION TOLVA</v>
      </c>
      <c r="D21" s="252" t="str">
        <f>IFERROR(__xludf.DUMMYFUNCTION("""COMPUTED_VALUE"""),"CAMION TOLVA")</f>
        <v>CAMION TOLVA</v>
      </c>
      <c r="E21" s="252" t="str">
        <f>IFERROR(__xludf.DUMMYFUNCTION("""COMPUTED_VALUE"""),"MACK")</f>
        <v>MACK</v>
      </c>
      <c r="F21" s="252" t="str">
        <f>IFERROR(__xludf.DUMMYFUNCTION("""COMPUTED_VALUE"""),"CV713")</f>
        <v>CV713</v>
      </c>
      <c r="G21" s="252">
        <f>IFERROR(__xludf.DUMMYFUNCTION("""COMPUTED_VALUE"""),2006.0)</f>
        <v>2006</v>
      </c>
      <c r="H21" s="252" t="str">
        <f>IFERROR(__xludf.DUMMYFUNCTION("""COMPUTED_VALUE"""),"5X1070")</f>
        <v>5X1070</v>
      </c>
      <c r="I21" s="252" t="str">
        <f>IFERROR(__xludf.DUMMYFUNCTION("""COMPUTED_VALUE"""),"1M2AG11C06M043989")</f>
        <v>1M2AG11C06M043989</v>
      </c>
      <c r="J21" s="252" t="str">
        <f>IFERROR(__xludf.DUMMYFUNCTION("""COMPUTED_VALUE"""),"WH9821")</f>
        <v>WH9821</v>
      </c>
      <c r="K21" s="252" t="str">
        <f>IFERROR(__xludf.DUMMYFUNCTION("""COMPUTED_VALUE"""),"COMERCIALIZADORA ECMA SPA")</f>
        <v>COMERCIALIZADORA ECMA SPA</v>
      </c>
      <c r="L21" s="252"/>
      <c r="M21" s="252"/>
      <c r="N21" s="252"/>
      <c r="O21" s="252"/>
      <c r="P21" s="252"/>
      <c r="Q21" s="252"/>
      <c r="R21" s="252"/>
      <c r="S21" s="252" t="str">
        <f>IFERROR(__xludf.DUMMYFUNCTION("""COMPUTED_VALUE"""),"15")</f>
        <v>15</v>
      </c>
      <c r="T21" s="252"/>
      <c r="U21" s="252"/>
      <c r="V21" s="252"/>
      <c r="W21" s="252"/>
      <c r="X21" s="252"/>
      <c r="Y21" s="252"/>
      <c r="Z21" s="252"/>
      <c r="AA21" s="252"/>
      <c r="AB21" s="252" t="str">
        <f>IFERROR(__xludf.DUMMYFUNCTION("""COMPUTED_VALUE"""),"Reparando en taller")</f>
        <v>Reparando en taller</v>
      </c>
      <c r="AC21" s="252" t="str">
        <f>IFERROR(__xludf.DUMMYFUNCTION("""COMPUTED_VALUE"""),"MAQUINAS_Images/2dbcf22c.FOTO1.172327.jpg")</f>
        <v>MAQUINAS_Images/2dbcf22c.FOTO1.172327.jpg</v>
      </c>
      <c r="AD21" s="252">
        <f>IFERROR(__xludf.DUMMYFUNCTION("""COMPUTED_VALUE"""),371.0)</f>
        <v>371</v>
      </c>
      <c r="AE21" s="252" t="str">
        <f>IFERROR(__xludf.DUMMYFUNCTION("""COMPUTED_VALUE"""),"Sin incidentes")</f>
        <v>Sin incidentes</v>
      </c>
      <c r="AF21" s="252"/>
      <c r="AG21" s="252" t="str">
        <f>IFERROR(__xludf.DUMMYFUNCTION("""COMPUTED_VALUE"""),"[CT-27 WH9821] - MACK CV713")</f>
        <v>[CT-27 WH9821] - MACK CV713</v>
      </c>
      <c r="AH21" s="252">
        <f>IFERROR(__xludf.DUMMYFUNCTION("""COMPUTED_VALUE"""),453.0)</f>
        <v>453</v>
      </c>
      <c r="AI21" s="252">
        <f>IFERROR(__xludf.DUMMYFUNCTION("""COMPUTED_VALUE"""),250871.0)</f>
        <v>250871</v>
      </c>
      <c r="AJ21" s="882">
        <f>IFERROR(__xludf.DUMMYFUNCTION("""COMPUTED_VALUE"""),46003.581412037034)</f>
        <v>46003.58141</v>
      </c>
      <c r="AK21" s="882">
        <f>IFERROR(__xludf.DUMMYFUNCTION("""COMPUTED_VALUE"""),46003.58149305556)</f>
        <v>46003.58149</v>
      </c>
      <c r="AL21" s="880">
        <f>IFERROR(__xludf.DUMMYFUNCTION("""COMPUTED_VALUE"""),708.0)</f>
        <v>708</v>
      </c>
      <c r="AM21" s="252"/>
      <c r="AN21" s="252" t="str">
        <f>IFERROR(__xludf.DUMMYFUNCTION("""COMPUTED_VALUE"""),"OT250626152252")</f>
        <v>OT250626152252</v>
      </c>
      <c r="AO21" s="252" t="str">
        <f>IFERROR(__xludf.DUMMYFUNCTION("""COMPUTED_VALUE"""),"Hr")</f>
        <v>Hr</v>
      </c>
      <c r="AP21" s="252" t="str">
        <f>IFERROR(__xludf.DUMMYFUNCTION("""COMPUTED_VALUE"""),"IS250410095321")</f>
        <v>IS250410095321</v>
      </c>
      <c r="AQ21" s="252">
        <f>IFERROR(__xludf.DUMMYFUNCTION("""COMPUTED_VALUE"""),160.0)</f>
        <v>160</v>
      </c>
      <c r="AR21" s="252"/>
      <c r="AS21" s="881">
        <f>IFERROR(__xludf.DUMMYFUNCTION("""COMPUTED_VALUE"""),44927.0)</f>
        <v>44927</v>
      </c>
      <c r="AT21" s="881">
        <f>IFERROR(__xludf.DUMMYFUNCTION("""COMPUTED_VALUE"""),44927.0)</f>
        <v>44927</v>
      </c>
      <c r="AU21" s="252" t="str">
        <f>IFERROR(__xludf.DUMMYFUNCTION("""COMPUTED_VALUE"""),"RDC250725095349")</f>
        <v>RDC250725095349</v>
      </c>
      <c r="AV21" s="252" t="str">
        <f>IFERROR(__xludf.DUMMYFUNCTION("""COMPUTED_VALUE"""),"RCO250723174738")</f>
        <v>RCO250723174738</v>
      </c>
      <c r="AW21" s="252">
        <f>IFERROR(__xludf.DUMMYFUNCTION("""COMPUTED_VALUE"""),198.3)</f>
        <v>198.3</v>
      </c>
      <c r="AX21" s="252">
        <f>IFERROR(__xludf.DUMMYFUNCTION("""COMPUTED_VALUE"""),22.0)</f>
        <v>22</v>
      </c>
      <c r="AY21" s="252">
        <f>IFERROR(__xludf.DUMMYFUNCTION("""COMPUTED_VALUE"""),0.0)</f>
        <v>0</v>
      </c>
      <c r="AZ21" s="883">
        <f>IFERROR(__xludf.DUMMYFUNCTION("""COMPUTED_VALUE"""),45861.0)</f>
        <v>45861</v>
      </c>
    </row>
    <row r="22">
      <c r="A22" s="252" t="str">
        <f>IFERROR(__xludf.DUMMYFUNCTION("""COMPUTED_VALUE"""),"2e6217b5")</f>
        <v>2e6217b5</v>
      </c>
      <c r="B22" s="252" t="str">
        <f>IFERROR(__xludf.DUMMYFUNCTION("""COMPUTED_VALUE"""),"P-05 Harcha")</f>
        <v>P-05 Harcha</v>
      </c>
      <c r="C22" s="252" t="str">
        <f>IFERROR(__xludf.DUMMYFUNCTION("""COMPUTED_VALUE"""),"PLANTAS")</f>
        <v>PLANTAS</v>
      </c>
      <c r="D22" s="252" t="str">
        <f>IFERROR(__xludf.DUMMYFUNCTION("""COMPUTED_VALUE"""),"PLANTA HORMIGON")</f>
        <v>PLANTA HORMIGON</v>
      </c>
      <c r="E22" s="252" t="str">
        <f>IFERROR(__xludf.DUMMYFUNCTION("""COMPUTED_VALUE"""),"Harcha")</f>
        <v>Harcha</v>
      </c>
      <c r="F22" s="252" t="str">
        <f>IFERROR(__xludf.DUMMYFUNCTION("""COMPUTED_VALUE"""),"Mak")</f>
        <v>Mak</v>
      </c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 t="str">
        <f>IFERROR(__xludf.DUMMYFUNCTION("""COMPUTED_VALUE"""),"En producción")</f>
        <v>En producción</v>
      </c>
      <c r="AC22" s="252" t="str">
        <f>IFERROR(__xludf.DUMMYFUNCTION("""COMPUTED_VALUE"""),"MAQUINAS_Images/2e6217b5.FOTO1.151225.png")</f>
        <v>MAQUINAS_Images/2e6217b5.FOTO1.151225.png</v>
      </c>
      <c r="AD22" s="252">
        <f>IFERROR(__xludf.DUMMYFUNCTION("""COMPUTED_VALUE"""),1067.0)</f>
        <v>1067</v>
      </c>
      <c r="AE22" s="252" t="str">
        <f>IFERROR(__xludf.DUMMYFUNCTION("""COMPUTED_VALUE"""),"Sin incidentes")</f>
        <v>Sin incidentes</v>
      </c>
      <c r="AF22" s="252"/>
      <c r="AG22" s="252" t="str">
        <f>IFERROR(__xludf.DUMMYFUNCTION("""COMPUTED_VALUE"""),"[P-05 Harcha] - Harcha Mak")</f>
        <v>[P-05 Harcha] - Harcha Mak</v>
      </c>
      <c r="AH22" s="252">
        <f>IFERROR(__xludf.DUMMYFUNCTION("""COMPUTED_VALUE"""),4046.0)</f>
        <v>4046</v>
      </c>
      <c r="AI22" s="252"/>
      <c r="AJ22" s="882">
        <f>IFERROR(__xludf.DUMMYFUNCTION("""COMPUTED_VALUE"""),46064.32954861111)</f>
        <v>46064.32955</v>
      </c>
      <c r="AK22" s="252"/>
      <c r="AL22" s="252"/>
      <c r="AM22" s="252"/>
      <c r="AN22" s="252"/>
      <c r="AO22" s="252"/>
      <c r="AP22" s="252"/>
      <c r="AQ22" s="252"/>
      <c r="AR22" s="252"/>
      <c r="AS22" s="881">
        <f>IFERROR(__xludf.DUMMYFUNCTION("""COMPUTED_VALUE"""),46062.0)</f>
        <v>46062</v>
      </c>
      <c r="AT22" s="881">
        <f>IFERROR(__xludf.DUMMYFUNCTION("""COMPUTED_VALUE"""),46062.0)</f>
        <v>46062</v>
      </c>
      <c r="AU22" s="252" t="str">
        <f>IFERROR(__xludf.DUMMYFUNCTION("""COMPUTED_VALUE"""),"RDC260305090802")</f>
        <v>RDC260305090802</v>
      </c>
      <c r="AV22" s="252"/>
      <c r="AW22" s="252"/>
      <c r="AX22" s="252"/>
      <c r="AY22" s="252"/>
      <c r="AZ22" s="252"/>
    </row>
    <row r="23">
      <c r="A23" s="252" t="str">
        <f>IFERROR(__xludf.DUMMYFUNCTION("""COMPUTED_VALUE"""),"2f153282")</f>
        <v>2f153282</v>
      </c>
      <c r="B23" s="252" t="str">
        <f>IFERROR(__xludf.DUMMYFUNCTION("""COMPUTED_VALUE"""),"C-47 SXLL36")</f>
        <v>C-47 SXLL36</v>
      </c>
      <c r="C23" s="252" t="str">
        <f>IFERROR(__xludf.DUMMYFUNCTION("""COMPUTED_VALUE"""),"CAMIONETA")</f>
        <v>CAMIONETA</v>
      </c>
      <c r="D23" s="252" t="str">
        <f>IFERROR(__xludf.DUMMYFUNCTION("""COMPUTED_VALUE"""),"CAMIONETA")</f>
        <v>CAMIONETA</v>
      </c>
      <c r="E23" s="252" t="str">
        <f>IFERROR(__xludf.DUMMYFUNCTION("""COMPUTED_VALUE"""),"FORD")</f>
        <v>FORD</v>
      </c>
      <c r="F23" s="252" t="str">
        <f>IFERROR(__xludf.DUMMYFUNCTION("""COMPUTED_VALUE"""),"F-150LT 3.3 4X2")</f>
        <v>F-150LT 3.3 4X2</v>
      </c>
      <c r="G23" s="252"/>
      <c r="H23" s="252"/>
      <c r="I23" s="252"/>
      <c r="J23" s="252" t="str">
        <f>IFERROR(__xludf.DUMMYFUNCTION("""COMPUTED_VALUE"""),"SXLL36")</f>
        <v>SXLL36</v>
      </c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Z23" s="252"/>
      <c r="AA23" s="252"/>
      <c r="AB23" s="252" t="str">
        <f>IFERROR(__xludf.DUMMYFUNCTION("""COMPUTED_VALUE"""),"Fuera de la empresa")</f>
        <v>Fuera de la empresa</v>
      </c>
      <c r="AC23" s="252"/>
      <c r="AD23" s="252"/>
      <c r="AE23" s="252" t="str">
        <f>IFERROR(__xludf.DUMMYFUNCTION("""COMPUTED_VALUE"""),"Sin incidentes")</f>
        <v>Sin incidentes</v>
      </c>
      <c r="AF23" s="252"/>
      <c r="AG23" s="252" t="str">
        <f>IFERROR(__xludf.DUMMYFUNCTION("""COMPUTED_VALUE"""),"[C-47 SXLL36] - FORD F-150LT 3.3 4X2")</f>
        <v>[C-47 SXLL36] - FORD F-150LT 3.3 4X2</v>
      </c>
      <c r="AH23" s="252">
        <f>IFERROR(__xludf.DUMMYFUNCTION("""COMPUTED_VALUE"""),1.0)</f>
        <v>1</v>
      </c>
      <c r="AI23" s="252">
        <f>IFERROR(__xludf.DUMMYFUNCTION("""COMPUTED_VALUE"""),80000.0)</f>
        <v>80000</v>
      </c>
      <c r="AJ23" s="885">
        <f>IFERROR(__xludf.DUMMYFUNCTION("""COMPUTED_VALUE"""),45978.57496527778)</f>
        <v>45978.57497</v>
      </c>
      <c r="AK23" s="882">
        <f>IFERROR(__xludf.DUMMYFUNCTION("""COMPUTED_VALUE"""),45978.575)</f>
        <v>45978.575</v>
      </c>
      <c r="AL23" s="880" t="str">
        <f>IFERROR(__xludf.DUMMYFUNCTION("""COMPUTED_VALUE"""),"")</f>
        <v/>
      </c>
      <c r="AM23" s="880">
        <f>IFERROR(__xludf.DUMMYFUNCTION("""COMPUTED_VALUE"""),90000.0)</f>
        <v>90000</v>
      </c>
      <c r="AN23" s="252" t="str">
        <f>IFERROR(__xludf.DUMMYFUNCTION("""COMPUTED_VALUE"""),"OT250827141908")</f>
        <v>OT250827141908</v>
      </c>
      <c r="AO23" s="252" t="str">
        <f>IFERROR(__xludf.DUMMYFUNCTION("""COMPUTED_VALUE"""),"Km")</f>
        <v>Km</v>
      </c>
      <c r="AP23" s="252"/>
      <c r="AQ23" s="252"/>
      <c r="AR23" s="252">
        <f>IFERROR(__xludf.DUMMYFUNCTION("""COMPUTED_VALUE"""),62261.0)</f>
        <v>62261</v>
      </c>
      <c r="AS23" s="881">
        <f>IFERROR(__xludf.DUMMYFUNCTION("""COMPUTED_VALUE"""),44927.0)</f>
        <v>44927</v>
      </c>
      <c r="AT23" s="881">
        <f>IFERROR(__xludf.DUMMYFUNCTION("""COMPUTED_VALUE"""),44927.0)</f>
        <v>44927</v>
      </c>
      <c r="AU23" s="252"/>
      <c r="AV23" s="252"/>
      <c r="AW23" s="252"/>
      <c r="AX23" s="252"/>
      <c r="AY23" s="252"/>
      <c r="AZ23" s="252"/>
    </row>
    <row r="24">
      <c r="A24" s="252" t="str">
        <f>IFERROR(__xludf.DUMMYFUNCTION("""COMPUTED_VALUE"""),"2fc23a8f")</f>
        <v>2fc23a8f</v>
      </c>
      <c r="B24" s="252" t="str">
        <f>IFERROR(__xludf.DUMMYFUNCTION("""COMPUTED_VALUE"""),"Cama baja pwsf12")</f>
        <v>Cama baja pwsf12</v>
      </c>
      <c r="C24" s="252" t="str">
        <f>IFERROR(__xludf.DUMMYFUNCTION("""COMPUTED_VALUE"""),"SEMIREMOLQUE")</f>
        <v>SEMIREMOLQUE</v>
      </c>
      <c r="D24" s="252" t="str">
        <f>IFERROR(__xludf.DUMMYFUNCTION("""COMPUTED_VALUE"""),"CAMA BAJA")</f>
        <v>CAMA BAJA</v>
      </c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 t="str">
        <f>IFERROR(__xludf.DUMMYFUNCTION("""COMPUTED_VALUE"""),"Rotura de ángulo.")</f>
        <v>Rotura de ángulo.</v>
      </c>
      <c r="V24" s="252"/>
      <c r="W24" s="252"/>
      <c r="X24" s="252"/>
      <c r="Y24" s="252"/>
      <c r="Z24" s="252"/>
      <c r="AA24" s="252"/>
      <c r="AB24" s="252" t="str">
        <f>IFERROR(__xludf.DUMMYFUNCTION("""COMPUTED_VALUE"""),"Patio LL")</f>
        <v>Patio LL</v>
      </c>
      <c r="AC24" s="252" t="str">
        <f>IFERROR(__xludf.DUMMYFUNCTION("""COMPUTED_VALUE"""),"MAQUINAS_Images/2fc23a8f.FOTO1.171213.jpg")</f>
        <v>MAQUINAS_Images/2fc23a8f.FOTO1.171213.jpg</v>
      </c>
      <c r="AD24" s="252"/>
      <c r="AE24" s="252" t="str">
        <f>IFERROR(__xludf.DUMMYFUNCTION("""COMPUTED_VALUE"""),"Alerta incidente")</f>
        <v>Alerta incidente</v>
      </c>
      <c r="AF24" s="252">
        <f>IFERROR(__xludf.DUMMYFUNCTION("""COMPUTED_VALUE"""),1.0)</f>
        <v>1</v>
      </c>
      <c r="AG24" s="252" t="str">
        <f>IFERROR(__xludf.DUMMYFUNCTION("""COMPUTED_VALUE"""),"[Cama baja pwsf12] -  ")</f>
        <v>[Cama baja pwsf12] -  </v>
      </c>
      <c r="AH24" s="252"/>
      <c r="AI24" s="252"/>
      <c r="AJ24" s="252"/>
      <c r="AK24" s="252"/>
      <c r="AL24" s="880" t="str">
        <f>IFERROR(__xludf.DUMMYFUNCTION("""COMPUTED_VALUE"""),"")</f>
        <v/>
      </c>
      <c r="AM24" s="880" t="str">
        <f>IFERROR(__xludf.DUMMYFUNCTION("""COMPUTED_VALUE"""),"")</f>
        <v/>
      </c>
      <c r="AN24" s="252"/>
      <c r="AO24" s="252" t="str">
        <f>IFERROR(__xludf.DUMMYFUNCTION("""COMPUTED_VALUE"""),"N/A")</f>
        <v>N/A</v>
      </c>
      <c r="AP24" s="252"/>
      <c r="AQ24" s="252"/>
      <c r="AR24" s="252"/>
      <c r="AS24" s="881">
        <f>IFERROR(__xludf.DUMMYFUNCTION("""COMPUTED_VALUE"""),44927.0)</f>
        <v>44927</v>
      </c>
      <c r="AT24" s="881">
        <f>IFERROR(__xludf.DUMMYFUNCTION("""COMPUTED_VALUE"""),44927.0)</f>
        <v>44927</v>
      </c>
      <c r="AU24" s="252"/>
      <c r="AV24" s="252"/>
      <c r="AW24" s="252"/>
      <c r="AX24" s="252"/>
      <c r="AY24" s="252"/>
      <c r="AZ24" s="252"/>
    </row>
    <row r="25">
      <c r="A25" s="252" t="str">
        <f>IFERROR(__xludf.DUMMYFUNCTION("""COMPUTED_VALUE"""),"31f525d0")</f>
        <v>31f525d0</v>
      </c>
      <c r="B25" s="252" t="str">
        <f>IFERROR(__xludf.DUMMYFUNCTION("""COMPUTED_VALUE"""),"CT-23 BSPZ51-K")</f>
        <v>CT-23 BSPZ51-K</v>
      </c>
      <c r="C25" s="252" t="str">
        <f>IFERROR(__xludf.DUMMYFUNCTION("""COMPUTED_VALUE"""),"CAMION TOLVA")</f>
        <v>CAMION TOLVA</v>
      </c>
      <c r="D25" s="252" t="str">
        <f>IFERROR(__xludf.DUMMYFUNCTION("""COMPUTED_VALUE"""),"TOLVA")</f>
        <v>TOLVA</v>
      </c>
      <c r="E25" s="252" t="str">
        <f>IFERROR(__xludf.DUMMYFUNCTION("""COMPUTED_VALUE"""),"MACK")</f>
        <v>MACK</v>
      </c>
      <c r="F25" s="252" t="str">
        <f>IFERROR(__xludf.DUMMYFUNCTION("""COMPUTED_VALUE"""),"GU 813")</f>
        <v>GU 813</v>
      </c>
      <c r="G25" s="252">
        <f>IFERROR(__xludf.DUMMYFUNCTION("""COMPUTED_VALUE"""),2009.0)</f>
        <v>2009</v>
      </c>
      <c r="H25" s="252" t="str">
        <f>IFERROR(__xludf.DUMMYFUNCTION("""COMPUTED_VALUE"""),"918750")</f>
        <v>918750</v>
      </c>
      <c r="I25" s="252" t="str">
        <f>IFERROR(__xludf.DUMMYFUNCTION("""COMPUTED_VALUE"""),"1M2AX18C69M006701")</f>
        <v>1M2AX18C69M006701</v>
      </c>
      <c r="J25" s="252" t="str">
        <f>IFERROR(__xludf.DUMMYFUNCTION("""COMPUTED_VALUE"""),"BSPZ51-K")</f>
        <v>BSPZ51-K</v>
      </c>
      <c r="K25" s="252" t="str">
        <f>IFERROR(__xludf.DUMMYFUNCTION("""COMPUTED_VALUE"""),"COMERCIALIZADORA ECMA SPA")</f>
        <v>COMERCIALIZADORA ECMA SPA</v>
      </c>
      <c r="L25" s="252"/>
      <c r="M25" s="252"/>
      <c r="N25" s="252"/>
      <c r="O25" s="252"/>
      <c r="P25" s="252"/>
      <c r="Q25" s="252"/>
      <c r="R25" s="252"/>
      <c r="S25" s="252" t="str">
        <f>IFERROR(__xludf.DUMMYFUNCTION("""COMPUTED_VALUE"""),"15")</f>
        <v>15</v>
      </c>
      <c r="T25" s="252"/>
      <c r="U25" s="252"/>
      <c r="V25" s="252"/>
      <c r="W25" s="252"/>
      <c r="X25" s="252"/>
      <c r="Y25" s="252"/>
      <c r="Z25" s="252"/>
      <c r="AA25" s="252"/>
      <c r="AB25" s="252" t="str">
        <f>IFERROR(__xludf.DUMMYFUNCTION("""COMPUTED_VALUE"""),"En producción")</f>
        <v>En producción</v>
      </c>
      <c r="AC25" s="252" t="str">
        <f>IFERROR(__xludf.DUMMYFUNCTION("""COMPUTED_VALUE"""),"MAQUINAS_Images/31f525d0.FOTO1.172251.jpg")</f>
        <v>MAQUINAS_Images/31f525d0.FOTO1.172251.jpg</v>
      </c>
      <c r="AD25" s="252">
        <f>IFERROR(__xludf.DUMMYFUNCTION("""COMPUTED_VALUE"""),910.0)</f>
        <v>910</v>
      </c>
      <c r="AE25" s="252" t="str">
        <f>IFERROR(__xludf.DUMMYFUNCTION("""COMPUTED_VALUE"""),"Sin incidentes")</f>
        <v>Sin incidentes</v>
      </c>
      <c r="AF25" s="252"/>
      <c r="AG25" s="252" t="str">
        <f>IFERROR(__xludf.DUMMYFUNCTION("""COMPUTED_VALUE"""),"[CT-23 BSPZ51-K] - MACK GU 813")</f>
        <v>[CT-23 BSPZ51-K] - MACK GU 813</v>
      </c>
      <c r="AH25" s="252">
        <f>IFERROR(__xludf.DUMMYFUNCTION("""COMPUTED_VALUE"""),16303.0)</f>
        <v>16303</v>
      </c>
      <c r="AI25" s="252">
        <f>IFERROR(__xludf.DUMMYFUNCTION("""COMPUTED_VALUE"""),268282.0)</f>
        <v>268282</v>
      </c>
      <c r="AJ25" s="882">
        <f>IFERROR(__xludf.DUMMYFUNCTION("""COMPUTED_VALUE"""),46096.759675925925)</f>
        <v>46096.75968</v>
      </c>
      <c r="AK25" s="882">
        <f>IFERROR(__xludf.DUMMYFUNCTION("""COMPUTED_VALUE"""),46094.49796296296)</f>
        <v>46094.49796</v>
      </c>
      <c r="AL25" s="880">
        <f>IFERROR(__xludf.DUMMYFUNCTION("""COMPUTED_VALUE"""),16321.0)</f>
        <v>16321</v>
      </c>
      <c r="AM25" s="252"/>
      <c r="AN25" s="252" t="str">
        <f>IFERROR(__xludf.DUMMYFUNCTION("""COMPUTED_VALUE"""),"OT251218124639")</f>
        <v>OT251218124639</v>
      </c>
      <c r="AO25" s="252" t="str">
        <f>IFERROR(__xludf.DUMMYFUNCTION("""COMPUTED_VALUE"""),"Hr")</f>
        <v>Hr</v>
      </c>
      <c r="AP25" s="252" t="str">
        <f>IFERROR(__xludf.DUMMYFUNCTION("""COMPUTED_VALUE"""),"IS251106105211")</f>
        <v>IS251106105211</v>
      </c>
      <c r="AQ25" s="252">
        <f>IFERROR(__xludf.DUMMYFUNCTION("""COMPUTED_VALUE"""),14789.0)</f>
        <v>14789</v>
      </c>
      <c r="AR25" s="252">
        <f>IFERROR(__xludf.DUMMYFUNCTION("""COMPUTED_VALUE"""),252351.0)</f>
        <v>252351</v>
      </c>
      <c r="AS25" s="881">
        <f>IFERROR(__xludf.DUMMYFUNCTION("""COMPUTED_VALUE"""),44927.0)</f>
        <v>44927</v>
      </c>
      <c r="AT25" s="881">
        <f>IFERROR(__xludf.DUMMYFUNCTION("""COMPUTED_VALUE"""),44927.0)</f>
        <v>44927</v>
      </c>
      <c r="AU25" s="252" t="str">
        <f>IFERROR(__xludf.DUMMYFUNCTION("""COMPUTED_VALUE"""),"RDC260314194518")</f>
        <v>RDC260314194518</v>
      </c>
      <c r="AV25" s="252" t="str">
        <f>IFERROR(__xludf.DUMMYFUNCTION("""COMPUTED_VALUE"""),"RCO260313135515")</f>
        <v>RCO260313135515</v>
      </c>
      <c r="AW25" s="252">
        <f>IFERROR(__xludf.DUMMYFUNCTION("""COMPUTED_VALUE"""),125.0)</f>
        <v>125</v>
      </c>
      <c r="AX25" s="252">
        <f>IFERROR(__xludf.DUMMYFUNCTION("""COMPUTED_VALUE"""),17.0)</f>
        <v>17</v>
      </c>
      <c r="AY25" s="252">
        <f>IFERROR(__xludf.DUMMYFUNCTION("""COMPUTED_VALUE"""),0.0)</f>
        <v>0</v>
      </c>
      <c r="AZ25" s="884">
        <f>IFERROR(__xludf.DUMMYFUNCTION("""COMPUTED_VALUE"""),46094.0)</f>
        <v>46094</v>
      </c>
    </row>
    <row r="26">
      <c r="A26" s="252" t="str">
        <f>IFERROR(__xludf.DUMMYFUNCTION("""COMPUTED_VALUE"""),"332e6c06")</f>
        <v>332e6c06</v>
      </c>
      <c r="B26" s="252" t="str">
        <f>IFERROR(__xludf.DUMMYFUNCTION("""COMPUTED_VALUE"""),"EXT-07 RX-DSKH-21")</f>
        <v>EXT-07 RX-DSKH-21</v>
      </c>
      <c r="C26" s="252" t="str">
        <f>IFERROR(__xludf.DUMMYFUNCTION("""COMPUTED_VALUE"""),"RETROEXCAVADORA")</f>
        <v>RETROEXCAVADORA</v>
      </c>
      <c r="D26" s="252" t="str">
        <f>IFERROR(__xludf.DUMMYFUNCTION("""COMPUTED_VALUE"""),"EXTERNO")</f>
        <v>EXTERNO</v>
      </c>
      <c r="E26" s="252" t="str">
        <f>IFERROR(__xludf.DUMMYFUNCTION("""COMPUTED_VALUE"""),"JOHN DEERE")</f>
        <v>JOHN DEERE</v>
      </c>
      <c r="F26" s="252" t="str">
        <f>IFERROR(__xludf.DUMMYFUNCTION("""COMPUTED_VALUE"""),"310 SJ")</f>
        <v>310 SJ</v>
      </c>
      <c r="G26" s="252">
        <f>IFERROR(__xludf.DUMMYFUNCTION("""COMPUTED_VALUE"""),2012.0)</f>
        <v>2012</v>
      </c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/>
      <c r="AA26" s="252"/>
      <c r="AB26" s="252" t="str">
        <f>IFERROR(__xludf.DUMMYFUNCTION("""COMPUTED_VALUE"""),"Discontinuado")</f>
        <v>Discontinuado</v>
      </c>
      <c r="AC26" s="252" t="str">
        <f>IFERROR(__xludf.DUMMYFUNCTION("""COMPUTED_VALUE"""),"MAQUINAS_Images/332e6c06.FOTO1.165550.jpg")</f>
        <v>MAQUINAS_Images/332e6c06.FOTO1.165550.jpg</v>
      </c>
      <c r="AD26" s="252"/>
      <c r="AE26" s="252" t="str">
        <f>IFERROR(__xludf.DUMMYFUNCTION("""COMPUTED_VALUE"""),"Sin incidentes")</f>
        <v>Sin incidentes</v>
      </c>
      <c r="AF26" s="252"/>
      <c r="AG26" s="252" t="str">
        <f>IFERROR(__xludf.DUMMYFUNCTION("""COMPUTED_VALUE"""),"[EXT-07 RX-DSKH-21] - JOHN DEERE 310 SJ")</f>
        <v>[EXT-07 RX-DSKH-21] - JOHN DEERE 310 SJ</v>
      </c>
      <c r="AH26" s="252"/>
      <c r="AI26" s="252"/>
      <c r="AJ26" s="252"/>
      <c r="AK26" s="252"/>
      <c r="AL26" s="880" t="str">
        <f>IFERROR(__xludf.DUMMYFUNCTION("""COMPUTED_VALUE"""),"")</f>
        <v/>
      </c>
      <c r="AM26" s="880" t="str">
        <f>IFERROR(__xludf.DUMMYFUNCTION("""COMPUTED_VALUE"""),"")</f>
        <v/>
      </c>
      <c r="AN26" s="252"/>
      <c r="AO26" s="252" t="str">
        <f>IFERROR(__xludf.DUMMYFUNCTION("""COMPUTED_VALUE"""),"N/A")</f>
        <v>N/A</v>
      </c>
      <c r="AP26" s="252"/>
      <c r="AQ26" s="252"/>
      <c r="AR26" s="252"/>
      <c r="AS26" s="881">
        <f>IFERROR(__xludf.DUMMYFUNCTION("""COMPUTED_VALUE"""),44927.0)</f>
        <v>44927</v>
      </c>
      <c r="AT26" s="881">
        <f>IFERROR(__xludf.DUMMYFUNCTION("""COMPUTED_VALUE"""),44927.0)</f>
        <v>44927</v>
      </c>
      <c r="AU26" s="252"/>
      <c r="AV26" s="252"/>
      <c r="AW26" s="252"/>
      <c r="AX26" s="252"/>
      <c r="AY26" s="252"/>
      <c r="AZ26" s="252"/>
    </row>
    <row r="27">
      <c r="A27" s="252" t="str">
        <f>IFERROR(__xludf.DUMMYFUNCTION("""COMPUTED_VALUE"""),"38124bea")</f>
        <v>38124bea</v>
      </c>
      <c r="B27" s="252" t="str">
        <f>IFERROR(__xludf.DUMMYFUNCTION("""COMPUTED_VALUE"""),"CT-37 VJGJ10")</f>
        <v>CT-37 VJGJ10</v>
      </c>
      <c r="C27" s="252" t="str">
        <f>IFERROR(__xludf.DUMMYFUNCTION("""COMPUTED_VALUE"""),"CAMION TOLVA")</f>
        <v>CAMION TOLVA</v>
      </c>
      <c r="D27" s="252" t="str">
        <f>IFERROR(__xludf.DUMMYFUNCTION("""COMPUTED_VALUE"""),"CAMION TOLVA")</f>
        <v>CAMION TOLVA</v>
      </c>
      <c r="E27" s="252" t="str">
        <f>IFERROR(__xludf.DUMMYFUNCTION("""COMPUTED_VALUE"""),"IVECO")</f>
        <v>IVECO</v>
      </c>
      <c r="F27" s="252" t="str">
        <f>IFERROR(__xludf.DUMMYFUNCTION("""COMPUTED_VALUE"""),"TRAKKER 500")</f>
        <v>TRAKKER 500</v>
      </c>
      <c r="G27" s="252">
        <f>IFERROR(__xludf.DUMMYFUNCTION("""COMPUTED_VALUE"""),2024.0)</f>
        <v>2024</v>
      </c>
      <c r="H27" s="252" t="str">
        <f>IFERROR(__xludf.DUMMYFUNCTION("""COMPUTED_VALUE"""),"282630")</f>
        <v>282630</v>
      </c>
      <c r="I27" s="252" t="str">
        <f>IFERROR(__xludf.DUMMYFUNCTION("""COMPUTED_VALUE"""),"WJMJ4CTD8PC485695")</f>
        <v>WJMJ4CTD8PC485695</v>
      </c>
      <c r="J27" s="252" t="str">
        <f>IFERROR(__xludf.DUMMYFUNCTION("""COMPUTED_VALUE"""),"VJGJ10")</f>
        <v>VJGJ10</v>
      </c>
      <c r="K27" s="252"/>
      <c r="L27" s="252" t="str">
        <f>IFERROR(__xludf.DUMMYFUNCTION("""COMPUTED_VALUE"""),"500")</f>
        <v>500</v>
      </c>
      <c r="M27" s="252"/>
      <c r="N27" s="252"/>
      <c r="O27" s="252"/>
      <c r="P27" s="252"/>
      <c r="Q27" s="252"/>
      <c r="R27" s="252"/>
      <c r="S27" s="252" t="str">
        <f>IFERROR(__xludf.DUMMYFUNCTION("""COMPUTED_VALUE"""),"20")</f>
        <v>20</v>
      </c>
      <c r="T27" s="252"/>
      <c r="U27" s="252"/>
      <c r="V27" s="252"/>
      <c r="W27" s="252"/>
      <c r="X27" s="252"/>
      <c r="Y27" s="252"/>
      <c r="Z27" s="252"/>
      <c r="AA27" s="252"/>
      <c r="AB27" s="252" t="str">
        <f>IFERROR(__xludf.DUMMYFUNCTION("""COMPUTED_VALUE"""),"Reparando en terreno")</f>
        <v>Reparando en terreno</v>
      </c>
      <c r="AC27" s="252"/>
      <c r="AD27" s="252">
        <f>IFERROR(__xludf.DUMMYFUNCTION("""COMPUTED_VALUE"""),997.0)</f>
        <v>997</v>
      </c>
      <c r="AE27" s="252" t="str">
        <f>IFERROR(__xludf.DUMMYFUNCTION("""COMPUTED_VALUE"""),"Sin incidentes")</f>
        <v>Sin incidentes</v>
      </c>
      <c r="AF27" s="252"/>
      <c r="AG27" s="252" t="str">
        <f>IFERROR(__xludf.DUMMYFUNCTION("""COMPUTED_VALUE"""),"[CT-37 VJGJ10] - IVECO TRAKKER 500")</f>
        <v>[CT-37 VJGJ10] - IVECO TRAKKER 500</v>
      </c>
      <c r="AH27" s="252">
        <f>IFERROR(__xludf.DUMMYFUNCTION("""COMPUTED_VALUE"""),1403.0)</f>
        <v>1403</v>
      </c>
      <c r="AI27" s="252">
        <f>IFERROR(__xludf.DUMMYFUNCTION("""COMPUTED_VALUE"""),23398.0)</f>
        <v>23398</v>
      </c>
      <c r="AJ27" s="882">
        <f>IFERROR(__xludf.DUMMYFUNCTION("""COMPUTED_VALUE"""),46090.5996875)</f>
        <v>46090.59969</v>
      </c>
      <c r="AK27" s="882">
        <f>IFERROR(__xludf.DUMMYFUNCTION("""COMPUTED_VALUE"""),46090.59972222222)</f>
        <v>46090.59972</v>
      </c>
      <c r="AL27" s="880">
        <f>IFERROR(__xludf.DUMMYFUNCTION("""COMPUTED_VALUE"""),1637.0)</f>
        <v>1637</v>
      </c>
      <c r="AM27" s="252"/>
      <c r="AN27" s="252" t="str">
        <f>IFERROR(__xludf.DUMMYFUNCTION("""COMPUTED_VALUE"""),"OT260224143658")</f>
        <v>OT260224143658</v>
      </c>
      <c r="AO27" s="252" t="str">
        <f>IFERROR(__xludf.DUMMYFUNCTION("""COMPUTED_VALUE"""),"Hr")</f>
        <v>Hr</v>
      </c>
      <c r="AP27" s="252" t="str">
        <f>IFERROR(__xludf.DUMMYFUNCTION("""COMPUTED_VALUE"""),"IS260225091454")</f>
        <v>IS260225091454</v>
      </c>
      <c r="AQ27" s="252"/>
      <c r="AR27" s="252"/>
      <c r="AS27" s="881">
        <f>IFERROR(__xludf.DUMMYFUNCTION("""COMPUTED_VALUE"""),45924.0)</f>
        <v>45924</v>
      </c>
      <c r="AT27" s="881">
        <f>IFERROR(__xludf.DUMMYFUNCTION("""COMPUTED_VALUE"""),45924.0)</f>
        <v>45924</v>
      </c>
      <c r="AU27" s="252" t="str">
        <f>IFERROR(__xludf.DUMMYFUNCTION("""COMPUTED_VALUE"""),"RDC260305084617")</f>
        <v>RDC260305084617</v>
      </c>
      <c r="AV27" s="252" t="str">
        <f>IFERROR(__xludf.DUMMYFUNCTION("""COMPUTED_VALUE"""),"RCO260225081144")</f>
        <v>RCO260225081144</v>
      </c>
      <c r="AW27" s="252">
        <f>IFERROR(__xludf.DUMMYFUNCTION("""COMPUTED_VALUE"""),219.0)</f>
        <v>219</v>
      </c>
      <c r="AX27" s="252">
        <f>IFERROR(__xludf.DUMMYFUNCTION("""COMPUTED_VALUE"""),18.0)</f>
        <v>18</v>
      </c>
      <c r="AY27" s="252">
        <f>IFERROR(__xludf.DUMMYFUNCTION("""COMPUTED_VALUE"""),0.0)</f>
        <v>0</v>
      </c>
      <c r="AZ27" s="883">
        <f>IFERROR(__xludf.DUMMYFUNCTION("""COMPUTED_VALUE"""),46078.0)</f>
        <v>46078</v>
      </c>
    </row>
    <row r="28">
      <c r="A28" s="252" t="str">
        <f>IFERROR(__xludf.DUMMYFUNCTION("""COMPUTED_VALUE"""),"391ea9e5")</f>
        <v>391ea9e5</v>
      </c>
      <c r="B28" s="252" t="str">
        <f>IFERROR(__xludf.DUMMYFUNCTION("""COMPUTED_VALUE"""),"CF-07 HYUNDAI HL770 9S")</f>
        <v>CF-07 HYUNDAI HL770 9S</v>
      </c>
      <c r="C28" s="252" t="str">
        <f>IFERROR(__xludf.DUMMYFUNCTION("""COMPUTED_VALUE"""),"CARGADOR FRONTAL")</f>
        <v>CARGADOR FRONTAL</v>
      </c>
      <c r="D28" s="252" t="str">
        <f>IFERROR(__xludf.DUMMYFUNCTION("""COMPUTED_VALUE"""),"CARGADOR FRONTAL")</f>
        <v>CARGADOR FRONTAL</v>
      </c>
      <c r="E28" s="252" t="str">
        <f>IFERROR(__xludf.DUMMYFUNCTION("""COMPUTED_VALUE"""),"HYUNDAI")</f>
        <v>HYUNDAI</v>
      </c>
      <c r="F28" s="252" t="str">
        <f>IFERROR(__xludf.DUMMYFUNCTION("""COMPUTED_VALUE"""),"HL770 9S")</f>
        <v>HL770 9S</v>
      </c>
      <c r="G28" s="252"/>
      <c r="H28" s="252"/>
      <c r="I28" s="252"/>
      <c r="J28" s="252" t="str">
        <f>IFERROR(__xludf.DUMMYFUNCTION("""COMPUTED_VALUE"""),"LFFZ69")</f>
        <v>LFFZ69</v>
      </c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 t="str">
        <f>IFERROR(__xludf.DUMMYFUNCTION("""COMPUTED_VALUE"""),"Reparando en terreno")</f>
        <v>Reparando en terreno</v>
      </c>
      <c r="AC28" s="252"/>
      <c r="AD28" s="252">
        <f>IFERROR(__xludf.DUMMYFUNCTION("""COMPUTED_VALUE"""),965.0)</f>
        <v>965</v>
      </c>
      <c r="AE28" s="252" t="str">
        <f>IFERROR(__xludf.DUMMYFUNCTION("""COMPUTED_VALUE"""),"Alerta incidente")</f>
        <v>Alerta incidente</v>
      </c>
      <c r="AF28" s="252">
        <f>IFERROR(__xludf.DUMMYFUNCTION("""COMPUTED_VALUE"""),5.0)</f>
        <v>5</v>
      </c>
      <c r="AG28" s="252" t="str">
        <f>IFERROR(__xludf.DUMMYFUNCTION("""COMPUTED_VALUE"""),"[CF-07 HYUNDAI HL770 9S] - HYUNDAI HL770 9S")</f>
        <v>[CF-07 HYUNDAI HL770 9S] - HYUNDAI HL770 9S</v>
      </c>
      <c r="AH28" s="252">
        <f>IFERROR(__xludf.DUMMYFUNCTION("""COMPUTED_VALUE"""),9130.0)</f>
        <v>9130</v>
      </c>
      <c r="AI28" s="252">
        <f>IFERROR(__xludf.DUMMYFUNCTION("""COMPUTED_VALUE"""),1.0)</f>
        <v>1</v>
      </c>
      <c r="AJ28" s="882">
        <f>IFERROR(__xludf.DUMMYFUNCTION("""COMPUTED_VALUE"""),46096.33380787037)</f>
        <v>46096.33381</v>
      </c>
      <c r="AK28" s="882">
        <f>IFERROR(__xludf.DUMMYFUNCTION("""COMPUTED_VALUE"""),46096.33383101852)</f>
        <v>46096.33383</v>
      </c>
      <c r="AL28" s="880">
        <f>IFERROR(__xludf.DUMMYFUNCTION("""COMPUTED_VALUE"""),9407.0)</f>
        <v>9407</v>
      </c>
      <c r="AM28" s="880" t="str">
        <f>IFERROR(__xludf.DUMMYFUNCTION("""COMPUTED_VALUE"""),"")</f>
        <v/>
      </c>
      <c r="AN28" s="252" t="str">
        <f>IFERROR(__xludf.DUMMYFUNCTION("""COMPUTED_VALUE"""),"OT260220113217")</f>
        <v>OT260220113217</v>
      </c>
      <c r="AO28" s="252" t="str">
        <f>IFERROR(__xludf.DUMMYFUNCTION("""COMPUTED_VALUE"""),"Hr")</f>
        <v>Hr</v>
      </c>
      <c r="AP28" s="252" t="str">
        <f>IFERROR(__xludf.DUMMYFUNCTION("""COMPUTED_VALUE"""),"IS251022110643")</f>
        <v>IS251022110643</v>
      </c>
      <c r="AQ28" s="252">
        <f>IFERROR(__xludf.DUMMYFUNCTION("""COMPUTED_VALUE"""),7874.0)</f>
        <v>7874</v>
      </c>
      <c r="AR28" s="252"/>
      <c r="AS28" s="881">
        <f>IFERROR(__xludf.DUMMYFUNCTION("""COMPUTED_VALUE"""),44927.0)</f>
        <v>44927</v>
      </c>
      <c r="AT28" s="881">
        <f>IFERROR(__xludf.DUMMYFUNCTION("""COMPUTED_VALUE"""),44927.0)</f>
        <v>44927</v>
      </c>
      <c r="AU28" s="252" t="str">
        <f>IFERROR(__xludf.DUMMYFUNCTION("""COMPUTED_VALUE"""),"RDC260314201042")</f>
        <v>RDC260314201042</v>
      </c>
      <c r="AV28" s="252" t="str">
        <f>IFERROR(__xludf.DUMMYFUNCTION("""COMPUTED_VALUE"""),"RCO260315095031")</f>
        <v>RCO260315095031</v>
      </c>
      <c r="AW28" s="252">
        <f>IFERROR(__xludf.DUMMYFUNCTION("""COMPUTED_VALUE"""),230.0)</f>
        <v>230</v>
      </c>
      <c r="AX28" s="252">
        <f>IFERROR(__xludf.DUMMYFUNCTION("""COMPUTED_VALUE"""),9.0)</f>
        <v>9</v>
      </c>
      <c r="AY28" s="252">
        <f>IFERROR(__xludf.DUMMYFUNCTION("""COMPUTED_VALUE"""),0.0)</f>
        <v>0</v>
      </c>
      <c r="AZ28" s="883">
        <f>IFERROR(__xludf.DUMMYFUNCTION("""COMPUTED_VALUE"""),46096.0)</f>
        <v>46096</v>
      </c>
    </row>
    <row r="29">
      <c r="A29" s="252" t="str">
        <f>IFERROR(__xludf.DUMMYFUNCTION("""COMPUTED_VALUE"""),"43217018")</f>
        <v>43217018</v>
      </c>
      <c r="B29" s="252" t="str">
        <f>IFERROR(__xludf.DUMMYFUNCTION("""COMPUTED_VALUE"""),"CI-01 BTZB78-4")</f>
        <v>CI-01 BTZB78-4</v>
      </c>
      <c r="C29" s="252" t="str">
        <f>IFERROR(__xludf.DUMMYFUNCTION("""COMPUTED_VALUE"""),"CAMION IMPRIMADOR Y MIXER")</f>
        <v>CAMION IMPRIMADOR Y MIXER</v>
      </c>
      <c r="D29" s="252" t="str">
        <f>IFERROR(__xludf.DUMMYFUNCTION("""COMPUTED_VALUE"""),"CAMION IMPRIMADOR")</f>
        <v>CAMION IMPRIMADOR</v>
      </c>
      <c r="E29" s="252" t="str">
        <f>IFERROR(__xludf.DUMMYFUNCTION("""COMPUTED_VALUE"""),"FORD")</f>
        <v>FORD</v>
      </c>
      <c r="F29" s="252" t="str">
        <f>IFERROR(__xludf.DUMMYFUNCTION("""COMPUTED_VALUE"""),"F 750")</f>
        <v>F 750</v>
      </c>
      <c r="G29" s="252">
        <f>IFERROR(__xludf.DUMMYFUNCTION("""COMPUTED_VALUE"""),2007.0)</f>
        <v>2007</v>
      </c>
      <c r="H29" s="252" t="str">
        <f>IFERROR(__xludf.DUMMYFUNCTION("""COMPUTED_VALUE"""),"WAX50621")</f>
        <v>WAX50621</v>
      </c>
      <c r="I29" s="252"/>
      <c r="J29" s="252" t="str">
        <f>IFERROR(__xludf.DUMMYFUNCTION("""COMPUTED_VALUE"""),"BTZB78-4")</f>
        <v>BTZB78-4</v>
      </c>
      <c r="K29" s="252" t="str">
        <f>IFERROR(__xludf.DUMMYFUNCTION("""COMPUTED_VALUE"""),"COMERCIALIZADORA ECMA SPA")</f>
        <v>COMERCIALIZADORA ECMA SPA</v>
      </c>
      <c r="L29" s="252" t="str">
        <f>IFERROR(__xludf.DUMMYFUNCTION("""COMPUTED_VALUE"""),"WAX50621")</f>
        <v>WAX50621</v>
      </c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  <c r="AA29" s="252"/>
      <c r="AB29" s="252" t="str">
        <f>IFERROR(__xludf.DUMMYFUNCTION("""COMPUTED_VALUE"""),"Patio LL")</f>
        <v>Patio LL</v>
      </c>
      <c r="AC29" s="252" t="str">
        <f>IFERROR(__xludf.DUMMYFUNCTION("""COMPUTED_VALUE"""),"MAQUINAS_Images/43217018.FOTO1.110951.jpg")</f>
        <v>MAQUINAS_Images/43217018.FOTO1.110951.jpg</v>
      </c>
      <c r="AD29" s="252"/>
      <c r="AE29" s="252" t="str">
        <f>IFERROR(__xludf.DUMMYFUNCTION("""COMPUTED_VALUE"""),"Sin incidentes")</f>
        <v>Sin incidentes</v>
      </c>
      <c r="AF29" s="252"/>
      <c r="AG29" s="252" t="str">
        <f>IFERROR(__xludf.DUMMYFUNCTION("""COMPUTED_VALUE"""),"[CI-01 BTZB78-4] - FORD F 750")</f>
        <v>[CI-01 BTZB78-4] - FORD F 750</v>
      </c>
      <c r="AH29" s="252">
        <f>IFERROR(__xludf.DUMMYFUNCTION("""COMPUTED_VALUE"""),138463.0)</f>
        <v>138463</v>
      </c>
      <c r="AI29" s="252"/>
      <c r="AJ29" s="882">
        <f>IFERROR(__xludf.DUMMYFUNCTION("""COMPUTED_VALUE"""),45723.53900462963)</f>
        <v>45723.539</v>
      </c>
      <c r="AK29" s="252"/>
      <c r="AL29" s="880">
        <f>IFERROR(__xludf.DUMMYFUNCTION("""COMPUTED_VALUE"""),138700.0)</f>
        <v>138700</v>
      </c>
      <c r="AM29" s="880" t="str">
        <f>IFERROR(__xludf.DUMMYFUNCTION("""COMPUTED_VALUE"""),"")</f>
        <v/>
      </c>
      <c r="AN29" s="252"/>
      <c r="AO29" s="252" t="str">
        <f>IFERROR(__xludf.DUMMYFUNCTION("""COMPUTED_VALUE"""),"Hr")</f>
        <v>Hr</v>
      </c>
      <c r="AP29" s="252"/>
      <c r="AQ29" s="252">
        <f>IFERROR(__xludf.DUMMYFUNCTION("""COMPUTED_VALUE"""),138463.0)</f>
        <v>138463</v>
      </c>
      <c r="AR29" s="252"/>
      <c r="AS29" s="881">
        <f>IFERROR(__xludf.DUMMYFUNCTION("""COMPUTED_VALUE"""),44927.0)</f>
        <v>44927</v>
      </c>
      <c r="AT29" s="881">
        <f>IFERROR(__xludf.DUMMYFUNCTION("""COMPUTED_VALUE"""),44927.0)</f>
        <v>44927</v>
      </c>
      <c r="AU29" s="252"/>
      <c r="AV29" s="252"/>
      <c r="AW29" s="252"/>
      <c r="AX29" s="252"/>
      <c r="AY29" s="252"/>
      <c r="AZ29" s="252"/>
    </row>
    <row r="30">
      <c r="A30" s="252" t="str">
        <f>IFERROR(__xludf.DUMMYFUNCTION("""COMPUTED_VALUE"""),"4719c837")</f>
        <v>4719c837</v>
      </c>
      <c r="B30" s="252" t="str">
        <f>IFERROR(__xludf.DUMMYFUNCTION("""COMPUTED_VALUE"""),"B_01")</f>
        <v>B_01</v>
      </c>
      <c r="C30" s="252" t="str">
        <f>IFERROR(__xludf.DUMMYFUNCTION("""COMPUTED_VALUE"""),"Batea")</f>
        <v>Batea</v>
      </c>
      <c r="D30" s="252" t="str">
        <f>IFERROR(__xludf.DUMMYFUNCTION("""COMPUTED_VALUE"""),"BATEA")</f>
        <v>BATEA</v>
      </c>
      <c r="E30" s="252" t="str">
        <f>IFERROR(__xludf.DUMMYFUNCTION("""COMPUTED_VALUE"""),"RANDON")</f>
        <v>RANDON</v>
      </c>
      <c r="F30" s="252" t="str">
        <f>IFERROR(__xludf.DUMMYFUNCTION("""COMPUTED_VALUE"""),"20.m2")</f>
        <v>20.m2</v>
      </c>
      <c r="G30" s="252"/>
      <c r="H30" s="252"/>
      <c r="I30" s="252"/>
      <c r="J30" s="252" t="str">
        <f>IFERROR(__xludf.DUMMYFUNCTION("""COMPUTED_VALUE"""),"Jb3026")</f>
        <v>Jb3026</v>
      </c>
      <c r="K30" s="252" t="str">
        <f>IFERROR(__xludf.DUMMYFUNCTION("""COMPUTED_VALUE"""),"Harcha")</f>
        <v>Harcha</v>
      </c>
      <c r="L30" s="252"/>
      <c r="M30" s="252"/>
      <c r="N30" s="252"/>
      <c r="O30" s="252"/>
      <c r="P30" s="252"/>
      <c r="Q30" s="252" t="str">
        <f>IFERROR(__xludf.DUMMYFUNCTION("""COMPUTED_VALUE"""),"2 neumáticos para reposición")</f>
        <v>2 neumáticos para reposición</v>
      </c>
      <c r="R30" s="252"/>
      <c r="S30" s="252"/>
      <c r="T30" s="252"/>
      <c r="U30" s="252" t="str">
        <f>IFERROR(__xludf.DUMMYFUNCTION("""COMPUTED_VALUE"""),"2 neumáticos.en mal estado.luces reparar y/0 arreglar")</f>
        <v>2 neumáticos.en mal estado.luces reparar y/0 arreglar</v>
      </c>
      <c r="V30" s="252"/>
      <c r="W30" s="252"/>
      <c r="X30" s="252"/>
      <c r="Y30" s="252"/>
      <c r="Z30" s="252"/>
      <c r="AA30" s="252"/>
      <c r="AB30" s="252" t="str">
        <f>IFERROR(__xludf.DUMMYFUNCTION("""COMPUTED_VALUE"""),"En producción")</f>
        <v>En producción</v>
      </c>
      <c r="AC30" s="252"/>
      <c r="AD30" s="252"/>
      <c r="AE30" s="252" t="str">
        <f>IFERROR(__xludf.DUMMYFUNCTION("""COMPUTED_VALUE"""),"Alerta incidente")</f>
        <v>Alerta incidente</v>
      </c>
      <c r="AF30" s="252">
        <f>IFERROR(__xludf.DUMMYFUNCTION("""COMPUTED_VALUE"""),1.0)</f>
        <v>1</v>
      </c>
      <c r="AG30" s="252" t="str">
        <f>IFERROR(__xludf.DUMMYFUNCTION("""COMPUTED_VALUE"""),"[B_01] - RANDON 20.m2")</f>
        <v>[B_01] - RANDON 20.m2</v>
      </c>
      <c r="AH30" s="252"/>
      <c r="AI30" s="252"/>
      <c r="AJ30" s="252"/>
      <c r="AK30" s="252"/>
      <c r="AL30" s="880" t="str">
        <f>IFERROR(__xludf.DUMMYFUNCTION("""COMPUTED_VALUE"""),"")</f>
        <v/>
      </c>
      <c r="AM30" s="880" t="str">
        <f>IFERROR(__xludf.DUMMYFUNCTION("""COMPUTED_VALUE"""),"")</f>
        <v/>
      </c>
      <c r="AN30" s="252"/>
      <c r="AO30" s="252" t="str">
        <f>IFERROR(__xludf.DUMMYFUNCTION("""COMPUTED_VALUE"""),"N/A")</f>
        <v>N/A</v>
      </c>
      <c r="AP30" s="252"/>
      <c r="AQ30" s="252"/>
      <c r="AR30" s="252"/>
      <c r="AS30" s="881">
        <f>IFERROR(__xludf.DUMMYFUNCTION("""COMPUTED_VALUE"""),44927.0)</f>
        <v>44927</v>
      </c>
      <c r="AT30" s="881">
        <f>IFERROR(__xludf.DUMMYFUNCTION("""COMPUTED_VALUE"""),44927.0)</f>
        <v>44927</v>
      </c>
      <c r="AU30" s="252"/>
      <c r="AV30" s="252"/>
      <c r="AW30" s="252"/>
      <c r="AX30" s="252"/>
      <c r="AY30" s="252"/>
      <c r="AZ30" s="252"/>
    </row>
    <row r="31">
      <c r="A31" s="252" t="str">
        <f>IFERROR(__xludf.DUMMYFUNCTION("""COMPUTED_VALUE"""),"475be5c1")</f>
        <v>475be5c1</v>
      </c>
      <c r="B31" s="252" t="str">
        <f>IFERROR(__xludf.DUMMYFUNCTION("""COMPUTED_VALUE"""),"CT-30 YU4568-9")</f>
        <v>CT-30 YU4568-9</v>
      </c>
      <c r="C31" s="252" t="str">
        <f>IFERROR(__xludf.DUMMYFUNCTION("""COMPUTED_VALUE"""),"CAMION TOLVA")</f>
        <v>CAMION TOLVA</v>
      </c>
      <c r="D31" s="252" t="str">
        <f>IFERROR(__xludf.DUMMYFUNCTION("""COMPUTED_VALUE"""),"TOLVA")</f>
        <v>TOLVA</v>
      </c>
      <c r="E31" s="252" t="str">
        <f>IFERROR(__xludf.DUMMYFUNCTION("""COMPUTED_VALUE"""),"MACK")</f>
        <v>MACK</v>
      </c>
      <c r="F31" s="252" t="str">
        <f>IFERROR(__xludf.DUMMYFUNCTION("""COMPUTED_VALUE"""),"CV713")</f>
        <v>CV713</v>
      </c>
      <c r="G31" s="252">
        <f>IFERROR(__xludf.DUMMYFUNCTION("""COMPUTED_VALUE"""),2005.0)</f>
        <v>2005</v>
      </c>
      <c r="H31" s="252" t="str">
        <f>IFERROR(__xludf.DUMMYFUNCTION("""COMPUTED_VALUE"""),"4S2186")</f>
        <v>4S2186</v>
      </c>
      <c r="I31" s="252" t="str">
        <f>IFERROR(__xludf.DUMMYFUNCTION("""COMPUTED_VALUE"""),"027302")</f>
        <v>027302</v>
      </c>
      <c r="J31" s="252" t="str">
        <f>IFERROR(__xludf.DUMMYFUNCTION("""COMPUTED_VALUE"""),"YU4568-9")</f>
        <v>YU4568-9</v>
      </c>
      <c r="K31" s="252" t="str">
        <f>IFERROR(__xludf.DUMMYFUNCTION("""COMPUTED_VALUE"""),"COMERCIALIZADORA ECMA SPA")</f>
        <v>COMERCIALIZADORA ECMA SPA</v>
      </c>
      <c r="L31" s="252"/>
      <c r="M31" s="252"/>
      <c r="N31" s="252"/>
      <c r="O31" s="252"/>
      <c r="P31" s="252"/>
      <c r="Q31" s="252"/>
      <c r="R31" s="252"/>
      <c r="S31" s="252" t="str">
        <f>IFERROR(__xludf.DUMMYFUNCTION("""COMPUTED_VALUE"""),"14")</f>
        <v>14</v>
      </c>
      <c r="T31" s="252"/>
      <c r="U31" s="252"/>
      <c r="V31" s="252"/>
      <c r="W31" s="252"/>
      <c r="X31" s="252"/>
      <c r="Y31" s="252"/>
      <c r="Z31" s="252"/>
      <c r="AA31" s="252"/>
      <c r="AB31" s="252" t="str">
        <f>IFERROR(__xludf.DUMMYFUNCTION("""COMPUTED_VALUE"""),"Reparando en taller")</f>
        <v>Reparando en taller</v>
      </c>
      <c r="AC31" s="252"/>
      <c r="AD31" s="252">
        <f>IFERROR(__xludf.DUMMYFUNCTION("""COMPUTED_VALUE"""),860.0)</f>
        <v>860</v>
      </c>
      <c r="AE31" s="252" t="str">
        <f>IFERROR(__xludf.DUMMYFUNCTION("""COMPUTED_VALUE"""),"Alerta incidente")</f>
        <v>Alerta incidente</v>
      </c>
      <c r="AF31" s="252">
        <f>IFERROR(__xludf.DUMMYFUNCTION("""COMPUTED_VALUE"""),1.0)</f>
        <v>1</v>
      </c>
      <c r="AG31" s="252" t="str">
        <f>IFERROR(__xludf.DUMMYFUNCTION("""COMPUTED_VALUE"""),"[CT-30 YU4568-9] - MACK CV713")</f>
        <v>[CT-30 YU4568-9] - MACK CV713</v>
      </c>
      <c r="AH31" s="252">
        <f>IFERROR(__xludf.DUMMYFUNCTION("""COMPUTED_VALUE"""),20076.0)</f>
        <v>20076</v>
      </c>
      <c r="AI31" s="252">
        <f>IFERROR(__xludf.DUMMYFUNCTION("""COMPUTED_VALUE"""),177624.0)</f>
        <v>177624</v>
      </c>
      <c r="AJ31" s="882">
        <f>IFERROR(__xludf.DUMMYFUNCTION("""COMPUTED_VALUE"""),46070.61253472222)</f>
        <v>46070.61253</v>
      </c>
      <c r="AK31" s="882">
        <f>IFERROR(__xludf.DUMMYFUNCTION("""COMPUTED_VALUE"""),46070.61261574074)</f>
        <v>46070.61262</v>
      </c>
      <c r="AL31" s="880">
        <f>IFERROR(__xludf.DUMMYFUNCTION("""COMPUTED_VALUE"""),20393.0)</f>
        <v>20393</v>
      </c>
      <c r="AM31" s="252"/>
      <c r="AN31" s="252" t="str">
        <f>IFERROR(__xludf.DUMMYFUNCTION("""COMPUTED_VALUE"""),"OT260211171118")</f>
        <v>OT260211171118</v>
      </c>
      <c r="AO31" s="252" t="str">
        <f>IFERROR(__xludf.DUMMYFUNCTION("""COMPUTED_VALUE"""),"Hr")</f>
        <v>Hr</v>
      </c>
      <c r="AP31" s="252" t="str">
        <f>IFERROR(__xludf.DUMMYFUNCTION("""COMPUTED_VALUE"""),"IS250822083303")</f>
        <v>IS250822083303</v>
      </c>
      <c r="AQ31" s="252">
        <f>IFERROR(__xludf.DUMMYFUNCTION("""COMPUTED_VALUE"""),18967.0)</f>
        <v>18967</v>
      </c>
      <c r="AR31" s="252"/>
      <c r="AS31" s="881">
        <f>IFERROR(__xludf.DUMMYFUNCTION("""COMPUTED_VALUE"""),44927.0)</f>
        <v>44927</v>
      </c>
      <c r="AT31" s="881">
        <f>IFERROR(__xludf.DUMMYFUNCTION("""COMPUTED_VALUE"""),44927.0)</f>
        <v>44927</v>
      </c>
      <c r="AU31" s="252" t="str">
        <f>IFERROR(__xludf.DUMMYFUNCTION("""COMPUTED_VALUE"""),"RDC260217115256")</f>
        <v>RDC260217115256</v>
      </c>
      <c r="AV31" s="252" t="str">
        <f>IFERROR(__xludf.DUMMYFUNCTION("""COMPUTED_VALUE"""),"RCO260217163953")</f>
        <v>RCO260217163953</v>
      </c>
      <c r="AW31" s="252">
        <f>IFERROR(__xludf.DUMMYFUNCTION("""COMPUTED_VALUE"""),205.0)</f>
        <v>205</v>
      </c>
      <c r="AX31" s="252">
        <f>IFERROR(__xludf.DUMMYFUNCTION("""COMPUTED_VALUE"""),24.0)</f>
        <v>24</v>
      </c>
      <c r="AY31" s="252">
        <f>IFERROR(__xludf.DUMMYFUNCTION("""COMPUTED_VALUE"""),0.0)</f>
        <v>0</v>
      </c>
      <c r="AZ31" s="883">
        <f>IFERROR(__xludf.DUMMYFUNCTION("""COMPUTED_VALUE"""),46070.0)</f>
        <v>46070</v>
      </c>
    </row>
    <row r="32">
      <c r="A32" s="252" t="str">
        <f>IFERROR(__xludf.DUMMYFUNCTION("""COMPUTED_VALUE"""),"4bb42302")</f>
        <v>4bb42302</v>
      </c>
      <c r="B32" s="252" t="str">
        <f>IFERROR(__xludf.DUMMYFUNCTION("""COMPUTED_VALUE"""),"G-08")</f>
        <v>G-08</v>
      </c>
      <c r="C32" s="252" t="str">
        <f>IFERROR(__xludf.DUMMYFUNCTION("""COMPUTED_VALUE"""),"GENERADOR")</f>
        <v>GENERADOR</v>
      </c>
      <c r="D32" s="252" t="str">
        <f>IFERROR(__xludf.DUMMYFUNCTION("""COMPUTED_VALUE"""),"GENERADOR")</f>
        <v>GENERADOR</v>
      </c>
      <c r="E32" s="252" t="str">
        <f>IFERROR(__xludf.DUMMYFUNCTION("""COMPUTED_VALUE"""),"CUMMINS")</f>
        <v>CUMMINS</v>
      </c>
      <c r="F32" s="252" t="str">
        <f>IFERROR(__xludf.DUMMYFUNCTION("""COMPUTED_VALUE"""),"350KVA")</f>
        <v>350KVA</v>
      </c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  <c r="AA32" s="252"/>
      <c r="AB32" s="252" t="str">
        <f>IFERROR(__xludf.DUMMYFUNCTION("""COMPUTED_VALUE"""),"En producción")</f>
        <v>En producción</v>
      </c>
      <c r="AC32" s="252"/>
      <c r="AD32" s="252">
        <f>IFERROR(__xludf.DUMMYFUNCTION("""COMPUTED_VALUE"""),990.0)</f>
        <v>990</v>
      </c>
      <c r="AE32" s="252" t="str">
        <f>IFERROR(__xludf.DUMMYFUNCTION("""COMPUTED_VALUE"""),"Sin incidentes")</f>
        <v>Sin incidentes</v>
      </c>
      <c r="AF32" s="252"/>
      <c r="AG32" s="252" t="str">
        <f>IFERROR(__xludf.DUMMYFUNCTION("""COMPUTED_VALUE"""),"[G-08] - CUMMINS 350KVA")</f>
        <v>[G-08] - CUMMINS 350KVA</v>
      </c>
      <c r="AH32" s="252">
        <f>IFERROR(__xludf.DUMMYFUNCTION("""COMPUTED_VALUE"""),5755.0)</f>
        <v>5755</v>
      </c>
      <c r="AI32" s="252"/>
      <c r="AJ32" s="882">
        <f>IFERROR(__xludf.DUMMYFUNCTION("""COMPUTED_VALUE"""),46096.32508101852)</f>
        <v>46096.32508</v>
      </c>
      <c r="AK32" s="252"/>
      <c r="AL32" s="880">
        <f>IFERROR(__xludf.DUMMYFUNCTION("""COMPUTED_VALUE"""),5942.0)</f>
        <v>5942</v>
      </c>
      <c r="AM32" s="880" t="str">
        <f>IFERROR(__xludf.DUMMYFUNCTION("""COMPUTED_VALUE"""),"")</f>
        <v/>
      </c>
      <c r="AN32" s="252" t="str">
        <f>IFERROR(__xludf.DUMMYFUNCTION("""COMPUTED_VALUE"""),"OT260213200806")</f>
        <v>OT260213200806</v>
      </c>
      <c r="AO32" s="252" t="str">
        <f>IFERROR(__xludf.DUMMYFUNCTION("""COMPUTED_VALUE"""),"Hr")</f>
        <v>Hr</v>
      </c>
      <c r="AP32" s="252"/>
      <c r="AQ32" s="252">
        <f>IFERROR(__xludf.DUMMYFUNCTION("""COMPUTED_VALUE"""),4011.0)</f>
        <v>4011</v>
      </c>
      <c r="AR32" s="252"/>
      <c r="AS32" s="881">
        <f>IFERROR(__xludf.DUMMYFUNCTION("""COMPUTED_VALUE"""),44927.0)</f>
        <v>44927</v>
      </c>
      <c r="AT32" s="881">
        <f>IFERROR(__xludf.DUMMYFUNCTION("""COMPUTED_VALUE"""),44927.0)</f>
        <v>44927</v>
      </c>
      <c r="AU32" s="252"/>
      <c r="AV32" s="252" t="str">
        <f>IFERROR(__xludf.DUMMYFUNCTION("""COMPUTED_VALUE"""),"RCO260315094133")</f>
        <v>RCO260315094133</v>
      </c>
      <c r="AW32" s="252">
        <f>IFERROR(__xludf.DUMMYFUNCTION("""COMPUTED_VALUE"""),175.0)</f>
        <v>175</v>
      </c>
      <c r="AX32" s="252">
        <f>IFERROR(__xludf.DUMMYFUNCTION("""COMPUTED_VALUE"""),8.0)</f>
        <v>8</v>
      </c>
      <c r="AY32" s="252"/>
      <c r="AZ32" s="884">
        <f>IFERROR(__xludf.DUMMYFUNCTION("""COMPUTED_VALUE"""),46096.0)</f>
        <v>46096</v>
      </c>
    </row>
    <row r="33">
      <c r="A33" s="252" t="str">
        <f>IFERROR(__xludf.DUMMYFUNCTION("""COMPUTED_VALUE"""),"4d3f2682")</f>
        <v>4d3f2682</v>
      </c>
      <c r="B33" s="252" t="str">
        <f>IFERROR(__xludf.DUMMYFUNCTION("""COMPUTED_VALUE"""),"G-10")</f>
        <v>G-10</v>
      </c>
      <c r="C33" s="252" t="str">
        <f>IFERROR(__xludf.DUMMYFUNCTION("""COMPUTED_VALUE"""),"GENERADOR")</f>
        <v>GENERADOR</v>
      </c>
      <c r="D33" s="252" t="str">
        <f>IFERROR(__xludf.DUMMYFUNCTION("""COMPUTED_VALUE"""),"GENERADOR")</f>
        <v>GENERADOR</v>
      </c>
      <c r="E33" s="252" t="str">
        <f>IFERROR(__xludf.DUMMYFUNCTION("""COMPUTED_VALUE"""),"CUMMINS")</f>
        <v>CUMMINS</v>
      </c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  <c r="AA33" s="252"/>
      <c r="AB33" s="252" t="str">
        <f>IFERROR(__xludf.DUMMYFUNCTION("""COMPUTED_VALUE"""),"Patio LL")</f>
        <v>Patio LL</v>
      </c>
      <c r="AC33" s="252"/>
      <c r="AD33" s="252"/>
      <c r="AE33" s="252" t="str">
        <f>IFERROR(__xludf.DUMMYFUNCTION("""COMPUTED_VALUE"""),"Sin incidentes")</f>
        <v>Sin incidentes</v>
      </c>
      <c r="AF33" s="252"/>
      <c r="AG33" s="252" t="str">
        <f>IFERROR(__xludf.DUMMYFUNCTION("""COMPUTED_VALUE"""),"[G-10] - CUMMINS ")</f>
        <v>[G-10] - CUMMINS </v>
      </c>
      <c r="AH33" s="252">
        <f>IFERROR(__xludf.DUMMYFUNCTION("""COMPUTED_VALUE"""),6976.0)</f>
        <v>6976</v>
      </c>
      <c r="AI33" s="252">
        <f>IFERROR(__xludf.DUMMYFUNCTION("""COMPUTED_VALUE"""),1.0)</f>
        <v>1</v>
      </c>
      <c r="AJ33" s="882">
        <f>IFERROR(__xludf.DUMMYFUNCTION("""COMPUTED_VALUE"""),46011.57707175926)</f>
        <v>46011.57707</v>
      </c>
      <c r="AK33" s="885">
        <f>IFERROR(__xludf.DUMMYFUNCTION("""COMPUTED_VALUE"""),46011.57709490741)</f>
        <v>46011.57709</v>
      </c>
      <c r="AL33" s="880">
        <f>IFERROR(__xludf.DUMMYFUNCTION("""COMPUTED_VALUE"""),7071.0)</f>
        <v>7071</v>
      </c>
      <c r="AM33" s="880" t="str">
        <f>IFERROR(__xludf.DUMMYFUNCTION("""COMPUTED_VALUE"""),"")</f>
        <v/>
      </c>
      <c r="AN33" s="252" t="str">
        <f>IFERROR(__xludf.DUMMYFUNCTION("""COMPUTED_VALUE"""),"OT251201141555")</f>
        <v>OT251201141555</v>
      </c>
      <c r="AO33" s="252" t="str">
        <f>IFERROR(__xludf.DUMMYFUNCTION("""COMPUTED_VALUE"""),"Hr")</f>
        <v>Hr</v>
      </c>
      <c r="AP33" s="252" t="str">
        <f>IFERROR(__xludf.DUMMYFUNCTION("""COMPUTED_VALUE"""),"IS250312121811")</f>
        <v>IS250312121811</v>
      </c>
      <c r="AQ33" s="252">
        <f>IFERROR(__xludf.DUMMYFUNCTION("""COMPUTED_VALUE"""),3971.0)</f>
        <v>3971</v>
      </c>
      <c r="AR33" s="252"/>
      <c r="AS33" s="881">
        <f>IFERROR(__xludf.DUMMYFUNCTION("""COMPUTED_VALUE"""),44927.0)</f>
        <v>44927</v>
      </c>
      <c r="AT33" s="881">
        <f>IFERROR(__xludf.DUMMYFUNCTION("""COMPUTED_VALUE"""),44927.0)</f>
        <v>44927</v>
      </c>
      <c r="AU33" s="252"/>
      <c r="AV33" s="252" t="str">
        <f>IFERROR(__xludf.DUMMYFUNCTION("""COMPUTED_VALUE"""),"RCO251220154938")</f>
        <v>RCO251220154938</v>
      </c>
      <c r="AW33" s="252">
        <f>IFERROR(__xludf.DUMMYFUNCTION("""COMPUTED_VALUE"""),80.0)</f>
        <v>80</v>
      </c>
      <c r="AX33" s="252">
        <f>IFERROR(__xludf.DUMMYFUNCTION("""COMPUTED_VALUE"""),24.0)</f>
        <v>24</v>
      </c>
      <c r="AY33" s="252">
        <f>IFERROR(__xludf.DUMMYFUNCTION("""COMPUTED_VALUE"""),0.0)</f>
        <v>0</v>
      </c>
      <c r="AZ33" s="881">
        <f>IFERROR(__xludf.DUMMYFUNCTION("""COMPUTED_VALUE"""),46011.0)</f>
        <v>46011</v>
      </c>
    </row>
    <row r="34">
      <c r="A34" s="252" t="str">
        <f>IFERROR(__xludf.DUMMYFUNCTION("""COMPUTED_VALUE"""),"4e00a1cc")</f>
        <v>4e00a1cc</v>
      </c>
      <c r="B34" s="252" t="str">
        <f>IFERROR(__xludf.DUMMYFUNCTION("""COMPUTED_VALUE"""),"CB-04 PXKW57")</f>
        <v>CB-04 PXKW57</v>
      </c>
      <c r="C34" s="252" t="str">
        <f>IFERROR(__xludf.DUMMYFUNCTION("""COMPUTED_VALUE"""),"CAMA BAJA")</f>
        <v>CAMA BAJA</v>
      </c>
      <c r="D34" s="252" t="str">
        <f>IFERROR(__xludf.DUMMYFUNCTION("""COMPUTED_VALUE"""),"CAMA BAJA")</f>
        <v>CAMA BAJA</v>
      </c>
      <c r="E34" s="252" t="str">
        <f>IFERROR(__xludf.DUMMYFUNCTION("""COMPUTED_VALUE"""),"VICFER")</f>
        <v>VICFER</v>
      </c>
      <c r="F34" s="252" t="str">
        <f>IFERROR(__xludf.DUMMYFUNCTION("""COMPUTED_VALUE"""),"VIC-6")</f>
        <v>VIC-6</v>
      </c>
      <c r="G34" s="252">
        <f>IFERROR(__xludf.DUMMYFUNCTION("""COMPUTED_VALUE"""),2026.0)</f>
        <v>2026</v>
      </c>
      <c r="H34" s="252"/>
      <c r="I34" s="252" t="str">
        <f>IFERROR(__xludf.DUMMYFUNCTION("""COMPUTED_VALUE"""),"VF 116")</f>
        <v>VF 116</v>
      </c>
      <c r="J34" s="252" t="str">
        <f>IFERROR(__xludf.DUMMYFUNCTION("""COMPUTED_VALUE"""),"PXKW52")</f>
        <v>PXKW52</v>
      </c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  <c r="AA34" s="252"/>
      <c r="AB34" s="252" t="str">
        <f>IFERROR(__xludf.DUMMYFUNCTION("""COMPUTED_VALUE"""),"Reparando en terreno")</f>
        <v>Reparando en terreno</v>
      </c>
      <c r="AC34" s="252"/>
      <c r="AD34" s="252"/>
      <c r="AE34" s="252" t="str">
        <f>IFERROR(__xludf.DUMMYFUNCTION("""COMPUTED_VALUE"""),"Sin incidentes")</f>
        <v>Sin incidentes</v>
      </c>
      <c r="AF34" s="252"/>
      <c r="AG34" s="252" t="str">
        <f>IFERROR(__xludf.DUMMYFUNCTION("""COMPUTED_VALUE"""),"[CB-04 PXKW57] - VICFER VIC-6")</f>
        <v>[CB-04 PXKW57] - VICFER VIC-6</v>
      </c>
      <c r="AH34" s="252"/>
      <c r="AI34" s="252"/>
      <c r="AJ34" s="252"/>
      <c r="AK34" s="252"/>
      <c r="AL34" s="252"/>
      <c r="AM34" s="252"/>
      <c r="AN34" s="252"/>
      <c r="AO34" s="252"/>
      <c r="AP34" s="252"/>
      <c r="AQ34" s="252"/>
      <c r="AR34" s="252"/>
      <c r="AS34" s="881">
        <f>IFERROR(__xludf.DUMMYFUNCTION("""COMPUTED_VALUE"""),46014.0)</f>
        <v>46014</v>
      </c>
      <c r="AT34" s="881">
        <f>IFERROR(__xludf.DUMMYFUNCTION("""COMPUTED_VALUE"""),46014.0)</f>
        <v>46014</v>
      </c>
      <c r="AU34" s="252"/>
      <c r="AV34" s="252"/>
      <c r="AW34" s="252"/>
      <c r="AX34" s="252"/>
      <c r="AY34" s="252"/>
      <c r="AZ34" s="252"/>
    </row>
    <row r="35">
      <c r="A35" s="252" t="str">
        <f>IFERROR(__xludf.DUMMYFUNCTION("""COMPUTED_VALUE"""),"4e79eef0")</f>
        <v>4e79eef0</v>
      </c>
      <c r="B35" s="252" t="str">
        <f>IFERROR(__xludf.DUMMYFUNCTION("""COMPUTED_VALUE"""),"CT-36 VJGJ11")</f>
        <v>CT-36 VJGJ11</v>
      </c>
      <c r="C35" s="252" t="str">
        <f>IFERROR(__xludf.DUMMYFUNCTION("""COMPUTED_VALUE"""),"CAMION TOLVA")</f>
        <v>CAMION TOLVA</v>
      </c>
      <c r="D35" s="252" t="str">
        <f>IFERROR(__xludf.DUMMYFUNCTION("""COMPUTED_VALUE"""),"TOLVA")</f>
        <v>TOLVA</v>
      </c>
      <c r="E35" s="252" t="str">
        <f>IFERROR(__xludf.DUMMYFUNCTION("""COMPUTED_VALUE"""),"IVECO")</f>
        <v>IVECO</v>
      </c>
      <c r="F35" s="252" t="str">
        <f>IFERROR(__xludf.DUMMYFUNCTION("""COMPUTED_VALUE"""),"TRAKKER 410 TOLVA 15M3")</f>
        <v>TRAKKER 410 TOLVA 15M3</v>
      </c>
      <c r="G35" s="252">
        <f>IFERROR(__xludf.DUMMYFUNCTION("""COMPUTED_VALUE"""),2024.0)</f>
        <v>2024</v>
      </c>
      <c r="H35" s="252" t="str">
        <f>IFERROR(__xludf.DUMMYFUNCTION("""COMPUTED_VALUE"""),"280465")</f>
        <v>280465</v>
      </c>
      <c r="I35" s="252" t="str">
        <f>IFERROR(__xludf.DUMMYFUNCTION("""COMPUTED_VALUE"""),"WJME3TSD1PC473653")</f>
        <v>WJME3TSD1PC473653</v>
      </c>
      <c r="J35" s="252" t="str">
        <f>IFERROR(__xludf.DUMMYFUNCTION("""COMPUTED_VALUE"""),"VJGJ11")</f>
        <v>VJGJ11</v>
      </c>
      <c r="K35" s="252" t="str">
        <f>IFERROR(__xludf.DUMMYFUNCTION("""COMPUTED_VALUE"""),"HARCHA MAQUINARIA")</f>
        <v>HARCHA MAQUINARIA</v>
      </c>
      <c r="L35" s="252" t="str">
        <f>IFERROR(__xludf.DUMMYFUNCTION("""COMPUTED_VALUE"""),"411 PH")</f>
        <v>411 PH</v>
      </c>
      <c r="M35" s="252"/>
      <c r="N35" s="252"/>
      <c r="O35" s="252"/>
      <c r="P35" s="252" t="str">
        <f>IFERROR(__xludf.DUMMYFUNCTION("""COMPUTED_VALUE"""),"41000,00")</f>
        <v>41000,00</v>
      </c>
      <c r="Q35" s="252"/>
      <c r="R35" s="252"/>
      <c r="S35" s="252" t="str">
        <f>IFERROR(__xludf.DUMMYFUNCTION("""COMPUTED_VALUE"""),"31530")</f>
        <v>31530</v>
      </c>
      <c r="T35" s="252"/>
      <c r="U35" s="252"/>
      <c r="V35" s="252"/>
      <c r="W35" s="252"/>
      <c r="X35" s="252"/>
      <c r="Y35" s="252"/>
      <c r="Z35" s="252"/>
      <c r="AA35" s="252"/>
      <c r="AB35" s="252" t="str">
        <f>IFERROR(__xludf.DUMMYFUNCTION("""COMPUTED_VALUE"""),"En producción")</f>
        <v>En producción</v>
      </c>
      <c r="AC35" s="252"/>
      <c r="AD35" s="252">
        <f>IFERROR(__xludf.DUMMYFUNCTION("""COMPUTED_VALUE"""),959.0)</f>
        <v>959</v>
      </c>
      <c r="AE35" s="252" t="str">
        <f>IFERROR(__xludf.DUMMYFUNCTION("""COMPUTED_VALUE"""),"Sin incidentes")</f>
        <v>Sin incidentes</v>
      </c>
      <c r="AF35" s="252"/>
      <c r="AG35" s="252" t="str">
        <f>IFERROR(__xludf.DUMMYFUNCTION("""COMPUTED_VALUE"""),"[CT-36 VJGJ11] - IVECO TRAKKER 410 TOLVA 15M3")</f>
        <v>[CT-36 VJGJ11] - IVECO TRAKKER 410 TOLVA 15M3</v>
      </c>
      <c r="AH35" s="252">
        <f>IFERROR(__xludf.DUMMYFUNCTION("""COMPUTED_VALUE"""),912.0)</f>
        <v>912</v>
      </c>
      <c r="AI35" s="252">
        <f>IFERROR(__xludf.DUMMYFUNCTION("""COMPUTED_VALUE"""),12243.0)</f>
        <v>12243</v>
      </c>
      <c r="AJ35" s="882">
        <f>IFERROR(__xludf.DUMMYFUNCTION("""COMPUTED_VALUE"""),46095.36425925926)</f>
        <v>46095.36426</v>
      </c>
      <c r="AK35" s="882">
        <f>IFERROR(__xludf.DUMMYFUNCTION("""COMPUTED_VALUE"""),46095.364282407405)</f>
        <v>46095.36428</v>
      </c>
      <c r="AL35" s="880">
        <f>IFERROR(__xludf.DUMMYFUNCTION("""COMPUTED_VALUE"""),600.0)</f>
        <v>600</v>
      </c>
      <c r="AM35" s="252"/>
      <c r="AN35" s="252"/>
      <c r="AO35" s="252" t="str">
        <f>IFERROR(__xludf.DUMMYFUNCTION("""COMPUTED_VALUE"""),"Hr")</f>
        <v>Hr</v>
      </c>
      <c r="AP35" s="252" t="str">
        <f>IFERROR(__xludf.DUMMYFUNCTION("""COMPUTED_VALUE"""),"IS251230133848")</f>
        <v>IS251230133848</v>
      </c>
      <c r="AQ35" s="252"/>
      <c r="AR35" s="252"/>
      <c r="AS35" s="881">
        <f>IFERROR(__xludf.DUMMYFUNCTION("""COMPUTED_VALUE"""),45901.0)</f>
        <v>45901</v>
      </c>
      <c r="AT35" s="881">
        <f>IFERROR(__xludf.DUMMYFUNCTION("""COMPUTED_VALUE"""),45901.0)</f>
        <v>45901</v>
      </c>
      <c r="AU35" s="252" t="str">
        <f>IFERROR(__xludf.DUMMYFUNCTION("""COMPUTED_VALUE"""),"RDC260309112246")</f>
        <v>RDC260309112246</v>
      </c>
      <c r="AV35" s="252" t="str">
        <f>IFERROR(__xludf.DUMMYFUNCTION("""COMPUTED_VALUE"""),"RCO260314103908")</f>
        <v>RCO260314103908</v>
      </c>
      <c r="AW35" s="252">
        <f>IFERROR(__xludf.DUMMYFUNCTION("""COMPUTED_VALUE"""),207.0)</f>
        <v>207</v>
      </c>
      <c r="AX35" s="252">
        <f>IFERROR(__xludf.DUMMYFUNCTION("""COMPUTED_VALUE"""),17.0)</f>
        <v>17</v>
      </c>
      <c r="AY35" s="252">
        <f>IFERROR(__xludf.DUMMYFUNCTION("""COMPUTED_VALUE"""),0.0)</f>
        <v>0</v>
      </c>
      <c r="AZ35" s="883">
        <f>IFERROR(__xludf.DUMMYFUNCTION("""COMPUTED_VALUE"""),46095.0)</f>
        <v>46095</v>
      </c>
    </row>
    <row r="36">
      <c r="A36" s="252" t="str">
        <f>IFERROR(__xludf.DUMMYFUNCTION("""COMPUTED_VALUE"""),"4fffdb5b")</f>
        <v>4fffdb5b</v>
      </c>
      <c r="B36" s="252" t="str">
        <f>IFERROR(__xludf.DUMMYFUNCTION("""COMPUTED_VALUE"""),"RXm-09 JOHN DEERE")</f>
        <v>RXm-09 JOHN DEERE</v>
      </c>
      <c r="C36" s="252" t="str">
        <f>IFERROR(__xludf.DUMMYFUNCTION("""COMPUTED_VALUE"""),"RETROEXCAVADORA")</f>
        <v>RETROEXCAVADORA</v>
      </c>
      <c r="D36" s="252" t="str">
        <f>IFERROR(__xludf.DUMMYFUNCTION("""COMPUTED_VALUE"""),"RETROEXCAVADORA")</f>
        <v>RETROEXCAVADORA</v>
      </c>
      <c r="E36" s="252" t="str">
        <f>IFERROR(__xludf.DUMMYFUNCTION("""COMPUTED_VALUE"""),"JOHN DEERE")</f>
        <v>JOHN DEERE</v>
      </c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  <c r="AA36" s="252"/>
      <c r="AB36" s="252" t="str">
        <f>IFERROR(__xludf.DUMMYFUNCTION("""COMPUTED_VALUE"""),"Reparando en taller")</f>
        <v>Reparando en taller</v>
      </c>
      <c r="AC36" s="252"/>
      <c r="AD36" s="252">
        <f>IFERROR(__xludf.DUMMYFUNCTION("""COMPUTED_VALUE"""),1029.0)</f>
        <v>1029</v>
      </c>
      <c r="AE36" s="252" t="str">
        <f>IFERROR(__xludf.DUMMYFUNCTION("""COMPUTED_VALUE"""),"Sin incidentes")</f>
        <v>Sin incidentes</v>
      </c>
      <c r="AF36" s="252"/>
      <c r="AG36" s="252" t="str">
        <f>IFERROR(__xludf.DUMMYFUNCTION("""COMPUTED_VALUE"""),"[RXm-09 JOHN DEERE] - JOHN DEERE ")</f>
        <v>[RXm-09 JOHN DEERE] - JOHN DEERE </v>
      </c>
      <c r="AH36" s="252">
        <f>IFERROR(__xludf.DUMMYFUNCTION("""COMPUTED_VALUE"""),2768.0)</f>
        <v>2768</v>
      </c>
      <c r="AI36" s="252"/>
      <c r="AJ36" s="882">
        <f>IFERROR(__xludf.DUMMYFUNCTION("""COMPUTED_VALUE"""),46093.44898148148)</f>
        <v>46093.44898</v>
      </c>
      <c r="AK36" s="882">
        <f>IFERROR(__xludf.DUMMYFUNCTION("""COMPUTED_VALUE"""),45723.562268518515)</f>
        <v>45723.56227</v>
      </c>
      <c r="AL36" s="880">
        <f>IFERROR(__xludf.DUMMYFUNCTION("""COMPUTED_VALUE"""),3093.0)</f>
        <v>3093</v>
      </c>
      <c r="AM36" s="252"/>
      <c r="AN36" s="252" t="str">
        <f>IFERROR(__xludf.DUMMYFUNCTION("""COMPUTED_VALUE"""),"OT260309171926")</f>
        <v>OT260309171926</v>
      </c>
      <c r="AO36" s="252" t="str">
        <f>IFERROR(__xludf.DUMMYFUNCTION("""COMPUTED_VALUE"""),"Hr")</f>
        <v>Hr</v>
      </c>
      <c r="AP36" s="252" t="str">
        <f>IFERROR(__xludf.DUMMYFUNCTION("""COMPUTED_VALUE"""),"IS251230112521")</f>
        <v>IS251230112521</v>
      </c>
      <c r="AQ36" s="252">
        <f>IFERROR(__xludf.DUMMYFUNCTION("""COMPUTED_VALUE"""),919.0)</f>
        <v>919</v>
      </c>
      <c r="AR36" s="252"/>
      <c r="AS36" s="881">
        <f>IFERROR(__xludf.DUMMYFUNCTION("""COMPUTED_VALUE"""),44927.0)</f>
        <v>44927</v>
      </c>
      <c r="AT36" s="881">
        <f>IFERROR(__xludf.DUMMYFUNCTION("""COMPUTED_VALUE"""),44927.0)</f>
        <v>44927</v>
      </c>
      <c r="AU36" s="252" t="str">
        <f>IFERROR(__xludf.DUMMYFUNCTION("""COMPUTED_VALUE"""),"RDC260312124529")</f>
        <v>RDC260312124529</v>
      </c>
      <c r="AV36" s="252" t="str">
        <f>IFERROR(__xludf.DUMMYFUNCTION("""COMPUTED_VALUE"""),"RCO260312082518")</f>
        <v>RCO260312082518</v>
      </c>
      <c r="AW36" s="252">
        <f>IFERROR(__xludf.DUMMYFUNCTION("""COMPUTED_VALUE"""),61.0)</f>
        <v>61</v>
      </c>
      <c r="AX36" s="252">
        <f>IFERROR(__xludf.DUMMYFUNCTION("""COMPUTED_VALUE"""),16.0)</f>
        <v>16</v>
      </c>
      <c r="AY36" s="252"/>
      <c r="AZ36" s="884">
        <f>IFERROR(__xludf.DUMMYFUNCTION("""COMPUTED_VALUE"""),46093.0)</f>
        <v>46093</v>
      </c>
    </row>
    <row r="37">
      <c r="A37" s="252" t="str">
        <f>IFERROR(__xludf.DUMMYFUNCTION("""COMPUTED_VALUE"""),"500ca11b")</f>
        <v>500ca11b</v>
      </c>
      <c r="B37" s="252" t="str">
        <f>IFERROR(__xludf.DUMMYFUNCTION("""COMPUTED_VALUE"""),"CT-26 WH9820-0")</f>
        <v>CT-26 WH9820-0</v>
      </c>
      <c r="C37" s="252" t="str">
        <f>IFERROR(__xludf.DUMMYFUNCTION("""COMPUTED_VALUE"""),"CAMION TOLVA")</f>
        <v>CAMION TOLVA</v>
      </c>
      <c r="D37" s="252" t="str">
        <f>IFERROR(__xludf.DUMMYFUNCTION("""COMPUTED_VALUE"""),"TOLVA")</f>
        <v>TOLVA</v>
      </c>
      <c r="E37" s="252" t="str">
        <f>IFERROR(__xludf.DUMMYFUNCTION("""COMPUTED_VALUE"""),"MACK")</f>
        <v>MACK</v>
      </c>
      <c r="F37" s="252" t="str">
        <f>IFERROR(__xludf.DUMMYFUNCTION("""COMPUTED_VALUE"""),"CV713")</f>
        <v>CV713</v>
      </c>
      <c r="G37" s="252">
        <f>IFERROR(__xludf.DUMMYFUNCTION("""COMPUTED_VALUE"""),2006.0)</f>
        <v>2006</v>
      </c>
      <c r="H37" s="252" t="str">
        <f>IFERROR(__xludf.DUMMYFUNCTION("""COMPUTED_VALUE"""),"5X0752")</f>
        <v>5X0752</v>
      </c>
      <c r="I37" s="252" t="str">
        <f>IFERROR(__xludf.DUMMYFUNCTION("""COMPUTED_VALUE"""),"1M2AG11C56M043986")</f>
        <v>1M2AG11C56M043986</v>
      </c>
      <c r="J37" s="252" t="str">
        <f>IFERROR(__xludf.DUMMYFUNCTION("""COMPUTED_VALUE"""),"WH9820-0")</f>
        <v>WH9820-0</v>
      </c>
      <c r="K37" s="252" t="str">
        <f>IFERROR(__xludf.DUMMYFUNCTION("""COMPUTED_VALUE"""),"COMERCIALIZADORA ECMA SPA")</f>
        <v>COMERCIALIZADORA ECMA SPA</v>
      </c>
      <c r="L37" s="252"/>
      <c r="M37" s="252"/>
      <c r="N37" s="252"/>
      <c r="O37" s="252"/>
      <c r="P37" s="252"/>
      <c r="Q37" s="252"/>
      <c r="R37" s="252"/>
      <c r="S37" s="252" t="str">
        <f>IFERROR(__xludf.DUMMYFUNCTION("""COMPUTED_VALUE"""),"15")</f>
        <v>15</v>
      </c>
      <c r="T37" s="252"/>
      <c r="U37" s="252"/>
      <c r="V37" s="252"/>
      <c r="W37" s="252"/>
      <c r="X37" s="252"/>
      <c r="Y37" s="252"/>
      <c r="Z37" s="252"/>
      <c r="AA37" s="252"/>
      <c r="AB37" s="252" t="str">
        <f>IFERROR(__xludf.DUMMYFUNCTION("""COMPUTED_VALUE"""),"Reparando en taller")</f>
        <v>Reparando en taller</v>
      </c>
      <c r="AC37" s="252"/>
      <c r="AD37" s="252">
        <f>IFERROR(__xludf.DUMMYFUNCTION("""COMPUTED_VALUE"""),531.0)</f>
        <v>531</v>
      </c>
      <c r="AE37" s="252" t="str">
        <f>IFERROR(__xludf.DUMMYFUNCTION("""COMPUTED_VALUE"""),"Sin incidentes")</f>
        <v>Sin incidentes</v>
      </c>
      <c r="AF37" s="252"/>
      <c r="AG37" s="252" t="str">
        <f>IFERROR(__xludf.DUMMYFUNCTION("""COMPUTED_VALUE"""),"[CT-26 WH9820-0] - MACK CV713")</f>
        <v>[CT-26 WH9820-0] - MACK CV713</v>
      </c>
      <c r="AH37" s="252">
        <f>IFERROR(__xludf.DUMMYFUNCTION("""COMPUTED_VALUE"""),919.0)</f>
        <v>919</v>
      </c>
      <c r="AI37" s="252">
        <f>IFERROR(__xludf.DUMMYFUNCTION("""COMPUTED_VALUE"""),176778.0)</f>
        <v>176778</v>
      </c>
      <c r="AJ37" s="882">
        <f>IFERROR(__xludf.DUMMYFUNCTION("""COMPUTED_VALUE"""),46020.37668981482)</f>
        <v>46020.37669</v>
      </c>
      <c r="AK37" s="882">
        <f>IFERROR(__xludf.DUMMYFUNCTION("""COMPUTED_VALUE"""),46020.37672453704)</f>
        <v>46020.37672</v>
      </c>
      <c r="AL37" s="880">
        <f>IFERROR(__xludf.DUMMYFUNCTION("""COMPUTED_VALUE"""),1086.0)</f>
        <v>1086</v>
      </c>
      <c r="AM37" s="252"/>
      <c r="AN37" s="252" t="str">
        <f>IFERROR(__xludf.DUMMYFUNCTION("""COMPUTED_VALUE"""),"OT250826141657")</f>
        <v>OT250826141657</v>
      </c>
      <c r="AO37" s="252" t="str">
        <f>IFERROR(__xludf.DUMMYFUNCTION("""COMPUTED_VALUE"""),"Hr")</f>
        <v>Hr</v>
      </c>
      <c r="AP37" s="252" t="str">
        <f>IFERROR(__xludf.DUMMYFUNCTION("""COMPUTED_VALUE"""),"IS251203145413")</f>
        <v>IS251203145413</v>
      </c>
      <c r="AQ37" s="252">
        <f>IFERROR(__xludf.DUMMYFUNCTION("""COMPUTED_VALUE"""),15999.0)</f>
        <v>15999</v>
      </c>
      <c r="AR37" s="252">
        <f>IFERROR(__xludf.DUMMYFUNCTION("""COMPUTED_VALUE"""),175408.0)</f>
        <v>175408</v>
      </c>
      <c r="AS37" s="881">
        <f>IFERROR(__xludf.DUMMYFUNCTION("""COMPUTED_VALUE"""),45761.0)</f>
        <v>45761</v>
      </c>
      <c r="AT37" s="881">
        <f>IFERROR(__xludf.DUMMYFUNCTION("""COMPUTED_VALUE"""),44927.0)</f>
        <v>44927</v>
      </c>
      <c r="AU37" s="252" t="str">
        <f>IFERROR(__xludf.DUMMYFUNCTION("""COMPUTED_VALUE"""),"RDC251212151313")</f>
        <v>RDC251212151313</v>
      </c>
      <c r="AV37" s="252" t="str">
        <f>IFERROR(__xludf.DUMMYFUNCTION("""COMPUTED_VALUE"""),"RCO251201081530")</f>
        <v>RCO251201081530</v>
      </c>
      <c r="AW37" s="252">
        <f>IFERROR(__xludf.DUMMYFUNCTION("""COMPUTED_VALUE"""),215.0)</f>
        <v>215</v>
      </c>
      <c r="AX37" s="252">
        <f>IFERROR(__xludf.DUMMYFUNCTION("""COMPUTED_VALUE"""),-15683.0)</f>
        <v>-15683</v>
      </c>
      <c r="AY37" s="252">
        <f>IFERROR(__xludf.DUMMYFUNCTION("""COMPUTED_VALUE"""),0.0)</f>
        <v>0</v>
      </c>
      <c r="AZ37" s="884">
        <f>IFERROR(__xludf.DUMMYFUNCTION("""COMPUTED_VALUE"""),45992.0)</f>
        <v>45992</v>
      </c>
    </row>
    <row r="38">
      <c r="A38" s="252" t="str">
        <f>IFERROR(__xludf.DUMMYFUNCTION("""COMPUTED_VALUE"""),"5442dcf7")</f>
        <v>5442dcf7</v>
      </c>
      <c r="B38" s="252" t="str">
        <f>IFERROR(__xludf.DUMMYFUNCTION("""COMPUTED_VALUE"""),"EXTERNO")</f>
        <v>EXTERNO</v>
      </c>
      <c r="C38" s="252" t="str">
        <f>IFERROR(__xludf.DUMMYFUNCTION("""COMPUTED_VALUE"""),"EXTERNO")</f>
        <v>EXTERNO</v>
      </c>
      <c r="D38" s="252" t="str">
        <f>IFERROR(__xludf.DUMMYFUNCTION("""COMPUTED_VALUE"""),"EXTERNO")</f>
        <v>EXTERNO</v>
      </c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  <c r="AA38" s="252"/>
      <c r="AB38" s="252" t="str">
        <f>IFERROR(__xludf.DUMMYFUNCTION("""COMPUTED_VALUE"""),"Patio LL")</f>
        <v>Patio LL</v>
      </c>
      <c r="AC38" s="252"/>
      <c r="AD38" s="252"/>
      <c r="AE38" s="252" t="str">
        <f>IFERROR(__xludf.DUMMYFUNCTION("""COMPUTED_VALUE"""),"Sin incidentes")</f>
        <v>Sin incidentes</v>
      </c>
      <c r="AF38" s="252"/>
      <c r="AG38" s="252" t="str">
        <f>IFERROR(__xludf.DUMMYFUNCTION("""COMPUTED_VALUE"""),"[EXTERNO] -  ")</f>
        <v>[EXTERNO] -  </v>
      </c>
      <c r="AH38" s="252">
        <f>IFERROR(__xludf.DUMMYFUNCTION("""COMPUTED_VALUE"""),107284.0)</f>
        <v>107284</v>
      </c>
      <c r="AI38" s="252">
        <f>IFERROR(__xludf.DUMMYFUNCTION("""COMPUTED_VALUE"""),316785.0)</f>
        <v>316785</v>
      </c>
      <c r="AJ38" s="882">
        <f>IFERROR(__xludf.DUMMYFUNCTION("""COMPUTED_VALUE"""),46097.2733912037)</f>
        <v>46097.27339</v>
      </c>
      <c r="AK38" s="882">
        <f>IFERROR(__xludf.DUMMYFUNCTION("""COMPUTED_VALUE"""),46097.27347222222)</f>
        <v>46097.27347</v>
      </c>
      <c r="AL38" s="880">
        <f>IFERROR(__xludf.DUMMYFUNCTION("""COMPUTED_VALUE"""),107350.0)</f>
        <v>107350</v>
      </c>
      <c r="AM38" s="880" t="str">
        <f>IFERROR(__xludf.DUMMYFUNCTION("""COMPUTED_VALUE"""),"")</f>
        <v/>
      </c>
      <c r="AN38" s="252" t="str">
        <f>IFERROR(__xludf.DUMMYFUNCTION("""COMPUTED_VALUE"""),"OT251126105223")</f>
        <v>OT251126105223</v>
      </c>
      <c r="AO38" s="252" t="str">
        <f>IFERROR(__xludf.DUMMYFUNCTION("""COMPUTED_VALUE"""),"N/A")</f>
        <v>N/A</v>
      </c>
      <c r="AP38" s="252"/>
      <c r="AQ38" s="252">
        <f>IFERROR(__xludf.DUMMYFUNCTION("""COMPUTED_VALUE"""),107284.0)</f>
        <v>107284</v>
      </c>
      <c r="AR38" s="252"/>
      <c r="AS38" s="881">
        <f>IFERROR(__xludf.DUMMYFUNCTION("""COMPUTED_VALUE"""),44927.0)</f>
        <v>44927</v>
      </c>
      <c r="AT38" s="881">
        <f>IFERROR(__xludf.DUMMYFUNCTION("""COMPUTED_VALUE"""),44927.0)</f>
        <v>44927</v>
      </c>
      <c r="AU38" s="252"/>
      <c r="AV38" s="252" t="str">
        <f>IFERROR(__xludf.DUMMYFUNCTION("""COMPUTED_VALUE"""),"RCO260316082641")</f>
        <v>RCO260316082641</v>
      </c>
      <c r="AW38" s="252">
        <f>IFERROR(__xludf.DUMMYFUNCTION("""COMPUTED_VALUE"""),67.0)</f>
        <v>67</v>
      </c>
      <c r="AX38" s="252">
        <f>IFERROR(__xludf.DUMMYFUNCTION("""COMPUTED_VALUE"""),0.0)</f>
        <v>0</v>
      </c>
      <c r="AY38" s="252">
        <f>IFERROR(__xludf.DUMMYFUNCTION("""COMPUTED_VALUE"""),0.0)</f>
        <v>0</v>
      </c>
      <c r="AZ38" s="884">
        <f>IFERROR(__xludf.DUMMYFUNCTION("""COMPUTED_VALUE"""),46097.0)</f>
        <v>46097</v>
      </c>
    </row>
    <row r="39">
      <c r="A39" s="252" t="str">
        <f>IFERROR(__xludf.DUMMYFUNCTION("""COMPUTED_VALUE"""),"55873b1e")</f>
        <v>55873b1e</v>
      </c>
      <c r="B39" s="252" t="str">
        <f>IFERROR(__xludf.DUMMYFUNCTION("""COMPUTED_VALUE"""),"EX-21")</f>
        <v>EX-21</v>
      </c>
      <c r="C39" s="252" t="str">
        <f>IFERROR(__xludf.DUMMYFUNCTION("""COMPUTED_VALUE"""),"EXCAVADORA")</f>
        <v>EXCAVADORA</v>
      </c>
      <c r="D39" s="252" t="str">
        <f>IFERROR(__xludf.DUMMYFUNCTION("""COMPUTED_VALUE"""),"EXCAVADORA")</f>
        <v>EXCAVADORA</v>
      </c>
      <c r="E39" s="252" t="str">
        <f>IFERROR(__xludf.DUMMYFUNCTION("""COMPUTED_VALUE"""),"JOHN DEERE")</f>
        <v>JOHN DEERE</v>
      </c>
      <c r="F39" s="252" t="str">
        <f>IFERROR(__xludf.DUMMYFUNCTION("""COMPUTED_VALUE"""),"350GL")</f>
        <v>350GL</v>
      </c>
      <c r="G39" s="252"/>
      <c r="H39" s="252"/>
      <c r="I39" s="252" t="str">
        <f>IFERROR(__xludf.DUMMYFUNCTION("""COMPUTED_VALUE"""),"1F9350GXKMD808395")</f>
        <v>1F9350GXKMD808395</v>
      </c>
      <c r="J39" s="252" t="str">
        <f>IFERROR(__xludf.DUMMYFUNCTION("""COMPUTED_VALUE"""),"RYHV75")</f>
        <v>RYHV75</v>
      </c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  <c r="AA39" s="252"/>
      <c r="AB39" s="252" t="str">
        <f>IFERROR(__xludf.DUMMYFUNCTION("""COMPUTED_VALUE"""),"Reparando en terreno")</f>
        <v>Reparando en terreno</v>
      </c>
      <c r="AC39" s="252" t="str">
        <f>IFERROR(__xludf.DUMMYFUNCTION("""COMPUTED_VALUE"""),"MAQUINAS_Images/55873b1e.FOTO1.154757.jpg")</f>
        <v>MAQUINAS_Images/55873b1e.FOTO1.154757.jpg</v>
      </c>
      <c r="AD39" s="252">
        <f>IFERROR(__xludf.DUMMYFUNCTION("""COMPUTED_VALUE"""),1016.0)</f>
        <v>1016</v>
      </c>
      <c r="AE39" s="252" t="str">
        <f>IFERROR(__xludf.DUMMYFUNCTION("""COMPUTED_VALUE"""),"Sin incidentes")</f>
        <v>Sin incidentes</v>
      </c>
      <c r="AF39" s="252"/>
      <c r="AG39" s="252" t="str">
        <f>IFERROR(__xludf.DUMMYFUNCTION("""COMPUTED_VALUE"""),"[EX-21] - JOHN DEERE 350GL")</f>
        <v>[EX-21] - JOHN DEERE 350GL</v>
      </c>
      <c r="AH39" s="252">
        <f>IFERROR(__xludf.DUMMYFUNCTION("""COMPUTED_VALUE"""),5257.0)</f>
        <v>5257</v>
      </c>
      <c r="AI39" s="252">
        <f>IFERROR(__xludf.DUMMYFUNCTION("""COMPUTED_VALUE"""),1.0)</f>
        <v>1</v>
      </c>
      <c r="AJ39" s="882">
        <f>IFERROR(__xludf.DUMMYFUNCTION("""COMPUTED_VALUE"""),46096.57946759259)</f>
        <v>46096.57947</v>
      </c>
      <c r="AK39" s="882">
        <f>IFERROR(__xludf.DUMMYFUNCTION("""COMPUTED_VALUE"""),46096.57950231482)</f>
        <v>46096.5795</v>
      </c>
      <c r="AL39" s="880">
        <f>IFERROR(__xludf.DUMMYFUNCTION("""COMPUTED_VALUE"""),5516.0)</f>
        <v>5516</v>
      </c>
      <c r="AM39" s="252"/>
      <c r="AN39" s="252" t="str">
        <f>IFERROR(__xludf.DUMMYFUNCTION("""COMPUTED_VALUE"""),"OT260218142640")</f>
        <v>OT260218142640</v>
      </c>
      <c r="AO39" s="252" t="str">
        <f>IFERROR(__xludf.DUMMYFUNCTION("""COMPUTED_VALUE"""),"Hr")</f>
        <v>Hr</v>
      </c>
      <c r="AP39" s="252"/>
      <c r="AQ39" s="252"/>
      <c r="AR39" s="252"/>
      <c r="AS39" s="881">
        <f>IFERROR(__xludf.DUMMYFUNCTION("""COMPUTED_VALUE"""),46010.0)</f>
        <v>46010</v>
      </c>
      <c r="AT39" s="881">
        <f>IFERROR(__xludf.DUMMYFUNCTION("""COMPUTED_VALUE"""),46010.0)</f>
        <v>46010</v>
      </c>
      <c r="AU39" s="252" t="str">
        <f>IFERROR(__xludf.DUMMYFUNCTION("""COMPUTED_VALUE"""),"RDC260314115920")</f>
        <v>RDC260314115920</v>
      </c>
      <c r="AV39" s="252" t="str">
        <f>IFERROR(__xludf.DUMMYFUNCTION("""COMPUTED_VALUE"""),"RCO260315154403")</f>
        <v>RCO260315154403</v>
      </c>
      <c r="AW39" s="252">
        <f>IFERROR(__xludf.DUMMYFUNCTION("""COMPUTED_VALUE"""),200.0)</f>
        <v>200</v>
      </c>
      <c r="AX39" s="252">
        <f>IFERROR(__xludf.DUMMYFUNCTION("""COMPUTED_VALUE"""),4.0)</f>
        <v>4</v>
      </c>
      <c r="AY39" s="252">
        <f>IFERROR(__xludf.DUMMYFUNCTION("""COMPUTED_VALUE"""),0.0)</f>
        <v>0</v>
      </c>
      <c r="AZ39" s="883">
        <f>IFERROR(__xludf.DUMMYFUNCTION("""COMPUTED_VALUE"""),46096.0)</f>
        <v>46096</v>
      </c>
    </row>
    <row r="40">
      <c r="A40" s="252" t="str">
        <f>IFERROR(__xludf.DUMMYFUNCTION("""COMPUTED_VALUE"""),"5613d170")</f>
        <v>5613d170</v>
      </c>
      <c r="B40" s="252" t="str">
        <f>IFERROR(__xludf.DUMMYFUNCTION("""COMPUTED_VALUE"""),"COM-01")</f>
        <v>COM-01</v>
      </c>
      <c r="C40" s="252" t="str">
        <f>IFERROR(__xludf.DUMMYFUNCTION("""COMPUTED_VALUE"""),"EQUIPO MENOR")</f>
        <v>EQUIPO MENOR</v>
      </c>
      <c r="D40" s="252" t="str">
        <f>IFERROR(__xludf.DUMMYFUNCTION("""COMPUTED_VALUE"""),"COMPRESOR")</f>
        <v>COMPRESOR</v>
      </c>
      <c r="E40" s="252" t="str">
        <f>IFERROR(__xludf.DUMMYFUNCTION("""COMPUTED_VALUE"""),"KAISHAN")</f>
        <v>KAISHAN</v>
      </c>
      <c r="F40" s="252" t="str">
        <f>IFERROR(__xludf.DUMMYFUNCTION("""COMPUTED_VALUE"""),"KS3003C")</f>
        <v>KS3003C</v>
      </c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  <c r="AA40" s="252"/>
      <c r="AB40" s="252" t="str">
        <f>IFERROR(__xludf.DUMMYFUNCTION("""COMPUTED_VALUE"""),"Patio LL")</f>
        <v>Patio LL</v>
      </c>
      <c r="AC40" s="252"/>
      <c r="AD40" s="252">
        <f>IFERROR(__xludf.DUMMYFUNCTION("""COMPUTED_VALUE"""),938.0)</f>
        <v>938</v>
      </c>
      <c r="AE40" s="252" t="str">
        <f>IFERROR(__xludf.DUMMYFUNCTION("""COMPUTED_VALUE"""),"Sin incidentes")</f>
        <v>Sin incidentes</v>
      </c>
      <c r="AF40" s="252"/>
      <c r="AG40" s="252" t="str">
        <f>IFERROR(__xludf.DUMMYFUNCTION("""COMPUTED_VALUE"""),"[COM-01] - KAISHAN KS3003C")</f>
        <v>[COM-01] - KAISHAN KS3003C</v>
      </c>
      <c r="AH40" s="252"/>
      <c r="AI40" s="252"/>
      <c r="AJ40" s="252"/>
      <c r="AK40" s="252"/>
      <c r="AL40" s="252"/>
      <c r="AM40" s="252"/>
      <c r="AN40" s="252"/>
      <c r="AO40" s="252"/>
      <c r="AP40" s="252"/>
      <c r="AQ40" s="252"/>
      <c r="AR40" s="252"/>
      <c r="AS40" s="881">
        <f>IFERROR(__xludf.DUMMYFUNCTION("""COMPUTED_VALUE"""),45905.0)</f>
        <v>45905</v>
      </c>
      <c r="AT40" s="881">
        <f>IFERROR(__xludf.DUMMYFUNCTION("""COMPUTED_VALUE"""),45905.0)</f>
        <v>45905</v>
      </c>
      <c r="AU40" s="252"/>
      <c r="AV40" s="252" t="str">
        <f>IFERROR(__xludf.DUMMYFUNCTION("""COMPUTED_VALUE"""),"RCO251003131512")</f>
        <v>RCO251003131512</v>
      </c>
      <c r="AW40" s="252">
        <f>IFERROR(__xludf.DUMMYFUNCTION("""COMPUTED_VALUE"""),5.0)</f>
        <v>5</v>
      </c>
      <c r="AX40" s="252"/>
      <c r="AY40" s="252"/>
      <c r="AZ40" s="883">
        <f>IFERROR(__xludf.DUMMYFUNCTION("""COMPUTED_VALUE"""),45933.0)</f>
        <v>45933</v>
      </c>
    </row>
    <row r="41">
      <c r="A41" s="252" t="str">
        <f>IFERROR(__xludf.DUMMYFUNCTION("""COMPUTED_VALUE"""),"59715543")</f>
        <v>59715543</v>
      </c>
      <c r="B41" s="252" t="str">
        <f>IFERROR(__xludf.DUMMYFUNCTION("""COMPUTED_VALUE"""),"CT-31 YU4569-7")</f>
        <v>CT-31 YU4569-7</v>
      </c>
      <c r="C41" s="252" t="str">
        <f>IFERROR(__xludf.DUMMYFUNCTION("""COMPUTED_VALUE"""),"CAMION TOLVA")</f>
        <v>CAMION TOLVA</v>
      </c>
      <c r="D41" s="252" t="str">
        <f>IFERROR(__xludf.DUMMYFUNCTION("""COMPUTED_VALUE"""),"TOLVA")</f>
        <v>TOLVA</v>
      </c>
      <c r="E41" s="252" t="str">
        <f>IFERROR(__xludf.DUMMYFUNCTION("""COMPUTED_VALUE"""),"MACK")</f>
        <v>MACK</v>
      </c>
      <c r="F41" s="252" t="str">
        <f>IFERROR(__xludf.DUMMYFUNCTION("""COMPUTED_VALUE"""),"CV713")</f>
        <v>CV713</v>
      </c>
      <c r="G41" s="252">
        <f>IFERROR(__xludf.DUMMYFUNCTION("""COMPUTED_VALUE"""),2005.0)</f>
        <v>2005</v>
      </c>
      <c r="H41" s="252" t="str">
        <f>IFERROR(__xludf.DUMMYFUNCTION("""COMPUTED_VALUE"""),"4S1758")</f>
        <v>4S1758</v>
      </c>
      <c r="I41" s="252" t="str">
        <f>IFERROR(__xludf.DUMMYFUNCTION("""COMPUTED_VALUE"""),"1M2AG11C85M027294")</f>
        <v>1M2AG11C85M027294</v>
      </c>
      <c r="J41" s="252" t="str">
        <f>IFERROR(__xludf.DUMMYFUNCTION("""COMPUTED_VALUE"""),"YU4569-7")</f>
        <v>YU4569-7</v>
      </c>
      <c r="K41" s="252" t="str">
        <f>IFERROR(__xludf.DUMMYFUNCTION("""COMPUTED_VALUE"""),"COMERCIALIZADORA ECMA SPA")</f>
        <v>COMERCIALIZADORA ECMA SPA</v>
      </c>
      <c r="L41" s="252"/>
      <c r="M41" s="252"/>
      <c r="N41" s="252"/>
      <c r="O41" s="252"/>
      <c r="P41" s="252"/>
      <c r="Q41" s="252"/>
      <c r="R41" s="252"/>
      <c r="S41" s="252" t="str">
        <f>IFERROR(__xludf.DUMMYFUNCTION("""COMPUTED_VALUE"""),"14")</f>
        <v>14</v>
      </c>
      <c r="T41" s="252"/>
      <c r="U41" s="252"/>
      <c r="V41" s="252"/>
      <c r="W41" s="252"/>
      <c r="X41" s="252"/>
      <c r="Y41" s="252"/>
      <c r="Z41" s="252"/>
      <c r="AA41" s="252"/>
      <c r="AB41" s="252" t="str">
        <f>IFERROR(__xludf.DUMMYFUNCTION("""COMPUTED_VALUE"""),"En producción")</f>
        <v>En producción</v>
      </c>
      <c r="AC41" s="252" t="str">
        <f>IFERROR(__xludf.DUMMYFUNCTION("""COMPUTED_VALUE"""),"MAQUINAS_Images/59715543.FOTO1.195925.jpg")</f>
        <v>MAQUINAS_Images/59715543.FOTO1.195925.jpg</v>
      </c>
      <c r="AD41" s="252">
        <f>IFERROR(__xludf.DUMMYFUNCTION("""COMPUTED_VALUE"""),472.0)</f>
        <v>472</v>
      </c>
      <c r="AE41" s="252" t="str">
        <f>IFERROR(__xludf.DUMMYFUNCTION("""COMPUTED_VALUE"""),"Alerta incidente")</f>
        <v>Alerta incidente</v>
      </c>
      <c r="AF41" s="252">
        <f>IFERROR(__xludf.DUMMYFUNCTION("""COMPUTED_VALUE"""),1.0)</f>
        <v>1</v>
      </c>
      <c r="AG41" s="252" t="str">
        <f>IFERROR(__xludf.DUMMYFUNCTION("""COMPUTED_VALUE"""),"[CT-31 YU4569-7] - MACK CV713")</f>
        <v>[CT-31 YU4569-7] - MACK CV713</v>
      </c>
      <c r="AH41" s="252">
        <f>IFERROR(__xludf.DUMMYFUNCTION("""COMPUTED_VALUE"""),19782.0)</f>
        <v>19782</v>
      </c>
      <c r="AI41" s="252">
        <f>IFERROR(__xludf.DUMMYFUNCTION("""COMPUTED_VALUE"""),219349.0)</f>
        <v>219349</v>
      </c>
      <c r="AJ41" s="882">
        <f>IFERROR(__xludf.DUMMYFUNCTION("""COMPUTED_VALUE"""),46097.27027777778)</f>
        <v>46097.27028</v>
      </c>
      <c r="AK41" s="882">
        <f>IFERROR(__xludf.DUMMYFUNCTION("""COMPUTED_VALUE"""),46097.270324074074)</f>
        <v>46097.27032</v>
      </c>
      <c r="AL41" s="880">
        <f>IFERROR(__xludf.DUMMYFUNCTION("""COMPUTED_VALUE"""),19977.0)</f>
        <v>19977</v>
      </c>
      <c r="AM41" s="252"/>
      <c r="AN41" s="252" t="str">
        <f>IFERROR(__xludf.DUMMYFUNCTION("""COMPUTED_VALUE"""),"OT251229085310")</f>
        <v>OT251229085310</v>
      </c>
      <c r="AO41" s="252" t="str">
        <f>IFERROR(__xludf.DUMMYFUNCTION("""COMPUTED_VALUE"""),"Hr")</f>
        <v>Hr</v>
      </c>
      <c r="AP41" s="252" t="str">
        <f>IFERROR(__xludf.DUMMYFUNCTION("""COMPUTED_VALUE"""),"IS260312085520")</f>
        <v>IS260312085520</v>
      </c>
      <c r="AQ41" s="252">
        <f>IFERROR(__xludf.DUMMYFUNCTION("""COMPUTED_VALUE"""),2575.0)</f>
        <v>2575</v>
      </c>
      <c r="AR41" s="252"/>
      <c r="AS41" s="881">
        <f>IFERROR(__xludf.DUMMYFUNCTION("""COMPUTED_VALUE"""),44927.0)</f>
        <v>44927</v>
      </c>
      <c r="AT41" s="881">
        <f>IFERROR(__xludf.DUMMYFUNCTION("""COMPUTED_VALUE"""),44927.0)</f>
        <v>44927</v>
      </c>
      <c r="AU41" s="252" t="str">
        <f>IFERROR(__xludf.DUMMYFUNCTION("""COMPUTED_VALUE"""),"RDC260316082220")</f>
        <v>RDC260316082220</v>
      </c>
      <c r="AV41" s="252" t="str">
        <f>IFERROR(__xludf.DUMMYFUNCTION("""COMPUTED_VALUE"""),"RCO260311082421")</f>
        <v>RCO260311082421</v>
      </c>
      <c r="AW41" s="252">
        <f>IFERROR(__xludf.DUMMYFUNCTION("""COMPUTED_VALUE"""),193.0)</f>
        <v>193</v>
      </c>
      <c r="AX41" s="252">
        <f>IFERROR(__xludf.DUMMYFUNCTION("""COMPUTED_VALUE"""),28.0)</f>
        <v>28</v>
      </c>
      <c r="AY41" s="252">
        <f>IFERROR(__xludf.DUMMYFUNCTION("""COMPUTED_VALUE"""),0.0)</f>
        <v>0</v>
      </c>
      <c r="AZ41" s="883">
        <f>IFERROR(__xludf.DUMMYFUNCTION("""COMPUTED_VALUE"""),46092.0)</f>
        <v>46092</v>
      </c>
    </row>
    <row r="42">
      <c r="A42" s="252" t="str">
        <f>IFERROR(__xludf.DUMMYFUNCTION("""COMPUTED_VALUE"""),"605dd389")</f>
        <v>605dd389</v>
      </c>
      <c r="B42" s="252" t="str">
        <f>IFERROR(__xludf.DUMMYFUNCTION("""COMPUTED_VALUE"""),"TA-01")</f>
        <v>TA-01</v>
      </c>
      <c r="C42" s="252" t="str">
        <f>IFERROR(__xludf.DUMMYFUNCTION("""COMPUTED_VALUE"""),"MAQUINARIA")</f>
        <v>MAQUINARIA</v>
      </c>
      <c r="D42" s="252" t="str">
        <f>IFERROR(__xludf.DUMMYFUNCTION("""COMPUTED_VALUE"""),"ASFALTICA")</f>
        <v>ASFALTICA</v>
      </c>
      <c r="E42" s="252" t="str">
        <f>IFERROR(__xludf.DUMMYFUNCTION("""COMPUTED_VALUE"""),"VOLVO")</f>
        <v>VOLVO</v>
      </c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  <c r="AA42" s="252"/>
      <c r="AB42" s="252" t="str">
        <f>IFERROR(__xludf.DUMMYFUNCTION("""COMPUTED_VALUE"""),"Patio LL")</f>
        <v>Patio LL</v>
      </c>
      <c r="AC42" s="252"/>
      <c r="AD42" s="252"/>
      <c r="AE42" s="252" t="str">
        <f>IFERROR(__xludf.DUMMYFUNCTION("""COMPUTED_VALUE"""),"Sin incidentes")</f>
        <v>Sin incidentes</v>
      </c>
      <c r="AF42" s="252"/>
      <c r="AG42" s="252" t="str">
        <f>IFERROR(__xludf.DUMMYFUNCTION("""COMPUTED_VALUE"""),"[TA-01] - VOLVO ")</f>
        <v>[TA-01] - VOLVO </v>
      </c>
      <c r="AH42" s="252">
        <f>IFERROR(__xludf.DUMMYFUNCTION("""COMPUTED_VALUE"""),1198.0)</f>
        <v>1198</v>
      </c>
      <c r="AI42" s="252"/>
      <c r="AJ42" s="252"/>
      <c r="AK42" s="252"/>
      <c r="AL42" s="252"/>
      <c r="AM42" s="252"/>
      <c r="AN42" s="252"/>
      <c r="AO42" s="252" t="str">
        <f>IFERROR(__xludf.DUMMYFUNCTION("""COMPUTED_VALUE"""),"Hr")</f>
        <v>Hr</v>
      </c>
      <c r="AP42" s="252"/>
      <c r="AQ42" s="252"/>
      <c r="AR42" s="252"/>
      <c r="AS42" s="881">
        <f>IFERROR(__xludf.DUMMYFUNCTION("""COMPUTED_VALUE"""),45924.0)</f>
        <v>45924</v>
      </c>
      <c r="AT42" s="881">
        <f>IFERROR(__xludf.DUMMYFUNCTION("""COMPUTED_VALUE"""),45924.0)</f>
        <v>45924</v>
      </c>
      <c r="AU42" s="252"/>
      <c r="AV42" s="252" t="str">
        <f>IFERROR(__xludf.DUMMYFUNCTION("""COMPUTED_VALUE"""),"RCO250924161249")</f>
        <v>RCO250924161249</v>
      </c>
      <c r="AW42" s="252">
        <f>IFERROR(__xludf.DUMMYFUNCTION("""COMPUTED_VALUE"""),40.0)</f>
        <v>40</v>
      </c>
      <c r="AX42" s="252"/>
      <c r="AY42" s="252"/>
      <c r="AZ42" s="883">
        <f>IFERROR(__xludf.DUMMYFUNCTION("""COMPUTED_VALUE"""),45924.0)</f>
        <v>45924</v>
      </c>
    </row>
    <row r="43">
      <c r="A43" s="252" t="str">
        <f>IFERROR(__xludf.DUMMYFUNCTION("""COMPUTED_VALUE"""),"62938beb")</f>
        <v>62938beb</v>
      </c>
      <c r="B43" s="252" t="str">
        <f>IFERROR(__xludf.DUMMYFUNCTION("""COMPUTED_VALUE"""),"EXT-11 EXCAVADORA 130 JCB")</f>
        <v>EXT-11 EXCAVADORA 130 JCB</v>
      </c>
      <c r="C43" s="252" t="str">
        <f>IFERROR(__xludf.DUMMYFUNCTION("""COMPUTED_VALUE"""),"MAQUINARIA")</f>
        <v>MAQUINARIA</v>
      </c>
      <c r="D43" s="252" t="str">
        <f>IFERROR(__xludf.DUMMYFUNCTION("""COMPUTED_VALUE"""),"EXTERNO")</f>
        <v>EXTERNO</v>
      </c>
      <c r="E43" s="252" t="str">
        <f>IFERROR(__xludf.DUMMYFUNCTION("""COMPUTED_VALUE"""),"JCB")</f>
        <v>JCB</v>
      </c>
      <c r="F43" s="252" t="str">
        <f>IFERROR(__xludf.DUMMYFUNCTION("""COMPUTED_VALUE"""),"130")</f>
        <v>130</v>
      </c>
      <c r="G43" s="252"/>
      <c r="H43" s="252"/>
      <c r="I43" s="252"/>
      <c r="J43" s="252"/>
      <c r="K43" s="252" t="str">
        <f>IFERROR(__xludf.DUMMYFUNCTION("""COMPUTED_VALUE"""),"HECTOR MEZA")</f>
        <v>HECTOR MEZA</v>
      </c>
      <c r="L43" s="252"/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  <c r="AA43" s="252"/>
      <c r="AB43" s="252" t="str">
        <f>IFERROR(__xludf.DUMMYFUNCTION("""COMPUTED_VALUE"""),"En producción")</f>
        <v>En producción</v>
      </c>
      <c r="AC43" s="252"/>
      <c r="AD43" s="252">
        <f>IFERROR(__xludf.DUMMYFUNCTION("""COMPUTED_VALUE"""),671.0)</f>
        <v>671</v>
      </c>
      <c r="AE43" s="252" t="str">
        <f>IFERROR(__xludf.DUMMYFUNCTION("""COMPUTED_VALUE"""),"Sin incidentes")</f>
        <v>Sin incidentes</v>
      </c>
      <c r="AF43" s="252"/>
      <c r="AG43" s="252" t="str">
        <f>IFERROR(__xludf.DUMMYFUNCTION("""COMPUTED_VALUE"""),"[EXT-11 EXCAVADORA 130 JCB] - JCB 130")</f>
        <v>[EXT-11 EXCAVADORA 130 JCB] - JCB 130</v>
      </c>
      <c r="AH43" s="252"/>
      <c r="AI43" s="252"/>
      <c r="AJ43" s="252"/>
      <c r="AK43" s="252"/>
      <c r="AL43" s="252"/>
      <c r="AM43" s="252"/>
      <c r="AN43" s="252"/>
      <c r="AO43" s="252"/>
      <c r="AP43" s="252"/>
      <c r="AQ43" s="252"/>
      <c r="AR43" s="252"/>
      <c r="AS43" s="881">
        <f>IFERROR(__xludf.DUMMYFUNCTION("""COMPUTED_VALUE"""),45768.0)</f>
        <v>45768</v>
      </c>
      <c r="AT43" s="881">
        <f>IFERROR(__xludf.DUMMYFUNCTION("""COMPUTED_VALUE"""),45768.0)</f>
        <v>45768</v>
      </c>
      <c r="AU43" s="252" t="str">
        <f>IFERROR(__xludf.DUMMYFUNCTION("""COMPUTED_VALUE"""),"RDC250423083400")</f>
        <v>RDC250423083400</v>
      </c>
      <c r="AV43" s="252"/>
      <c r="AW43" s="252"/>
      <c r="AX43" s="252"/>
      <c r="AY43" s="252"/>
      <c r="AZ43" s="252"/>
    </row>
    <row r="44">
      <c r="A44" s="252" t="str">
        <f>IFERROR(__xludf.DUMMYFUNCTION("""COMPUTED_VALUE"""),"65e67b8d")</f>
        <v>65e67b8d</v>
      </c>
      <c r="B44" s="252" t="str">
        <f>IFERROR(__xludf.DUMMYFUNCTION("""COMPUTED_VALUE"""),"Número 2")</f>
        <v>Número 2</v>
      </c>
      <c r="C44" s="252" t="str">
        <f>IFERROR(__xludf.DUMMYFUNCTION("""COMPUTED_VALUE"""),"SEMIREMOLQUE")</f>
        <v>SEMIREMOLQUE</v>
      </c>
      <c r="D44" s="252" t="str">
        <f>IFERROR(__xludf.DUMMYFUNCTION("""COMPUTED_VALUE"""),"BATEA")</f>
        <v>BATEA</v>
      </c>
      <c r="E44" s="252" t="str">
        <f>IFERROR(__xludf.DUMMYFUNCTION("""COMPUTED_VALUE"""),"RANDON")</f>
        <v>RANDON</v>
      </c>
      <c r="F44" s="252" t="str">
        <f>IFERROR(__xludf.DUMMYFUNCTION("""COMPUTED_VALUE"""),"Randon")</f>
        <v>Randon</v>
      </c>
      <c r="G44" s="252"/>
      <c r="H44" s="252"/>
      <c r="I44" s="252"/>
      <c r="J44" s="252" t="str">
        <f>IFERROR(__xludf.DUMMYFUNCTION("""COMPUTED_VALUE"""),"JB 3026")</f>
        <v>JB 3026</v>
      </c>
      <c r="K44" s="252" t="str">
        <f>IFERROR(__xludf.DUMMYFUNCTION("""COMPUTED_VALUE"""),"Ecma")</f>
        <v>Ecma</v>
      </c>
      <c r="L44" s="252"/>
      <c r="M44" s="252"/>
      <c r="N44" s="252"/>
      <c r="O44" s="252"/>
      <c r="P44" s="252"/>
      <c r="Q44" s="252"/>
      <c r="R44" s="252"/>
      <c r="S44" s="252"/>
      <c r="T44" s="252"/>
      <c r="U44" s="252" t="str">
        <f>IFERROR(__xludf.DUMMYFUNCTION("""COMPUTED_VALUE"""),"Falla de intermitente trasero derecho")</f>
        <v>Falla de intermitente trasero derecho</v>
      </c>
      <c r="V44" s="252"/>
      <c r="W44" s="252"/>
      <c r="X44" s="252"/>
      <c r="Y44" s="252"/>
      <c r="Z44" s="252"/>
      <c r="AA44" s="252"/>
      <c r="AB44" s="252" t="str">
        <f>IFERROR(__xludf.DUMMYFUNCTION("""COMPUTED_VALUE"""),"En producción")</f>
        <v>En producción</v>
      </c>
      <c r="AC44" s="252"/>
      <c r="AD44" s="252"/>
      <c r="AE44" s="252" t="str">
        <f>IFERROR(__xludf.DUMMYFUNCTION("""COMPUTED_VALUE"""),"Alerta incidente")</f>
        <v>Alerta incidente</v>
      </c>
      <c r="AF44" s="252">
        <f>IFERROR(__xludf.DUMMYFUNCTION("""COMPUTED_VALUE"""),1.0)</f>
        <v>1</v>
      </c>
      <c r="AG44" s="252" t="str">
        <f>IFERROR(__xludf.DUMMYFUNCTION("""COMPUTED_VALUE"""),"[Número 2] - RANDON Randon")</f>
        <v>[Número 2] - RANDON Randon</v>
      </c>
      <c r="AH44" s="252"/>
      <c r="AI44" s="252">
        <f>IFERROR(__xludf.DUMMYFUNCTION("""COMPUTED_VALUE"""),0.0)</f>
        <v>0</v>
      </c>
      <c r="AJ44" s="252"/>
      <c r="AK44" s="882">
        <f>IFERROR(__xludf.DUMMYFUNCTION("""COMPUTED_VALUE"""),45769.65908564815)</f>
        <v>45769.65909</v>
      </c>
      <c r="AL44" s="880" t="str">
        <f>IFERROR(__xludf.DUMMYFUNCTION("""COMPUTED_VALUE"""),"")</f>
        <v/>
      </c>
      <c r="AM44" s="880" t="str">
        <f>IFERROR(__xludf.DUMMYFUNCTION("""COMPUTED_VALUE"""),"")</f>
        <v/>
      </c>
      <c r="AN44" s="252"/>
      <c r="AO44" s="252" t="str">
        <f>IFERROR(__xludf.DUMMYFUNCTION("""COMPUTED_VALUE"""),"N/A")</f>
        <v>N/A</v>
      </c>
      <c r="AP44" s="252"/>
      <c r="AQ44" s="252"/>
      <c r="AR44" s="252"/>
      <c r="AS44" s="881">
        <f>IFERROR(__xludf.DUMMYFUNCTION("""COMPUTED_VALUE"""),44927.0)</f>
        <v>44927</v>
      </c>
      <c r="AT44" s="881">
        <f>IFERROR(__xludf.DUMMYFUNCTION("""COMPUTED_VALUE"""),44927.0)</f>
        <v>44927</v>
      </c>
      <c r="AU44" s="252"/>
      <c r="AV44" s="252"/>
      <c r="AW44" s="252"/>
      <c r="AX44" s="252"/>
      <c r="AY44" s="252"/>
      <c r="AZ44" s="252"/>
    </row>
    <row r="45">
      <c r="A45" s="252" t="str">
        <f>IFERROR(__xludf.DUMMYFUNCTION("""COMPUTED_VALUE"""),"68ae0f2a")</f>
        <v>68ae0f2a</v>
      </c>
      <c r="B45" s="252" t="str">
        <f>IFERROR(__xludf.DUMMYFUNCTION("""COMPUTED_VALUE"""),"C-50 KTYB44")</f>
        <v>C-50 KTYB44</v>
      </c>
      <c r="C45" s="252" t="str">
        <f>IFERROR(__xludf.DUMMYFUNCTION("""COMPUTED_VALUE"""),"CAMIONETA")</f>
        <v>CAMIONETA</v>
      </c>
      <c r="D45" s="252" t="str">
        <f>IFERROR(__xludf.DUMMYFUNCTION("""COMPUTED_VALUE"""),"CAMIONETA")</f>
        <v>CAMIONETA</v>
      </c>
      <c r="E45" s="252" t="str">
        <f>IFERROR(__xludf.DUMMYFUNCTION("""COMPUTED_VALUE"""),"MAHINDRA")</f>
        <v>MAHINDRA</v>
      </c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  <c r="AA45" s="252"/>
      <c r="AB45" s="252" t="str">
        <f>IFERROR(__xludf.DUMMYFUNCTION("""COMPUTED_VALUE"""),"Discontinuado")</f>
        <v>Discontinuado</v>
      </c>
      <c r="AC45" s="252"/>
      <c r="AD45" s="252"/>
      <c r="AE45" s="252" t="str">
        <f>IFERROR(__xludf.DUMMYFUNCTION("""COMPUTED_VALUE"""),"Sin incidentes")</f>
        <v>Sin incidentes</v>
      </c>
      <c r="AF45" s="252"/>
      <c r="AG45" s="252" t="str">
        <f>IFERROR(__xludf.DUMMYFUNCTION("""COMPUTED_VALUE"""),"[C-50 KTYB44] - MAHINDRA ")</f>
        <v>[C-50 KTYB44] - MAHINDRA </v>
      </c>
      <c r="AH45" s="252"/>
      <c r="AI45" s="252"/>
      <c r="AJ45" s="252"/>
      <c r="AK45" s="252"/>
      <c r="AL45" s="880" t="str">
        <f>IFERROR(__xludf.DUMMYFUNCTION("""COMPUTED_VALUE"""),"")</f>
        <v/>
      </c>
      <c r="AM45" s="880" t="str">
        <f>IFERROR(__xludf.DUMMYFUNCTION("""COMPUTED_VALUE"""),"")</f>
        <v/>
      </c>
      <c r="AN45" s="252"/>
      <c r="AO45" s="252"/>
      <c r="AP45" s="252"/>
      <c r="AQ45" s="252"/>
      <c r="AR45" s="252"/>
      <c r="AS45" s="881">
        <f>IFERROR(__xludf.DUMMYFUNCTION("""COMPUTED_VALUE"""),44927.0)</f>
        <v>44927</v>
      </c>
      <c r="AT45" s="881">
        <f>IFERROR(__xludf.DUMMYFUNCTION("""COMPUTED_VALUE"""),44927.0)</f>
        <v>44927</v>
      </c>
      <c r="AU45" s="252"/>
      <c r="AV45" s="252"/>
      <c r="AW45" s="252"/>
      <c r="AX45" s="252"/>
      <c r="AY45" s="252"/>
      <c r="AZ45" s="252"/>
    </row>
    <row r="46">
      <c r="A46" s="252" t="str">
        <f>IFERROR(__xludf.DUMMYFUNCTION("""COMPUTED_VALUE"""),"68ca6b46")</f>
        <v>68ca6b46</v>
      </c>
      <c r="B46" s="252" t="str">
        <f>IFERROR(__xludf.DUMMYFUNCTION("""COMPUTED_VALUE"""),"Equipos externos DV-04")</f>
        <v>Equipos externos DV-04</v>
      </c>
      <c r="C46" s="252" t="str">
        <f>IFERROR(__xludf.DUMMYFUNCTION("""COMPUTED_VALUE"""),"MAQUINARIA")</f>
        <v>MAQUINARIA</v>
      </c>
      <c r="D46" s="252" t="str">
        <f>IFERROR(__xludf.DUMMYFUNCTION("""COMPUTED_VALUE"""),"EXTERNO")</f>
        <v>EXTERNO</v>
      </c>
      <c r="E46" s="252"/>
      <c r="F46" s="252"/>
      <c r="G46" s="252"/>
      <c r="H46" s="252"/>
      <c r="I46" s="252"/>
      <c r="J46" s="252" t="str">
        <f>IFERROR(__xludf.DUMMYFUNCTION("""COMPUTED_VALUE"""),"JLLK-92")</f>
        <v>JLLK-92</v>
      </c>
      <c r="K46" s="252" t="str">
        <f>IFERROR(__xludf.DUMMYFUNCTION("""COMPUTED_VALUE"""),"Transportes Pinilla")</f>
        <v>Transportes Pinilla</v>
      </c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2" t="str">
        <f>IFERROR(__xludf.DUMMYFUNCTION("""COMPUTED_VALUE"""),"Patio LL")</f>
        <v>Patio LL</v>
      </c>
      <c r="AC46" s="252"/>
      <c r="AD46" s="252"/>
      <c r="AE46" s="252" t="str">
        <f>IFERROR(__xludf.DUMMYFUNCTION("""COMPUTED_VALUE"""),"Sin incidentes")</f>
        <v>Sin incidentes</v>
      </c>
      <c r="AF46" s="252"/>
      <c r="AG46" s="252" t="str">
        <f>IFERROR(__xludf.DUMMYFUNCTION("""COMPUTED_VALUE"""),"[Equipos externos DV-04] -  ")</f>
        <v>[Equipos externos DV-04] -  </v>
      </c>
      <c r="AH46" s="252">
        <f>IFERROR(__xludf.DUMMYFUNCTION("""COMPUTED_VALUE"""),4992.0)</f>
        <v>4992</v>
      </c>
      <c r="AI46" s="252"/>
      <c r="AJ46" s="882">
        <f>IFERROR(__xludf.DUMMYFUNCTION("""COMPUTED_VALUE"""),45723.56298611111)</f>
        <v>45723.56299</v>
      </c>
      <c r="AK46" s="252"/>
      <c r="AL46" s="880">
        <f>IFERROR(__xludf.DUMMYFUNCTION("""COMPUTED_VALUE"""),5000.0)</f>
        <v>5000</v>
      </c>
      <c r="AM46" s="880" t="str">
        <f>IFERROR(__xludf.DUMMYFUNCTION("""COMPUTED_VALUE"""),"")</f>
        <v/>
      </c>
      <c r="AN46" s="252"/>
      <c r="AO46" s="252" t="str">
        <f>IFERROR(__xludf.DUMMYFUNCTION("""COMPUTED_VALUE"""),"Hr")</f>
        <v>Hr</v>
      </c>
      <c r="AP46" s="252"/>
      <c r="AQ46" s="252">
        <f>IFERROR(__xludf.DUMMYFUNCTION("""COMPUTED_VALUE"""),4992.0)</f>
        <v>4992</v>
      </c>
      <c r="AR46" s="252"/>
      <c r="AS46" s="881">
        <f>IFERROR(__xludf.DUMMYFUNCTION("""COMPUTED_VALUE"""),44927.0)</f>
        <v>44927</v>
      </c>
      <c r="AT46" s="881">
        <f>IFERROR(__xludf.DUMMYFUNCTION("""COMPUTED_VALUE"""),44927.0)</f>
        <v>44927</v>
      </c>
      <c r="AU46" s="252"/>
      <c r="AV46" s="252"/>
      <c r="AW46" s="252"/>
      <c r="AX46" s="252"/>
      <c r="AY46" s="252"/>
      <c r="AZ46" s="252"/>
    </row>
    <row r="47">
      <c r="A47" s="252" t="str">
        <f>IFERROR(__xludf.DUMMYFUNCTION("""COMPUTED_VALUE"""),"6941b564")</f>
        <v>6941b564</v>
      </c>
      <c r="B47" s="252" t="str">
        <f>IFERROR(__xludf.DUMMYFUNCTION("""COMPUTED_VALUE"""),"EXT-01 HYGY76")</f>
        <v>EXT-01 HYGY76</v>
      </c>
      <c r="C47" s="252" t="str">
        <f>IFERROR(__xludf.DUMMYFUNCTION("""COMPUTED_VALUE"""),"CAMIONETA")</f>
        <v>CAMIONETA</v>
      </c>
      <c r="D47" s="252" t="str">
        <f>IFERROR(__xludf.DUMMYFUNCTION("""COMPUTED_VALUE"""),"EXTERNO")</f>
        <v>EXTERNO</v>
      </c>
      <c r="E47" s="252" t="str">
        <f>IFERROR(__xludf.DUMMYFUNCTION("""COMPUTED_VALUE"""),"MAHINDRA")</f>
        <v>MAHINDRA</v>
      </c>
      <c r="F47" s="252"/>
      <c r="G47" s="252"/>
      <c r="H47" s="252"/>
      <c r="I47" s="252"/>
      <c r="J47" s="252" t="str">
        <f>IFERROR(__xludf.DUMMYFUNCTION("""COMPUTED_VALUE"""),"HYGY76")</f>
        <v>HYGY76</v>
      </c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  <c r="AA47" s="252"/>
      <c r="AB47" s="252" t="str">
        <f>IFERROR(__xludf.DUMMYFUNCTION("""COMPUTED_VALUE"""),"Fuera de la empresa")</f>
        <v>Fuera de la empresa</v>
      </c>
      <c r="AC47" s="252"/>
      <c r="AD47" s="252"/>
      <c r="AE47" s="252" t="str">
        <f>IFERROR(__xludf.DUMMYFUNCTION("""COMPUTED_VALUE"""),"Sin incidentes")</f>
        <v>Sin incidentes</v>
      </c>
      <c r="AF47" s="252"/>
      <c r="AG47" s="252" t="str">
        <f>IFERROR(__xludf.DUMMYFUNCTION("""COMPUTED_VALUE"""),"[EXT-01 HYGY76] - MAHINDRA ")</f>
        <v>[EXT-01 HYGY76] - MAHINDRA </v>
      </c>
      <c r="AH47" s="252">
        <f>IFERROR(__xludf.DUMMYFUNCTION("""COMPUTED_VALUE"""),249762.0)</f>
        <v>249762</v>
      </c>
      <c r="AI47" s="252">
        <f>IFERROR(__xludf.DUMMYFUNCTION("""COMPUTED_VALUE"""),250824.0)</f>
        <v>250824</v>
      </c>
      <c r="AJ47" s="882">
        <f>IFERROR(__xludf.DUMMYFUNCTION("""COMPUTED_VALUE"""),45826.63386574074)</f>
        <v>45826.63387</v>
      </c>
      <c r="AK47" s="882">
        <f>IFERROR(__xludf.DUMMYFUNCTION("""COMPUTED_VALUE"""),45826.63391203704)</f>
        <v>45826.63391</v>
      </c>
      <c r="AL47" s="880">
        <f>IFERROR(__xludf.DUMMYFUNCTION("""COMPUTED_VALUE"""),249000.0)</f>
        <v>249000</v>
      </c>
      <c r="AM47" s="880" t="str">
        <f>IFERROR(__xludf.DUMMYFUNCTION("""COMPUTED_VALUE"""),"")</f>
        <v/>
      </c>
      <c r="AN47" s="252"/>
      <c r="AO47" s="252" t="str">
        <f>IFERROR(__xludf.DUMMYFUNCTION("""COMPUTED_VALUE"""),"Km")</f>
        <v>Km</v>
      </c>
      <c r="AP47" s="252" t="str">
        <f>IFERROR(__xludf.DUMMYFUNCTION("""COMPUTED_VALUE"""),"IS251113113548")</f>
        <v>IS251113113548</v>
      </c>
      <c r="AQ47" s="252">
        <f>IFERROR(__xludf.DUMMYFUNCTION("""COMPUTED_VALUE"""),248720.0)</f>
        <v>248720</v>
      </c>
      <c r="AR47" s="252"/>
      <c r="AS47" s="881">
        <f>IFERROR(__xludf.DUMMYFUNCTION("""COMPUTED_VALUE"""),44927.0)</f>
        <v>44927</v>
      </c>
      <c r="AT47" s="881">
        <f>IFERROR(__xludf.DUMMYFUNCTION("""COMPUTED_VALUE"""),44927.0)</f>
        <v>44927</v>
      </c>
      <c r="AU47" s="252"/>
      <c r="AV47" s="252" t="str">
        <f>IFERROR(__xludf.DUMMYFUNCTION("""COMPUTED_VALUE"""),"RCO250618160946")</f>
        <v>RCO250618160946</v>
      </c>
      <c r="AW47" s="252">
        <f>IFERROR(__xludf.DUMMYFUNCTION("""COMPUTED_VALUE"""),29.2)</f>
        <v>29.2</v>
      </c>
      <c r="AX47" s="252">
        <f>IFERROR(__xludf.DUMMYFUNCTION("""COMPUTED_VALUE"""),0.0)</f>
        <v>0</v>
      </c>
      <c r="AY47" s="252">
        <f>IFERROR(__xludf.DUMMYFUNCTION("""COMPUTED_VALUE"""),-225734.0)</f>
        <v>-225734</v>
      </c>
      <c r="AZ47" s="881">
        <f>IFERROR(__xludf.DUMMYFUNCTION("""COMPUTED_VALUE"""),45826.0)</f>
        <v>45826</v>
      </c>
    </row>
    <row r="48">
      <c r="A48" s="252" t="str">
        <f>IFERROR(__xludf.DUMMYFUNCTION("""COMPUTED_VALUE"""),"6b2df3cf")</f>
        <v>6b2df3cf</v>
      </c>
      <c r="B48" s="252" t="str">
        <f>IFERROR(__xludf.DUMMYFUNCTION("""COMPUTED_VALUE"""),"CF-09 KOMATSU WA430 6")</f>
        <v>CF-09 KOMATSU WA430 6</v>
      </c>
      <c r="C48" s="252" t="str">
        <f>IFERROR(__xludf.DUMMYFUNCTION("""COMPUTED_VALUE"""),"CARGADOR FRONTAL")</f>
        <v>CARGADOR FRONTAL</v>
      </c>
      <c r="D48" s="252" t="str">
        <f>IFERROR(__xludf.DUMMYFUNCTION("""COMPUTED_VALUE"""),"CARGADOR FRONTAL")</f>
        <v>CARGADOR FRONTAL</v>
      </c>
      <c r="E48" s="252" t="str">
        <f>IFERROR(__xludf.DUMMYFUNCTION("""COMPUTED_VALUE"""),"KOMATSU")</f>
        <v>KOMATSU</v>
      </c>
      <c r="F48" s="252" t="str">
        <f>IFERROR(__xludf.DUMMYFUNCTION("""COMPUTED_VALUE"""),"WA430 6")</f>
        <v>WA430 6</v>
      </c>
      <c r="G48" s="252">
        <f>IFERROR(__xludf.DUMMYFUNCTION("""COMPUTED_VALUE"""),2012.0)</f>
        <v>2012</v>
      </c>
      <c r="H48" s="252" t="str">
        <f>IFERROR(__xludf.DUMMYFUNCTION("""COMPUTED_VALUE"""),"26862023")</f>
        <v>26862023</v>
      </c>
      <c r="I48" s="252"/>
      <c r="J48" s="252" t="str">
        <f>IFERROR(__xludf.DUMMYFUNCTION("""COMPUTED_VALUE"""),"DXGT18")</f>
        <v>DXGT18</v>
      </c>
      <c r="K48" s="252" t="str">
        <f>IFERROR(__xludf.DUMMYFUNCTION("""COMPUTED_VALUE"""),"COMERCIALIZADORA ECMA SPA")</f>
        <v>COMERCIALIZADORA ECMA SPA</v>
      </c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  <c r="AA48" s="252"/>
      <c r="AB48" s="252" t="str">
        <f>IFERROR(__xludf.DUMMYFUNCTION("""COMPUTED_VALUE"""),"Reparando en terreno")</f>
        <v>Reparando en terreno</v>
      </c>
      <c r="AC48" s="252"/>
      <c r="AD48" s="252">
        <f>IFERROR(__xludf.DUMMYFUNCTION("""COMPUTED_VALUE"""),262.0)</f>
        <v>262</v>
      </c>
      <c r="AE48" s="252" t="str">
        <f>IFERROR(__xludf.DUMMYFUNCTION("""COMPUTED_VALUE"""),"Sin incidentes")</f>
        <v>Sin incidentes</v>
      </c>
      <c r="AF48" s="252"/>
      <c r="AG48" s="252" t="str">
        <f>IFERROR(__xludf.DUMMYFUNCTION("""COMPUTED_VALUE"""),"[CF-09 KOMATSU WA430 6] - KOMATSU WA430 6")</f>
        <v>[CF-09 KOMATSU WA430 6] - KOMATSU WA430 6</v>
      </c>
      <c r="AH48" s="252">
        <f>IFERROR(__xludf.DUMMYFUNCTION("""COMPUTED_VALUE"""),17265.0)</f>
        <v>17265</v>
      </c>
      <c r="AI48" s="252">
        <f>IFERROR(__xludf.DUMMYFUNCTION("""COMPUTED_VALUE"""),1.0)</f>
        <v>1</v>
      </c>
      <c r="AJ48" s="882">
        <f>IFERROR(__xludf.DUMMYFUNCTION("""COMPUTED_VALUE"""),45994.427141203705)</f>
        <v>45994.42714</v>
      </c>
      <c r="AK48" s="882">
        <f>IFERROR(__xludf.DUMMYFUNCTION("""COMPUTED_VALUE"""),45986.37480324074)</f>
        <v>45986.3748</v>
      </c>
      <c r="AL48" s="880">
        <f>IFERROR(__xludf.DUMMYFUNCTION("""COMPUTED_VALUE"""),17603.0)</f>
        <v>17603</v>
      </c>
      <c r="AM48" s="880" t="str">
        <f>IFERROR(__xludf.DUMMYFUNCTION("""COMPUTED_VALUE"""),"")</f>
        <v/>
      </c>
      <c r="AN48" s="252" t="str">
        <f>IFERROR(__xludf.DUMMYFUNCTION("""COMPUTED_VALUE"""),"OT251110151531")</f>
        <v>OT251110151531</v>
      </c>
      <c r="AO48" s="252" t="str">
        <f>IFERROR(__xludf.DUMMYFUNCTION("""COMPUTED_VALUE"""),"Hr")</f>
        <v>Hr</v>
      </c>
      <c r="AP48" s="252"/>
      <c r="AQ48" s="252">
        <f>IFERROR(__xludf.DUMMYFUNCTION("""COMPUTED_VALUE"""),16773.0)</f>
        <v>16773</v>
      </c>
      <c r="AR48" s="252"/>
      <c r="AS48" s="881">
        <f>IFERROR(__xludf.DUMMYFUNCTION("""COMPUTED_VALUE"""),44927.0)</f>
        <v>44927</v>
      </c>
      <c r="AT48" s="881">
        <f>IFERROR(__xludf.DUMMYFUNCTION("""COMPUTED_VALUE"""),44927.0)</f>
        <v>44927</v>
      </c>
      <c r="AU48" s="252" t="str">
        <f>IFERROR(__xludf.DUMMYFUNCTION("""COMPUTED_VALUE"""),"RDC251126195533")</f>
        <v>RDC251126195533</v>
      </c>
      <c r="AV48" s="252" t="str">
        <f>IFERROR(__xludf.DUMMYFUNCTION("""COMPUTED_VALUE"""),"RCO251124121925")</f>
        <v>RCO251124121925</v>
      </c>
      <c r="AW48" s="252">
        <f>IFERROR(__xludf.DUMMYFUNCTION("""COMPUTED_VALUE"""),100.0)</f>
        <v>100</v>
      </c>
      <c r="AX48" s="252">
        <f>IFERROR(__xludf.DUMMYFUNCTION("""COMPUTED_VALUE"""),11.0)</f>
        <v>11</v>
      </c>
      <c r="AY48" s="252">
        <f>IFERROR(__xludf.DUMMYFUNCTION("""COMPUTED_VALUE"""),0.0)</f>
        <v>0</v>
      </c>
      <c r="AZ48" s="884">
        <f>IFERROR(__xludf.DUMMYFUNCTION("""COMPUTED_VALUE"""),45985.0)</f>
        <v>45985</v>
      </c>
    </row>
    <row r="49">
      <c r="A49" s="252" t="str">
        <f>IFERROR(__xludf.DUMMYFUNCTION("""COMPUTED_VALUE"""),"6dd1b12b")</f>
        <v>6dd1b12b</v>
      </c>
      <c r="B49" s="252" t="str">
        <f>IFERROR(__xludf.DUMMYFUNCTION("""COMPUTED_VALUE"""),"EQUIPO MENOR BARREDORA BROCE BW260] - BROCE")</f>
        <v>EQUIPO MENOR BARREDORA BROCE BW260] - BROCE</v>
      </c>
      <c r="C49" s="252" t="str">
        <f>IFERROR(__xludf.DUMMYFUNCTION("""COMPUTED_VALUE"""),"EQUIPO MENOR")</f>
        <v>EQUIPO MENOR</v>
      </c>
      <c r="D49" s="252" t="str">
        <f>IFERROR(__xludf.DUMMYFUNCTION("""COMPUTED_VALUE"""),"EQUIPO MENOR")</f>
        <v>EQUIPO MENOR</v>
      </c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 t="str">
        <f>IFERROR(__xludf.DUMMYFUNCTION("""COMPUTED_VALUE"""),"En producción")</f>
        <v>En producción</v>
      </c>
      <c r="AC49" s="252" t="str">
        <f>IFERROR(__xludf.DUMMYFUNCTION("""COMPUTED_VALUE"""),"MAQUINAS_Images/6dd1b12b.FOTO1.131822.jpg")</f>
        <v>MAQUINAS_Images/6dd1b12b.FOTO1.131822.jpg</v>
      </c>
      <c r="AD49" s="252">
        <f>IFERROR(__xludf.DUMMYFUNCTION("""COMPUTED_VALUE"""),1048.0)</f>
        <v>1048</v>
      </c>
      <c r="AE49" s="252" t="str">
        <f>IFERROR(__xludf.DUMMYFUNCTION("""COMPUTED_VALUE"""),"Sin incidentes")</f>
        <v>Sin incidentes</v>
      </c>
      <c r="AF49" s="252"/>
      <c r="AG49" s="252" t="str">
        <f>IFERROR(__xludf.DUMMYFUNCTION("""COMPUTED_VALUE"""),"[EQUIPO MENOR BARREDORA BROCE BW260] - BROCE] -  ")</f>
        <v>[EQUIPO MENOR BARREDORA BROCE BW260] - BROCE] -  </v>
      </c>
      <c r="AH49" s="252">
        <f>IFERROR(__xludf.DUMMYFUNCTION("""COMPUTED_VALUE"""),306.0)</f>
        <v>306</v>
      </c>
      <c r="AI49" s="252"/>
      <c r="AJ49" s="882">
        <f>IFERROR(__xludf.DUMMYFUNCTION("""COMPUTED_VALUE"""),46058.28056712963)</f>
        <v>46058.28057</v>
      </c>
      <c r="AK49" s="252"/>
      <c r="AL49" s="252"/>
      <c r="AM49" s="252"/>
      <c r="AN49" s="252"/>
      <c r="AO49" s="252"/>
      <c r="AP49" s="252"/>
      <c r="AQ49" s="252"/>
      <c r="AR49" s="252"/>
      <c r="AS49" s="881">
        <f>IFERROR(__xludf.DUMMYFUNCTION("""COMPUTED_VALUE"""),44927.0)</f>
        <v>44927</v>
      </c>
      <c r="AT49" s="881">
        <f>IFERROR(__xludf.DUMMYFUNCTION("""COMPUTED_VALUE"""),44927.0)</f>
        <v>44927</v>
      </c>
      <c r="AU49" s="252" t="str">
        <f>IFERROR(__xludf.DUMMYFUNCTION("""COMPUTED_VALUE"""),"RDC260205084257")</f>
        <v>RDC260205084257</v>
      </c>
      <c r="AV49" s="252" t="str">
        <f>IFERROR(__xludf.DUMMYFUNCTION("""COMPUTED_VALUE"""),"RCO260203104711")</f>
        <v>RCO260203104711</v>
      </c>
      <c r="AW49" s="252">
        <f>IFERROR(__xludf.DUMMYFUNCTION("""COMPUTED_VALUE"""),15.0)</f>
        <v>15</v>
      </c>
      <c r="AX49" s="252"/>
      <c r="AY49" s="252"/>
      <c r="AZ49" s="883">
        <f>IFERROR(__xludf.DUMMYFUNCTION("""COMPUTED_VALUE"""),46056.0)</f>
        <v>46056</v>
      </c>
    </row>
    <row r="50">
      <c r="A50" s="252" t="str">
        <f>IFERROR(__xludf.DUMMYFUNCTION("""COMPUTED_VALUE"""),"704594fd")</f>
        <v>704594fd</v>
      </c>
      <c r="B50" s="252" t="str">
        <f>IFERROR(__xludf.DUMMYFUNCTION("""COMPUTED_VALUE"""),"CT-20 BFTP53")</f>
        <v>CT-20 BFTP53</v>
      </c>
      <c r="C50" s="252" t="str">
        <f>IFERROR(__xludf.DUMMYFUNCTION("""COMPUTED_VALUE"""),"CAMION TOLVA")</f>
        <v>CAMION TOLVA</v>
      </c>
      <c r="D50" s="252" t="str">
        <f>IFERROR(__xludf.DUMMYFUNCTION("""COMPUTED_VALUE"""),"TOLVA")</f>
        <v>TOLVA</v>
      </c>
      <c r="E50" s="252" t="str">
        <f>IFERROR(__xludf.DUMMYFUNCTION("""COMPUTED_VALUE"""),"MERCEDEZ BENZ")</f>
        <v>MERCEDEZ BENZ</v>
      </c>
      <c r="F50" s="252"/>
      <c r="G50" s="252"/>
      <c r="H50" s="252"/>
      <c r="I50" s="252"/>
      <c r="J50" s="252" t="str">
        <f>IFERROR(__xludf.DUMMYFUNCTION("""COMPUTED_VALUE"""),"BFTP53")</f>
        <v>BFTP53</v>
      </c>
      <c r="K50" s="252"/>
      <c r="L50" s="252"/>
      <c r="M50" s="252"/>
      <c r="N50" s="252"/>
      <c r="O50" s="252"/>
      <c r="P50" s="252"/>
      <c r="Q50" s="252"/>
      <c r="R50" s="252"/>
      <c r="S50" s="252" t="str">
        <f>IFERROR(__xludf.DUMMYFUNCTION("""COMPUTED_VALUE"""),"15")</f>
        <v>15</v>
      </c>
      <c r="T50" s="252"/>
      <c r="U50" s="252"/>
      <c r="V50" s="252"/>
      <c r="W50" s="252"/>
      <c r="X50" s="252"/>
      <c r="Y50" s="252"/>
      <c r="Z50" s="252"/>
      <c r="AA50" s="252"/>
      <c r="AB50" s="252" t="str">
        <f>IFERROR(__xludf.DUMMYFUNCTION("""COMPUTED_VALUE"""),"Reparando en terreno")</f>
        <v>Reparando en terreno</v>
      </c>
      <c r="AC50" s="252"/>
      <c r="AD50" s="252">
        <f>IFERROR(__xludf.DUMMYFUNCTION("""COMPUTED_VALUE"""),78.0)</f>
        <v>78</v>
      </c>
      <c r="AE50" s="252" t="str">
        <f>IFERROR(__xludf.DUMMYFUNCTION("""COMPUTED_VALUE"""),"Sin incidentes")</f>
        <v>Sin incidentes</v>
      </c>
      <c r="AF50" s="252"/>
      <c r="AG50" s="252" t="str">
        <f>IFERROR(__xludf.DUMMYFUNCTION("""COMPUTED_VALUE"""),"[CT-20 BFTP53] - MERCEDEZ BENZ ")</f>
        <v>[CT-20 BFTP53] - MERCEDEZ BENZ </v>
      </c>
      <c r="AH50" s="252">
        <f>IFERROR(__xludf.DUMMYFUNCTION("""COMPUTED_VALUE"""),16.0)</f>
        <v>16</v>
      </c>
      <c r="AI50" s="252">
        <f>IFERROR(__xludf.DUMMYFUNCTION("""COMPUTED_VALUE"""),376156.0)</f>
        <v>376156</v>
      </c>
      <c r="AJ50" s="882">
        <f>IFERROR(__xludf.DUMMYFUNCTION("""COMPUTED_VALUE"""),46078.37163194444)</f>
        <v>46078.37163</v>
      </c>
      <c r="AK50" s="882">
        <f>IFERROR(__xludf.DUMMYFUNCTION("""COMPUTED_VALUE"""),46078.37167824074)</f>
        <v>46078.37168</v>
      </c>
      <c r="AL50" s="880">
        <f>IFERROR(__xludf.DUMMYFUNCTION("""COMPUTED_VALUE"""),64.0)</f>
        <v>64</v>
      </c>
      <c r="AM50" s="252"/>
      <c r="AN50" s="252" t="str">
        <f>IFERROR(__xludf.DUMMYFUNCTION("""COMPUTED_VALUE"""),"OT251209101743")</f>
        <v>OT251209101743</v>
      </c>
      <c r="AO50" s="252" t="str">
        <f>IFERROR(__xludf.DUMMYFUNCTION("""COMPUTED_VALUE"""),"Hr")</f>
        <v>Hr</v>
      </c>
      <c r="AP50" s="252" t="str">
        <f>IFERROR(__xludf.DUMMYFUNCTION("""COMPUTED_VALUE"""),"IS260209123106")</f>
        <v>IS260209123106</v>
      </c>
      <c r="AQ50" s="252">
        <f>IFERROR(__xludf.DUMMYFUNCTION("""COMPUTED_VALUE"""),7497.0)</f>
        <v>7497</v>
      </c>
      <c r="AR50" s="252">
        <f>IFERROR(__xludf.DUMMYFUNCTION("""COMPUTED_VALUE"""),7497.0)</f>
        <v>7497</v>
      </c>
      <c r="AS50" s="881">
        <f>IFERROR(__xludf.DUMMYFUNCTION("""COMPUTED_VALUE"""),46070.0)</f>
        <v>46070</v>
      </c>
      <c r="AT50" s="881">
        <f>IFERROR(__xludf.DUMMYFUNCTION("""COMPUTED_VALUE"""),44927.0)</f>
        <v>44927</v>
      </c>
      <c r="AU50" s="252" t="str">
        <f>IFERROR(__xludf.DUMMYFUNCTION("""COMPUTED_VALUE"""),"RDC260225090536")</f>
        <v>RDC260225090536</v>
      </c>
      <c r="AV50" s="252" t="str">
        <f>IFERROR(__xludf.DUMMYFUNCTION("""COMPUTED_VALUE"""),"RCO260217101057")</f>
        <v>RCO260217101057</v>
      </c>
      <c r="AW50" s="252">
        <f>IFERROR(__xludf.DUMMYFUNCTION("""COMPUTED_VALUE"""),169.0)</f>
        <v>169</v>
      </c>
      <c r="AX50" s="252">
        <f>IFERROR(__xludf.DUMMYFUNCTION("""COMPUTED_VALUE"""),21.0)</f>
        <v>21</v>
      </c>
      <c r="AY50" s="252">
        <f>IFERROR(__xludf.DUMMYFUNCTION("""COMPUTED_VALUE"""),0.0)</f>
        <v>0</v>
      </c>
      <c r="AZ50" s="884">
        <f>IFERROR(__xludf.DUMMYFUNCTION("""COMPUTED_VALUE"""),46070.0)</f>
        <v>46070</v>
      </c>
    </row>
    <row r="51">
      <c r="A51" s="252" t="str">
        <f>IFERROR(__xludf.DUMMYFUNCTION("""COMPUTED_VALUE"""),"70eb727f")</f>
        <v>70eb727f</v>
      </c>
      <c r="B51" s="252" t="str">
        <f>IFERROR(__xludf.DUMMYFUNCTION("""COMPUTED_VALUE"""),"CK-03 TS2119")</f>
        <v>CK-03 TS2119</v>
      </c>
      <c r="C51" s="252" t="str">
        <f>IFERROR(__xludf.DUMMYFUNCTION("""COMPUTED_VALUE"""),"CAMION GANADERO")</f>
        <v>CAMION GANADERO</v>
      </c>
      <c r="D51" s="252" t="str">
        <f>IFERROR(__xludf.DUMMYFUNCTION("""COMPUTED_VALUE"""),"CAMION GANADERO")</f>
        <v>CAMION GANADERO</v>
      </c>
      <c r="E51" s="252" t="str">
        <f>IFERROR(__xludf.DUMMYFUNCTION("""COMPUTED_VALUE"""),"CHEVROLET")</f>
        <v>CHEVROLET</v>
      </c>
      <c r="F51" s="252" t="str">
        <f>IFERROR(__xludf.DUMMYFUNCTION("""COMPUTED_VALUE"""),"KODIAK 241")</f>
        <v>KODIAK 241</v>
      </c>
      <c r="G51" s="252">
        <f>IFERROR(__xludf.DUMMYFUNCTION("""COMPUTED_VALUE"""),2000.0)</f>
        <v>2000</v>
      </c>
      <c r="H51" s="252" t="str">
        <f>IFERROR(__xludf.DUMMYFUNCTION("""COMPUTED_VALUE"""),"2FR03174")</f>
        <v>2FR03174</v>
      </c>
      <c r="I51" s="252" t="str">
        <f>IFERROR(__xludf.DUMMYFUNCTION("""COMPUTED_VALUE"""),"9GDP7H1J8WB861024")</f>
        <v>9GDP7H1J8WB861024</v>
      </c>
      <c r="J51" s="252" t="str">
        <f>IFERROR(__xludf.DUMMYFUNCTION("""COMPUTED_VALUE"""),"TS2119")</f>
        <v>TS2119</v>
      </c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  <c r="AA51" s="252"/>
      <c r="AB51" s="252" t="str">
        <f>IFERROR(__xludf.DUMMYFUNCTION("""COMPUTED_VALUE"""),"En producción")</f>
        <v>En producción</v>
      </c>
      <c r="AC51" s="252"/>
      <c r="AD51" s="252">
        <f>IFERROR(__xludf.DUMMYFUNCTION("""COMPUTED_VALUE"""),1034.0)</f>
        <v>1034</v>
      </c>
      <c r="AE51" s="252" t="str">
        <f>IFERROR(__xludf.DUMMYFUNCTION("""COMPUTED_VALUE"""),"Sin incidentes")</f>
        <v>Sin incidentes</v>
      </c>
      <c r="AF51" s="252"/>
      <c r="AG51" s="252" t="str">
        <f>IFERROR(__xludf.DUMMYFUNCTION("""COMPUTED_VALUE"""),"[CK-03 TS2119] - CHEVROLET KODIAK 241")</f>
        <v>[CK-03 TS2119] - CHEVROLET KODIAK 241</v>
      </c>
      <c r="AH51" s="252">
        <f>IFERROR(__xludf.DUMMYFUNCTION("""COMPUTED_VALUE"""),5173.0)</f>
        <v>5173</v>
      </c>
      <c r="AI51" s="252">
        <f>IFERROR(__xludf.DUMMYFUNCTION("""COMPUTED_VALUE"""),342349.0)</f>
        <v>342349</v>
      </c>
      <c r="AJ51" s="882">
        <f>IFERROR(__xludf.DUMMYFUNCTION("""COMPUTED_VALUE"""),46064.42423611111)</f>
        <v>46064.42424</v>
      </c>
      <c r="AK51" s="882">
        <f>IFERROR(__xludf.DUMMYFUNCTION("""COMPUTED_VALUE"""),46064.424305555556)</f>
        <v>46064.42431</v>
      </c>
      <c r="AL51" s="252"/>
      <c r="AM51" s="252"/>
      <c r="AN51" s="252"/>
      <c r="AO51" s="252" t="str">
        <f>IFERROR(__xludf.DUMMYFUNCTION("""COMPUTED_VALUE"""),"Km")</f>
        <v>Km</v>
      </c>
      <c r="AP51" s="252" t="str">
        <f>IFERROR(__xludf.DUMMYFUNCTION("""COMPUTED_VALUE"""),"IS260128171452")</f>
        <v>IS260128171452</v>
      </c>
      <c r="AQ51" s="252"/>
      <c r="AR51" s="252"/>
      <c r="AS51" s="881">
        <f>IFERROR(__xludf.DUMMYFUNCTION("""COMPUTED_VALUE"""),45993.0)</f>
        <v>45993</v>
      </c>
      <c r="AT51" s="881">
        <f>IFERROR(__xludf.DUMMYFUNCTION("""COMPUTED_VALUE"""),45993.0)</f>
        <v>45993</v>
      </c>
      <c r="AU51" s="252" t="str">
        <f>IFERROR(__xludf.DUMMYFUNCTION("""COMPUTED_VALUE"""),"RDC260211120700")</f>
        <v>RDC260211120700</v>
      </c>
      <c r="AV51" s="252" t="str">
        <f>IFERROR(__xludf.DUMMYFUNCTION("""COMPUTED_VALUE"""),"RCO260122082446")</f>
        <v>RCO260122082446</v>
      </c>
      <c r="AW51" s="252">
        <f>IFERROR(__xludf.DUMMYFUNCTION("""COMPUTED_VALUE"""),136.0)</f>
        <v>136</v>
      </c>
      <c r="AX51" s="252">
        <f>IFERROR(__xludf.DUMMYFUNCTION("""COMPUTED_VALUE"""),0.0)</f>
        <v>0</v>
      </c>
      <c r="AY51" s="252">
        <f>IFERROR(__xludf.DUMMYFUNCTION("""COMPUTED_VALUE"""),247.0)</f>
        <v>247</v>
      </c>
      <c r="AZ51" s="883">
        <f>IFERROR(__xludf.DUMMYFUNCTION("""COMPUTED_VALUE"""),46044.0)</f>
        <v>46044</v>
      </c>
    </row>
    <row r="52">
      <c r="A52" s="252" t="str">
        <f>IFERROR(__xludf.DUMMYFUNCTION("""COMPUTED_VALUE"""),"716273c8")</f>
        <v>716273c8</v>
      </c>
      <c r="B52" s="252" t="str">
        <f>IFERROR(__xludf.DUMMYFUNCTION("""COMPUTED_VALUE"""),"EXT-04 RETROEXCAVADORA")</f>
        <v>EXT-04 RETROEXCAVADORA</v>
      </c>
      <c r="C52" s="252" t="str">
        <f>IFERROR(__xludf.DUMMYFUNCTION("""COMPUTED_VALUE"""),"RETROEXCAVADORA")</f>
        <v>RETROEXCAVADORA</v>
      </c>
      <c r="D52" s="252" t="str">
        <f>IFERROR(__xludf.DUMMYFUNCTION("""COMPUTED_VALUE"""),"EXTERNO")</f>
        <v>EXTERNO</v>
      </c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  <c r="AA52" s="252"/>
      <c r="AB52" s="252" t="str">
        <f>IFERROR(__xludf.DUMMYFUNCTION("""COMPUTED_VALUE"""),"En producción")</f>
        <v>En producción</v>
      </c>
      <c r="AC52" s="252"/>
      <c r="AD52" s="252">
        <f>IFERROR(__xludf.DUMMYFUNCTION("""COMPUTED_VALUE"""),332.0)</f>
        <v>332</v>
      </c>
      <c r="AE52" s="252" t="str">
        <f>IFERROR(__xludf.DUMMYFUNCTION("""COMPUTED_VALUE"""),"Sin incidentes")</f>
        <v>Sin incidentes</v>
      </c>
      <c r="AF52" s="252"/>
      <c r="AG52" s="252" t="str">
        <f>IFERROR(__xludf.DUMMYFUNCTION("""COMPUTED_VALUE"""),"[EXT-04 RETROEXCAVADORA] -  ")</f>
        <v>[EXT-04 RETROEXCAVADORA] -  </v>
      </c>
      <c r="AH52" s="252">
        <f>IFERROR(__xludf.DUMMYFUNCTION("""COMPUTED_VALUE"""),2348.0)</f>
        <v>2348</v>
      </c>
      <c r="AI52" s="252"/>
      <c r="AJ52" s="882">
        <f>IFERROR(__xludf.DUMMYFUNCTION("""COMPUTED_VALUE"""),45723.56261574074)</f>
        <v>45723.56262</v>
      </c>
      <c r="AK52" s="252"/>
      <c r="AL52" s="880">
        <f>IFERROR(__xludf.DUMMYFUNCTION("""COMPUTED_VALUE"""),2350.0)</f>
        <v>2350</v>
      </c>
      <c r="AM52" s="880" t="str">
        <f>IFERROR(__xludf.DUMMYFUNCTION("""COMPUTED_VALUE"""),"")</f>
        <v/>
      </c>
      <c r="AN52" s="252"/>
      <c r="AO52" s="252" t="str">
        <f>IFERROR(__xludf.DUMMYFUNCTION("""COMPUTED_VALUE"""),"Hr")</f>
        <v>Hr</v>
      </c>
      <c r="AP52" s="252"/>
      <c r="AQ52" s="252">
        <f>IFERROR(__xludf.DUMMYFUNCTION("""COMPUTED_VALUE"""),2348.0)</f>
        <v>2348</v>
      </c>
      <c r="AR52" s="252"/>
      <c r="AS52" s="881">
        <f>IFERROR(__xludf.DUMMYFUNCTION("""COMPUTED_VALUE"""),44927.0)</f>
        <v>44927</v>
      </c>
      <c r="AT52" s="881">
        <f>IFERROR(__xludf.DUMMYFUNCTION("""COMPUTED_VALUE"""),44927.0)</f>
        <v>44927</v>
      </c>
      <c r="AU52" s="252" t="str">
        <f>IFERROR(__xludf.DUMMYFUNCTION("""COMPUTED_VALUE"""),"RDC241119164925")</f>
        <v>RDC241119164925</v>
      </c>
      <c r="AV52" s="252"/>
      <c r="AW52" s="252"/>
      <c r="AX52" s="252"/>
      <c r="AY52" s="252"/>
      <c r="AZ52" s="252"/>
    </row>
    <row r="53">
      <c r="A53" s="252" t="str">
        <f>IFERROR(__xludf.DUMMYFUNCTION("""COMPUTED_VALUE"""),"80564574")</f>
        <v>80564574</v>
      </c>
      <c r="B53" s="252" t="str">
        <f>IFERROR(__xludf.DUMMYFUNCTION("""COMPUTED_VALUE"""),"B-03")</f>
        <v>B-03</v>
      </c>
      <c r="C53" s="252" t="str">
        <f>IFERROR(__xludf.DUMMYFUNCTION("""COMPUTED_VALUE"""),"Batea")</f>
        <v>Batea</v>
      </c>
      <c r="D53" s="252" t="str">
        <f>IFERROR(__xludf.DUMMYFUNCTION("""COMPUTED_VALUE"""),"BATEA")</f>
        <v>BATEA</v>
      </c>
      <c r="E53" s="252" t="str">
        <f>IFERROR(__xludf.DUMMYFUNCTION("""COMPUTED_VALUE"""),"TREMACK")</f>
        <v>TREMACK</v>
      </c>
      <c r="F53" s="252" t="str">
        <f>IFERROR(__xludf.DUMMYFUNCTION("""COMPUTED_VALUE"""),"SRTTT203N")</f>
        <v>SRTTT203N</v>
      </c>
      <c r="G53" s="252"/>
      <c r="H53" s="252"/>
      <c r="I53" s="252" t="str">
        <f>IFERROR(__xludf.DUMMYFUNCTION("""COMPUTED_VALUE"""),"4077")</f>
        <v>4077</v>
      </c>
      <c r="J53" s="252" t="str">
        <f>IFERROR(__xludf.DUMMYFUNCTION("""COMPUTED_VALUE"""),"JB1879")</f>
        <v>JB1879</v>
      </c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  <c r="AA53" s="252"/>
      <c r="AB53" s="252" t="str">
        <f>IFERROR(__xludf.DUMMYFUNCTION("""COMPUTED_VALUE"""),"Patio LL")</f>
        <v>Patio LL</v>
      </c>
      <c r="AC53" s="252"/>
      <c r="AD53" s="252"/>
      <c r="AE53" s="252" t="str">
        <f>IFERROR(__xludf.DUMMYFUNCTION("""COMPUTED_VALUE"""),"Sin incidentes")</f>
        <v>Sin incidentes</v>
      </c>
      <c r="AF53" s="252"/>
      <c r="AG53" s="252" t="str">
        <f>IFERROR(__xludf.DUMMYFUNCTION("""COMPUTED_VALUE"""),"[B-03] - TREMACK SRTTT203N")</f>
        <v>[B-03] - TREMACK SRTTT203N</v>
      </c>
      <c r="AH53" s="252">
        <f>IFERROR(__xludf.DUMMYFUNCTION("""COMPUTED_VALUE"""),1.0)</f>
        <v>1</v>
      </c>
      <c r="AI53" s="252">
        <f>IFERROR(__xludf.DUMMYFUNCTION("""COMPUTED_VALUE"""),1.0)</f>
        <v>1</v>
      </c>
      <c r="AJ53" s="882">
        <f>IFERROR(__xludf.DUMMYFUNCTION("""COMPUTED_VALUE"""),46093.4178125)</f>
        <v>46093.41781</v>
      </c>
      <c r="AK53" s="882">
        <f>IFERROR(__xludf.DUMMYFUNCTION("""COMPUTED_VALUE"""),46093.41784722222)</f>
        <v>46093.41785</v>
      </c>
      <c r="AL53" s="880" t="str">
        <f>IFERROR(__xludf.DUMMYFUNCTION("""COMPUTED_VALUE"""),"")</f>
        <v/>
      </c>
      <c r="AM53" s="880" t="str">
        <f>IFERROR(__xludf.DUMMYFUNCTION("""COMPUTED_VALUE"""),"")</f>
        <v/>
      </c>
      <c r="AN53" s="252"/>
      <c r="AO53" s="252" t="str">
        <f>IFERROR(__xludf.DUMMYFUNCTION("""COMPUTED_VALUE"""),"N/A")</f>
        <v>N/A</v>
      </c>
      <c r="AP53" s="252"/>
      <c r="AQ53" s="252"/>
      <c r="AR53" s="252"/>
      <c r="AS53" s="881">
        <f>IFERROR(__xludf.DUMMYFUNCTION("""COMPUTED_VALUE"""),44927.0)</f>
        <v>44927</v>
      </c>
      <c r="AT53" s="881">
        <f>IFERROR(__xludf.DUMMYFUNCTION("""COMPUTED_VALUE"""),44927.0)</f>
        <v>44927</v>
      </c>
      <c r="AU53" s="252"/>
      <c r="AV53" s="252"/>
      <c r="AW53" s="252"/>
      <c r="AX53" s="252"/>
      <c r="AY53" s="252"/>
      <c r="AZ53" s="252"/>
    </row>
    <row r="54">
      <c r="A54" s="252" t="str">
        <f>IFERROR(__xludf.DUMMYFUNCTION("""COMPUTED_VALUE"""),"80f5078d")</f>
        <v>80f5078d</v>
      </c>
      <c r="B54" s="252" t="str">
        <f>IFERROR(__xludf.DUMMYFUNCTION("""COMPUTED_VALUE"""),"EX-19 VHTG55")</f>
        <v>EX-19 VHTG55</v>
      </c>
      <c r="C54" s="252" t="str">
        <f>IFERROR(__xludf.DUMMYFUNCTION("""COMPUTED_VALUE"""),"EXCAVADORA")</f>
        <v>EXCAVADORA</v>
      </c>
      <c r="D54" s="252" t="str">
        <f>IFERROR(__xludf.DUMMYFUNCTION("""COMPUTED_VALUE"""),"EXCAVADORA")</f>
        <v>EXCAVADORA</v>
      </c>
      <c r="E54" s="252" t="str">
        <f>IFERROR(__xludf.DUMMYFUNCTION("""COMPUTED_VALUE"""),"KOMATSU")</f>
        <v>KOMATSU</v>
      </c>
      <c r="F54" s="252" t="str">
        <f>IFERROR(__xludf.DUMMYFUNCTION("""COMPUTED_VALUE"""),"PC210LC-10M0")</f>
        <v>PC210LC-10M0</v>
      </c>
      <c r="G54" s="252">
        <f>IFERROR(__xludf.DUMMYFUNCTION("""COMPUTED_VALUE"""),2025.0)</f>
        <v>2025</v>
      </c>
      <c r="H54" s="252" t="str">
        <f>IFERROR(__xludf.DUMMYFUNCTION("""COMPUTED_VALUE"""),"26782712")</f>
        <v>26782712</v>
      </c>
      <c r="I54" s="252" t="str">
        <f>IFERROR(__xludf.DUMMYFUNCTION("""COMPUTED_VALUE"""),"601983")</f>
        <v>601983</v>
      </c>
      <c r="J54" s="252"/>
      <c r="K54" s="252" t="str">
        <f>IFERROR(__xludf.DUMMYFUNCTION("""COMPUTED_VALUE"""),"HARCHA MAQUINARIA")</f>
        <v>HARCHA MAQUINARIA</v>
      </c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  <c r="AA54" s="252"/>
      <c r="AB54" s="252" t="str">
        <f>IFERROR(__xludf.DUMMYFUNCTION("""COMPUTED_VALUE"""),"En producción")</f>
        <v>En producción</v>
      </c>
      <c r="AC54" s="252" t="str">
        <f>IFERROR(__xludf.DUMMYFUNCTION("""COMPUTED_VALUE"""),"MAQUINAS_Images/80f5078d.FOTO1.134234.jpg")</f>
        <v>MAQUINAS_Images/80f5078d.FOTO1.134234.jpg</v>
      </c>
      <c r="AD54" s="252">
        <f>IFERROR(__xludf.DUMMYFUNCTION("""COMPUTED_VALUE"""),916.0)</f>
        <v>916</v>
      </c>
      <c r="AE54" s="252" t="str">
        <f>IFERROR(__xludf.DUMMYFUNCTION("""COMPUTED_VALUE"""),"Sin incidentes")</f>
        <v>Sin incidentes</v>
      </c>
      <c r="AF54" s="252"/>
      <c r="AG54" s="252" t="str">
        <f>IFERROR(__xludf.DUMMYFUNCTION("""COMPUTED_VALUE"""),"[EX-19 VHTG55] - KOMATSU PC210LC-10M0")</f>
        <v>[EX-19 VHTG55] - KOMATSU PC210LC-10M0</v>
      </c>
      <c r="AH54" s="252">
        <f>IFERROR(__xludf.DUMMYFUNCTION("""COMPUTED_VALUE"""),1041.0)</f>
        <v>1041</v>
      </c>
      <c r="AI54" s="252"/>
      <c r="AJ54" s="882">
        <f>IFERROR(__xludf.DUMMYFUNCTION("""COMPUTED_VALUE"""),46095.69336805555)</f>
        <v>46095.69337</v>
      </c>
      <c r="AK54" s="252"/>
      <c r="AL54" s="880">
        <f>IFERROR(__xludf.DUMMYFUNCTION("""COMPUTED_VALUE"""),1372.0)</f>
        <v>1372</v>
      </c>
      <c r="AM54" s="252"/>
      <c r="AN54" s="252" t="str">
        <f>IFERROR(__xludf.DUMMYFUNCTION("""COMPUTED_VALUE"""),"OT260312210851")</f>
        <v>OT260312210851</v>
      </c>
      <c r="AO54" s="252" t="str">
        <f>IFERROR(__xludf.DUMMYFUNCTION("""COMPUTED_VALUE"""),"Hr")</f>
        <v>Hr</v>
      </c>
      <c r="AP54" s="252"/>
      <c r="AQ54" s="252"/>
      <c r="AR54" s="252"/>
      <c r="AS54" s="881">
        <f>IFERROR(__xludf.DUMMYFUNCTION("""COMPUTED_VALUE"""),45883.0)</f>
        <v>45883</v>
      </c>
      <c r="AT54" s="881">
        <f>IFERROR(__xludf.DUMMYFUNCTION("""COMPUTED_VALUE"""),45883.0)</f>
        <v>45883</v>
      </c>
      <c r="AU54" s="252" t="str">
        <f>IFERROR(__xludf.DUMMYFUNCTION("""COMPUTED_VALUE"""),"RDC260309092239")</f>
        <v>RDC260309092239</v>
      </c>
      <c r="AV54" s="252" t="str">
        <f>IFERROR(__xludf.DUMMYFUNCTION("""COMPUTED_VALUE"""),"RCO260314181725")</f>
        <v>RCO260314181725</v>
      </c>
      <c r="AW54" s="252">
        <f>IFERROR(__xludf.DUMMYFUNCTION("""COMPUTED_VALUE"""),367.0)</f>
        <v>367</v>
      </c>
      <c r="AX54" s="252">
        <f>IFERROR(__xludf.DUMMYFUNCTION("""COMPUTED_VALUE"""),27.0)</f>
        <v>27</v>
      </c>
      <c r="AY54" s="252"/>
      <c r="AZ54" s="883">
        <f>IFERROR(__xludf.DUMMYFUNCTION("""COMPUTED_VALUE"""),46095.0)</f>
        <v>46095</v>
      </c>
    </row>
    <row r="55">
      <c r="A55" s="252" t="str">
        <f>IFERROR(__xludf.DUMMYFUNCTION("""COMPUTED_VALUE"""),"85dee624")</f>
        <v>85dee624</v>
      </c>
      <c r="B55" s="252" t="str">
        <f>IFERROR(__xludf.DUMMYFUNCTION("""COMPUTED_VALUE"""),"EX-20")</f>
        <v>EX-20</v>
      </c>
      <c r="C55" s="252" t="str">
        <f>IFERROR(__xludf.DUMMYFUNCTION("""COMPUTED_VALUE"""),"EXCAVADORA")</f>
        <v>EXCAVADORA</v>
      </c>
      <c r="D55" s="252" t="str">
        <f>IFERROR(__xludf.DUMMYFUNCTION("""COMPUTED_VALUE"""),"EXCAVADORA")</f>
        <v>EXCAVADORA</v>
      </c>
      <c r="E55" s="252" t="str">
        <f>IFERROR(__xludf.DUMMYFUNCTION("""COMPUTED_VALUE"""),"KOMATSU")</f>
        <v>KOMATSU</v>
      </c>
      <c r="F55" s="252" t="str">
        <f>IFERROR(__xludf.DUMMYFUNCTION("""COMPUTED_VALUE"""),"PC290LC-11E0")</f>
        <v>PC290LC-11E0</v>
      </c>
      <c r="G55" s="252">
        <f>IFERROR(__xludf.DUMMYFUNCTION("""COMPUTED_VALUE"""),2026.0)</f>
        <v>2026</v>
      </c>
      <c r="H55" s="252" t="str">
        <f>IFERROR(__xludf.DUMMYFUNCTION("""COMPUTED_VALUE"""),"26811100")</f>
        <v>26811100</v>
      </c>
      <c r="I55" s="252" t="str">
        <f>IFERROR(__xludf.DUMMYFUNCTION("""COMPUTED_VALUE"""),"35559")</f>
        <v>35559</v>
      </c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  <c r="AA55" s="252"/>
      <c r="AB55" s="252" t="str">
        <f>IFERROR(__xludf.DUMMYFUNCTION("""COMPUTED_VALUE"""),"En producción")</f>
        <v>En producción</v>
      </c>
      <c r="AC55" s="252" t="str">
        <f>IFERROR(__xludf.DUMMYFUNCTION("""COMPUTED_VALUE"""),"MAQUINAS_Images/85dee624.FOTO1.184250.jpg")</f>
        <v>MAQUINAS_Images/85dee624.FOTO1.184250.jpg</v>
      </c>
      <c r="AD55" s="252">
        <f>IFERROR(__xludf.DUMMYFUNCTION("""COMPUTED_VALUE"""),948.0)</f>
        <v>948</v>
      </c>
      <c r="AE55" s="252" t="str">
        <f>IFERROR(__xludf.DUMMYFUNCTION("""COMPUTED_VALUE"""),"Sin incidentes")</f>
        <v>Sin incidentes</v>
      </c>
      <c r="AF55" s="252"/>
      <c r="AG55" s="252" t="str">
        <f>IFERROR(__xludf.DUMMYFUNCTION("""COMPUTED_VALUE"""),"[EX-20] - KOMATSU PC290LC-11E0")</f>
        <v>[EX-20] - KOMATSU PC290LC-11E0</v>
      </c>
      <c r="AH55" s="252">
        <f>IFERROR(__xludf.DUMMYFUNCTION("""COMPUTED_VALUE"""),806.0)</f>
        <v>806</v>
      </c>
      <c r="AI55" s="252"/>
      <c r="AJ55" s="882">
        <f>IFERROR(__xludf.DUMMYFUNCTION("""COMPUTED_VALUE"""),46095.7265625)</f>
        <v>46095.72656</v>
      </c>
      <c r="AK55" s="252"/>
      <c r="AL55" s="880">
        <f>IFERROR(__xludf.DUMMYFUNCTION("""COMPUTED_VALUE"""),897.0)</f>
        <v>897</v>
      </c>
      <c r="AM55" s="252"/>
      <c r="AN55" s="252" t="str">
        <f>IFERROR(__xludf.DUMMYFUNCTION("""COMPUTED_VALUE"""),"OT260210154136")</f>
        <v>OT260210154136</v>
      </c>
      <c r="AO55" s="252" t="str">
        <f>IFERROR(__xludf.DUMMYFUNCTION("""COMPUTED_VALUE"""),"Hr")</f>
        <v>Hr</v>
      </c>
      <c r="AP55" s="252"/>
      <c r="AQ55" s="252"/>
      <c r="AR55" s="252"/>
      <c r="AS55" s="881">
        <f>IFERROR(__xludf.DUMMYFUNCTION("""COMPUTED_VALUE"""),45940.0)</f>
        <v>45940</v>
      </c>
      <c r="AT55" s="881">
        <f>IFERROR(__xludf.DUMMYFUNCTION("""COMPUTED_VALUE"""),45940.0)</f>
        <v>45940</v>
      </c>
      <c r="AU55" s="252" t="str">
        <f>IFERROR(__xludf.DUMMYFUNCTION("""COMPUTED_VALUE"""),"RDC260306113227")</f>
        <v>RDC260306113227</v>
      </c>
      <c r="AV55" s="252" t="str">
        <f>IFERROR(__xludf.DUMMYFUNCTION("""COMPUTED_VALUE"""),"RCO260314192341")</f>
        <v>RCO260314192341</v>
      </c>
      <c r="AW55" s="252">
        <f>IFERROR(__xludf.DUMMYFUNCTION("""COMPUTED_VALUE"""),256.0)</f>
        <v>256</v>
      </c>
      <c r="AX55" s="252">
        <f>IFERROR(__xludf.DUMMYFUNCTION("""COMPUTED_VALUE"""),3.0)</f>
        <v>3</v>
      </c>
      <c r="AY55" s="252"/>
      <c r="AZ55" s="883">
        <f>IFERROR(__xludf.DUMMYFUNCTION("""COMPUTED_VALUE"""),46095.0)</f>
        <v>46095</v>
      </c>
    </row>
    <row r="56">
      <c r="A56" s="252" t="str">
        <f>IFERROR(__xludf.DUMMYFUNCTION("""COMPUTED_VALUE"""),"87eb0330")</f>
        <v>87eb0330</v>
      </c>
      <c r="B56" s="252" t="str">
        <f>IFERROR(__xludf.DUMMYFUNCTION("""COMPUTED_VALUE"""),"EQUIPO MENOR")</f>
        <v>EQUIPO MENOR</v>
      </c>
      <c r="C56" s="252" t="str">
        <f>IFERROR(__xludf.DUMMYFUNCTION("""COMPUTED_VALUE"""),"EQUIPO MENOR")</f>
        <v>EQUIPO MENOR</v>
      </c>
      <c r="D56" s="252" t="str">
        <f>IFERROR(__xludf.DUMMYFUNCTION("""COMPUTED_VALUE"""),"EQUIPO MENOR")</f>
        <v>EQUIPO MENOR</v>
      </c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A56" s="252"/>
      <c r="AB56" s="252" t="str">
        <f>IFERROR(__xludf.DUMMYFUNCTION("""COMPUTED_VALUE"""),"Patio LL")</f>
        <v>Patio LL</v>
      </c>
      <c r="AC56" s="252"/>
      <c r="AD56" s="252"/>
      <c r="AE56" s="252" t="str">
        <f>IFERROR(__xludf.DUMMYFUNCTION("""COMPUTED_VALUE"""),"Sin incidentes")</f>
        <v>Sin incidentes</v>
      </c>
      <c r="AF56" s="252"/>
      <c r="AG56" s="252" t="str">
        <f>IFERROR(__xludf.DUMMYFUNCTION("""COMPUTED_VALUE"""),"[EQUIPO MENOR] -  ")</f>
        <v>[EQUIPO MENOR] -  </v>
      </c>
      <c r="AH56" s="252">
        <f>IFERROR(__xludf.DUMMYFUNCTION("""COMPUTED_VALUE"""),107284.0)</f>
        <v>107284</v>
      </c>
      <c r="AI56" s="252">
        <f>IFERROR(__xludf.DUMMYFUNCTION("""COMPUTED_VALUE"""),316785.0)</f>
        <v>316785</v>
      </c>
      <c r="AJ56" s="882">
        <f>IFERROR(__xludf.DUMMYFUNCTION("""COMPUTED_VALUE"""),46096.63300925926)</f>
        <v>46096.63301</v>
      </c>
      <c r="AK56" s="882">
        <f>IFERROR(__xludf.DUMMYFUNCTION("""COMPUTED_VALUE"""),46096.633055555554)</f>
        <v>46096.63306</v>
      </c>
      <c r="AL56" s="880">
        <f>IFERROR(__xludf.DUMMYFUNCTION("""COMPUTED_VALUE"""),9700.0)</f>
        <v>9700</v>
      </c>
      <c r="AM56" s="880" t="str">
        <f>IFERROR(__xludf.DUMMYFUNCTION("""COMPUTED_VALUE"""),"")</f>
        <v/>
      </c>
      <c r="AN56" s="252"/>
      <c r="AO56" s="252" t="str">
        <f>IFERROR(__xludf.DUMMYFUNCTION("""COMPUTED_VALUE"""),"N/A")</f>
        <v>N/A</v>
      </c>
      <c r="AP56" s="252"/>
      <c r="AQ56" s="252">
        <f>IFERROR(__xludf.DUMMYFUNCTION("""COMPUTED_VALUE"""),9529.0)</f>
        <v>9529</v>
      </c>
      <c r="AR56" s="252"/>
      <c r="AS56" s="881">
        <f>IFERROR(__xludf.DUMMYFUNCTION("""COMPUTED_VALUE"""),44927.0)</f>
        <v>44927</v>
      </c>
      <c r="AT56" s="881">
        <f>IFERROR(__xludf.DUMMYFUNCTION("""COMPUTED_VALUE"""),44927.0)</f>
        <v>44927</v>
      </c>
      <c r="AU56" s="252"/>
      <c r="AV56" s="252" t="str">
        <f>IFERROR(__xludf.DUMMYFUNCTION("""COMPUTED_VALUE"""),"RCO260315170653")</f>
        <v>RCO260315170653</v>
      </c>
      <c r="AW56" s="252">
        <f>IFERROR(__xludf.DUMMYFUNCTION("""COMPUTED_VALUE"""),20.0)</f>
        <v>20</v>
      </c>
      <c r="AX56" s="252">
        <f>IFERROR(__xludf.DUMMYFUNCTION("""COMPUTED_VALUE"""),0.0)</f>
        <v>0</v>
      </c>
      <c r="AY56" s="252">
        <f>IFERROR(__xludf.DUMMYFUNCTION("""COMPUTED_VALUE"""),0.0)</f>
        <v>0</v>
      </c>
      <c r="AZ56" s="881">
        <f>IFERROR(__xludf.DUMMYFUNCTION("""COMPUTED_VALUE"""),46096.0)</f>
        <v>46096</v>
      </c>
    </row>
    <row r="57">
      <c r="A57" s="252" t="str">
        <f>IFERROR(__xludf.DUMMYFUNCTION("""COMPUTED_VALUE"""),"883e13bb")</f>
        <v>883e13bb</v>
      </c>
      <c r="B57" s="252" t="str">
        <f>IFERROR(__xludf.DUMMYFUNCTION("""COMPUTED_VALUE"""),"T-05 DONGFENG DF404")</f>
        <v>T-05 DONGFENG DF404</v>
      </c>
      <c r="C57" s="252" t="str">
        <f>IFERROR(__xludf.DUMMYFUNCTION("""COMPUTED_VALUE"""),"TRACTOR")</f>
        <v>TRACTOR</v>
      </c>
      <c r="D57" s="252" t="str">
        <f>IFERROR(__xludf.DUMMYFUNCTION("""COMPUTED_VALUE"""),"TRACTOR")</f>
        <v>TRACTOR</v>
      </c>
      <c r="E57" s="252" t="str">
        <f>IFERROR(__xludf.DUMMYFUNCTION("""COMPUTED_VALUE"""),"DONGFENG")</f>
        <v>DONGFENG</v>
      </c>
      <c r="F57" s="252" t="str">
        <f>IFERROR(__xludf.DUMMYFUNCTION("""COMPUTED_VALUE"""),"DF404")</f>
        <v>DF404</v>
      </c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  <c r="AA57" s="252"/>
      <c r="AB57" s="252" t="str">
        <f>IFERROR(__xludf.DUMMYFUNCTION("""COMPUTED_VALUE"""),"En producción")</f>
        <v>En producción</v>
      </c>
      <c r="AC57" s="252"/>
      <c r="AD57" s="252">
        <f>IFERROR(__xludf.DUMMYFUNCTION("""COMPUTED_VALUE"""),306.0)</f>
        <v>306</v>
      </c>
      <c r="AE57" s="252" t="str">
        <f>IFERROR(__xludf.DUMMYFUNCTION("""COMPUTED_VALUE"""),"Sin incidentes")</f>
        <v>Sin incidentes</v>
      </c>
      <c r="AF57" s="252"/>
      <c r="AG57" s="252" t="str">
        <f>IFERROR(__xludf.DUMMYFUNCTION("""COMPUTED_VALUE"""),"[T-05 DONGFENG DF404] - DONGFENG DF404")</f>
        <v>[T-05 DONGFENG DF404] - DONGFENG DF404</v>
      </c>
      <c r="AH57" s="252">
        <f>IFERROR(__xludf.DUMMYFUNCTION("""COMPUTED_VALUE"""),1641.0)</f>
        <v>1641</v>
      </c>
      <c r="AI57" s="252"/>
      <c r="AJ57" s="882">
        <f>IFERROR(__xludf.DUMMYFUNCTION("""COMPUTED_VALUE"""),46083.41263888889)</f>
        <v>46083.41264</v>
      </c>
      <c r="AK57" s="252"/>
      <c r="AL57" s="880">
        <f>IFERROR(__xludf.DUMMYFUNCTION("""COMPUTED_VALUE"""),1654.0)</f>
        <v>1654</v>
      </c>
      <c r="AM57" s="880" t="str">
        <f>IFERROR(__xludf.DUMMYFUNCTION("""COMPUTED_VALUE"""),"")</f>
        <v/>
      </c>
      <c r="AN57" s="252" t="str">
        <f>IFERROR(__xludf.DUMMYFUNCTION("""COMPUTED_VALUE"""),"OT241029154606")</f>
        <v>OT241029154606</v>
      </c>
      <c r="AO57" s="252" t="str">
        <f>IFERROR(__xludf.DUMMYFUNCTION("""COMPUTED_VALUE"""),"Hr")</f>
        <v>Hr</v>
      </c>
      <c r="AP57" s="252"/>
      <c r="AQ57" s="252">
        <f>IFERROR(__xludf.DUMMYFUNCTION("""COMPUTED_VALUE"""),1331.0)</f>
        <v>1331</v>
      </c>
      <c r="AR57" s="252"/>
      <c r="AS57" s="881">
        <f>IFERROR(__xludf.DUMMYFUNCTION("""COMPUTED_VALUE"""),44927.0)</f>
        <v>44927</v>
      </c>
      <c r="AT57" s="881">
        <f>IFERROR(__xludf.DUMMYFUNCTION("""COMPUTED_VALUE"""),44927.0)</f>
        <v>44927</v>
      </c>
      <c r="AU57" s="252" t="str">
        <f>IFERROR(__xludf.DUMMYFUNCTION("""COMPUTED_VALUE"""),"RDC260219182841")</f>
        <v>RDC260219182841</v>
      </c>
      <c r="AV57" s="252" t="str">
        <f>IFERROR(__xludf.DUMMYFUNCTION("""COMPUTED_VALUE"""),"RCO260302114459")</f>
        <v>RCO260302114459</v>
      </c>
      <c r="AW57" s="252">
        <f>IFERROR(__xludf.DUMMYFUNCTION("""COMPUTED_VALUE"""),59.0)</f>
        <v>59</v>
      </c>
      <c r="AX57" s="252">
        <f>IFERROR(__xludf.DUMMYFUNCTION("""COMPUTED_VALUE"""),21.0)</f>
        <v>21</v>
      </c>
      <c r="AY57" s="252"/>
      <c r="AZ57" s="881">
        <f>IFERROR(__xludf.DUMMYFUNCTION("""COMPUTED_VALUE"""),46083.0)</f>
        <v>46083</v>
      </c>
    </row>
    <row r="58">
      <c r="A58" s="252" t="str">
        <f>IFERROR(__xludf.DUMMYFUNCTION("""COMPUTED_VALUE"""),"891fce44")</f>
        <v>891fce44</v>
      </c>
      <c r="B58" s="252" t="str">
        <f>IFERROR(__xludf.DUMMYFUNCTION("""COMPUTED_VALUE"""),"Cama baja Challenger hxfz45")</f>
        <v>Cama baja Challenger hxfz45</v>
      </c>
      <c r="C58" s="252" t="str">
        <f>IFERROR(__xludf.DUMMYFUNCTION("""COMPUTED_VALUE"""),"SEMIREMOLQUE")</f>
        <v>SEMIREMOLQUE</v>
      </c>
      <c r="D58" s="252" t="str">
        <f>IFERROR(__xludf.DUMMYFUNCTION("""COMPUTED_VALUE"""),"CAMA BAJA")</f>
        <v>CAMA BAJA</v>
      </c>
      <c r="E58" s="252" t="str">
        <f>IFERROR(__xludf.DUMMYFUNCTION("""COMPUTED_VALUE"""),"CHALLINGER")</f>
        <v>CHALLINGER</v>
      </c>
      <c r="F58" s="252"/>
      <c r="G58" s="252"/>
      <c r="H58" s="252"/>
      <c r="I58" s="252"/>
      <c r="J58" s="252" t="str">
        <f>IFERROR(__xludf.DUMMYFUNCTION("""COMPUTED_VALUE"""),"Hxfz45")</f>
        <v>Hxfz45</v>
      </c>
      <c r="K58" s="252" t="str">
        <f>IFERROR(__xludf.DUMMYFUNCTION("""COMPUTED_VALUE"""),"Ecma")</f>
        <v>Ecma</v>
      </c>
      <c r="L58" s="252"/>
      <c r="M58" s="252"/>
      <c r="N58" s="252"/>
      <c r="O58" s="252"/>
      <c r="P58" s="252"/>
      <c r="Q58" s="252"/>
      <c r="R58" s="252"/>
      <c r="S58" s="252"/>
      <c r="T58" s="252"/>
      <c r="U58" s="252" t="str">
        <f>IFERROR(__xludf.DUMMYFUNCTION("""COMPUTED_VALUE"""),"Revisar masa trasera con fuga de aceite")</f>
        <v>Revisar masa trasera con fuga de aceite</v>
      </c>
      <c r="V58" s="252"/>
      <c r="W58" s="252"/>
      <c r="X58" s="252"/>
      <c r="Y58" s="252"/>
      <c r="Z58" s="252"/>
      <c r="AA58" s="252"/>
      <c r="AB58" s="252" t="str">
        <f>IFERROR(__xludf.DUMMYFUNCTION("""COMPUTED_VALUE"""),"Patio LL")</f>
        <v>Patio LL</v>
      </c>
      <c r="AC58" s="252"/>
      <c r="AD58" s="252"/>
      <c r="AE58" s="252" t="str">
        <f>IFERROR(__xludf.DUMMYFUNCTION("""COMPUTED_VALUE"""),"Alerta incidente")</f>
        <v>Alerta incidente</v>
      </c>
      <c r="AF58" s="252">
        <f>IFERROR(__xludf.DUMMYFUNCTION("""COMPUTED_VALUE"""),1.0)</f>
        <v>1</v>
      </c>
      <c r="AG58" s="252" t="str">
        <f>IFERROR(__xludf.DUMMYFUNCTION("""COMPUTED_VALUE"""),"[Cama baja Challenger hxfz45] - CHALLINGER ")</f>
        <v>[Cama baja Challenger hxfz45] - CHALLINGER </v>
      </c>
      <c r="AH58" s="252"/>
      <c r="AI58" s="252"/>
      <c r="AJ58" s="252"/>
      <c r="AK58" s="252"/>
      <c r="AL58" s="880" t="str">
        <f>IFERROR(__xludf.DUMMYFUNCTION("""COMPUTED_VALUE"""),"")</f>
        <v/>
      </c>
      <c r="AM58" s="880" t="str">
        <f>IFERROR(__xludf.DUMMYFUNCTION("""COMPUTED_VALUE"""),"")</f>
        <v/>
      </c>
      <c r="AN58" s="252"/>
      <c r="AO58" s="252" t="str">
        <f>IFERROR(__xludf.DUMMYFUNCTION("""COMPUTED_VALUE"""),"N/A")</f>
        <v>N/A</v>
      </c>
      <c r="AP58" s="252"/>
      <c r="AQ58" s="252"/>
      <c r="AR58" s="252"/>
      <c r="AS58" s="881">
        <f>IFERROR(__xludf.DUMMYFUNCTION("""COMPUTED_VALUE"""),44927.0)</f>
        <v>44927</v>
      </c>
      <c r="AT58" s="881">
        <f>IFERROR(__xludf.DUMMYFUNCTION("""COMPUTED_VALUE"""),44927.0)</f>
        <v>44927</v>
      </c>
      <c r="AU58" s="252"/>
      <c r="AV58" s="252"/>
      <c r="AW58" s="252"/>
      <c r="AX58" s="252"/>
      <c r="AY58" s="252"/>
      <c r="AZ58" s="252"/>
    </row>
    <row r="59">
      <c r="A59" s="252" t="str">
        <f>IFERROR(__xludf.DUMMYFUNCTION("""COMPUTED_VALUE"""),"8ddbca03")</f>
        <v>8ddbca03</v>
      </c>
      <c r="B59" s="252" t="str">
        <f>IFERROR(__xludf.DUMMYFUNCTION("""COMPUTED_VALUE"""),"EX-17 SDRZ54")</f>
        <v>EX-17 SDRZ54</v>
      </c>
      <c r="C59" s="252" t="str">
        <f>IFERROR(__xludf.DUMMYFUNCTION("""COMPUTED_VALUE"""),"EXCAVADORA")</f>
        <v>EXCAVADORA</v>
      </c>
      <c r="D59" s="252" t="str">
        <f>IFERROR(__xludf.DUMMYFUNCTION("""COMPUTED_VALUE"""),"EXCAVADORA")</f>
        <v>EXCAVADORA</v>
      </c>
      <c r="E59" s="252" t="str">
        <f>IFERROR(__xludf.DUMMYFUNCTION("""COMPUTED_VALUE"""),"KOMATSU")</f>
        <v>KOMATSU</v>
      </c>
      <c r="F59" s="252" t="str">
        <f>IFERROR(__xludf.DUMMYFUNCTION("""COMPUTED_VALUE"""),"PC210LC-10H0")</f>
        <v>PC210LC-10H0</v>
      </c>
      <c r="G59" s="252">
        <f>IFERROR(__xludf.DUMMYFUNCTION("""COMPUTED_VALUE"""),2025.0)</f>
        <v>2025</v>
      </c>
      <c r="H59" s="252" t="str">
        <f>IFERROR(__xludf.DUMMYFUNCTION("""COMPUTED_VALUE"""),"26782408")</f>
        <v>26782408</v>
      </c>
      <c r="I59" s="252" t="str">
        <f>IFERROR(__xludf.DUMMYFUNCTION("""COMPUTED_VALUE"""),"601965")</f>
        <v>601965</v>
      </c>
      <c r="J59" s="252"/>
      <c r="K59" s="252" t="str">
        <f>IFERROR(__xludf.DUMMYFUNCTION("""COMPUTED_VALUE"""),"Harcha Maquinaria SPA")</f>
        <v>Harcha Maquinaria SPA</v>
      </c>
      <c r="L59" s="252"/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  <c r="AA59" s="252"/>
      <c r="AB59" s="252" t="str">
        <f>IFERROR(__xludf.DUMMYFUNCTION("""COMPUTED_VALUE"""),"Patio LL")</f>
        <v>Patio LL</v>
      </c>
      <c r="AC59" s="252" t="str">
        <f>IFERROR(__xludf.DUMMYFUNCTION("""COMPUTED_VALUE"""),"MAQUINAS_Images/8ddbca03.FOTO1.125835.jpg")</f>
        <v>MAQUINAS_Images/8ddbca03.FOTO1.125835.jpg</v>
      </c>
      <c r="AD59" s="252">
        <f>IFERROR(__xludf.DUMMYFUNCTION("""COMPUTED_VALUE"""),894.0)</f>
        <v>894</v>
      </c>
      <c r="AE59" s="252" t="str">
        <f>IFERROR(__xludf.DUMMYFUNCTION("""COMPUTED_VALUE"""),"Sin incidentes")</f>
        <v>Sin incidentes</v>
      </c>
      <c r="AF59" s="252"/>
      <c r="AG59" s="252" t="str">
        <f>IFERROR(__xludf.DUMMYFUNCTION("""COMPUTED_VALUE"""),"[EX-17 SDRZ54] - KOMATSU PC210LC-10H0")</f>
        <v>[EX-17 SDRZ54] - KOMATSU PC210LC-10H0</v>
      </c>
      <c r="AH59" s="252">
        <f>IFERROR(__xludf.DUMMYFUNCTION("""COMPUTED_VALUE"""),1191.0)</f>
        <v>1191</v>
      </c>
      <c r="AI59" s="252"/>
      <c r="AJ59" s="882">
        <f>IFERROR(__xludf.DUMMYFUNCTION("""COMPUTED_VALUE"""),46095.74087962963)</f>
        <v>46095.74088</v>
      </c>
      <c r="AK59" s="252"/>
      <c r="AL59" s="880">
        <f>IFERROR(__xludf.DUMMYFUNCTION("""COMPUTED_VALUE"""),1430.0)</f>
        <v>1430</v>
      </c>
      <c r="AM59" s="252"/>
      <c r="AN59" s="252" t="str">
        <f>IFERROR(__xludf.DUMMYFUNCTION("""COMPUTED_VALUE"""),"OT260226082335")</f>
        <v>OT260226082335</v>
      </c>
      <c r="AO59" s="252" t="str">
        <f>IFERROR(__xludf.DUMMYFUNCTION("""COMPUTED_VALUE"""),"Hr")</f>
        <v>Hr</v>
      </c>
      <c r="AP59" s="252" t="str">
        <f>IFERROR(__xludf.DUMMYFUNCTION("""COMPUTED_VALUE"""),"IS251003170602")</f>
        <v>IS251003170602</v>
      </c>
      <c r="AQ59" s="252"/>
      <c r="AR59" s="252"/>
      <c r="AS59" s="881">
        <f>IFERROR(__xludf.DUMMYFUNCTION("""COMPUTED_VALUE"""),45882.0)</f>
        <v>45882</v>
      </c>
      <c r="AT59" s="881">
        <f>IFERROR(__xludf.DUMMYFUNCTION("""COMPUTED_VALUE"""),45882.0)</f>
        <v>45882</v>
      </c>
      <c r="AU59" s="252" t="str">
        <f>IFERROR(__xludf.DUMMYFUNCTION("""COMPUTED_VALUE"""),"RDC260305181957")</f>
        <v>RDC260305181957</v>
      </c>
      <c r="AV59" s="252" t="str">
        <f>IFERROR(__xludf.DUMMYFUNCTION("""COMPUTED_VALUE"""),"RCO260314194513")</f>
        <v>RCO260314194513</v>
      </c>
      <c r="AW59" s="252">
        <f>IFERROR(__xludf.DUMMYFUNCTION("""COMPUTED_VALUE"""),214.0)</f>
        <v>214</v>
      </c>
      <c r="AX59" s="252">
        <f>IFERROR(__xludf.DUMMYFUNCTION("""COMPUTED_VALUE"""),11.0)</f>
        <v>11</v>
      </c>
      <c r="AY59" s="252"/>
      <c r="AZ59" s="883">
        <f>IFERROR(__xludf.DUMMYFUNCTION("""COMPUTED_VALUE"""),46095.0)</f>
        <v>46095</v>
      </c>
    </row>
    <row r="60">
      <c r="A60" s="252" t="str">
        <f>IFERROR(__xludf.DUMMYFUNCTION("""COMPUTED_VALUE"""),"8ec7dcac")</f>
        <v>8ec7dcac</v>
      </c>
      <c r="B60" s="252" t="str">
        <f>IFERROR(__xludf.DUMMYFUNCTION("""COMPUTED_VALUE"""),"G-09")</f>
        <v>G-09</v>
      </c>
      <c r="C60" s="252" t="str">
        <f>IFERROR(__xludf.DUMMYFUNCTION("""COMPUTED_VALUE"""),"GENERADOR")</f>
        <v>GENERADOR</v>
      </c>
      <c r="D60" s="252" t="str">
        <f>IFERROR(__xludf.DUMMYFUNCTION("""COMPUTED_VALUE"""),"EQUIPO MENOR")</f>
        <v>EQUIPO MENOR</v>
      </c>
      <c r="E60" s="252" t="str">
        <f>IFERROR(__xludf.DUMMYFUNCTION("""COMPUTED_VALUE"""),"GH POWER")</f>
        <v>GH POWER</v>
      </c>
      <c r="F60" s="252" t="str">
        <f>IFERROR(__xludf.DUMMYFUNCTION("""COMPUTED_VALUE"""),"22KVA")</f>
        <v>22KVA</v>
      </c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  <c r="AA60" s="252"/>
      <c r="AB60" s="252" t="str">
        <f>IFERROR(__xludf.DUMMYFUNCTION("""COMPUTED_VALUE"""),"Patio LL")</f>
        <v>Patio LL</v>
      </c>
      <c r="AC60" s="252"/>
      <c r="AD60" s="252"/>
      <c r="AE60" s="252" t="str">
        <f>IFERROR(__xludf.DUMMYFUNCTION("""COMPUTED_VALUE"""),"Sin incidentes")</f>
        <v>Sin incidentes</v>
      </c>
      <c r="AF60" s="252"/>
      <c r="AG60" s="252" t="str">
        <f>IFERROR(__xludf.DUMMYFUNCTION("""COMPUTED_VALUE"""),"[G-09] - GH POWER 22KVA")</f>
        <v>[G-09] - GH POWER 22KVA</v>
      </c>
      <c r="AH60" s="252">
        <f>IFERROR(__xludf.DUMMYFUNCTION("""COMPUTED_VALUE"""),0.0)</f>
        <v>0</v>
      </c>
      <c r="AI60" s="252"/>
      <c r="AJ60" s="252"/>
      <c r="AK60" s="252"/>
      <c r="AL60" s="880">
        <f>IFERROR(__xludf.DUMMYFUNCTION("""COMPUTED_VALUE"""),350.0)</f>
        <v>350</v>
      </c>
      <c r="AM60" s="880" t="str">
        <f>IFERROR(__xludf.DUMMYFUNCTION("""COMPUTED_VALUE"""),"")</f>
        <v/>
      </c>
      <c r="AN60" s="252"/>
      <c r="AO60" s="252" t="str">
        <f>IFERROR(__xludf.DUMMYFUNCTION("""COMPUTED_VALUE"""),"Hr")</f>
        <v>Hr</v>
      </c>
      <c r="AP60" s="252" t="str">
        <f>IFERROR(__xludf.DUMMYFUNCTION("""COMPUTED_VALUE"""),"IS250312121846")</f>
        <v>IS250312121846</v>
      </c>
      <c r="AQ60" s="252">
        <f>IFERROR(__xludf.DUMMYFUNCTION("""COMPUTED_VALUE"""),0.0)</f>
        <v>0</v>
      </c>
      <c r="AR60" s="252"/>
      <c r="AS60" s="881">
        <f>IFERROR(__xludf.DUMMYFUNCTION("""COMPUTED_VALUE"""),44927.0)</f>
        <v>44927</v>
      </c>
      <c r="AT60" s="881">
        <f>IFERROR(__xludf.DUMMYFUNCTION("""COMPUTED_VALUE"""),44927.0)</f>
        <v>44927</v>
      </c>
      <c r="AU60" s="252"/>
      <c r="AV60" s="252"/>
      <c r="AW60" s="252"/>
      <c r="AX60" s="252"/>
      <c r="AY60" s="252"/>
      <c r="AZ60" s="252"/>
    </row>
    <row r="61">
      <c r="A61" s="252" t="str">
        <f>IFERROR(__xludf.DUMMYFUNCTION("""COMPUTED_VALUE"""),"8fda5167")</f>
        <v>8fda5167</v>
      </c>
      <c r="B61" s="252" t="str">
        <f>IFERROR(__xludf.DUMMYFUNCTION("""COMPUTED_VALUE"""),"CS-01 GDRK79")</f>
        <v>CS-01 GDRK79</v>
      </c>
      <c r="C61" s="252" t="str">
        <f>IFERROR(__xludf.DUMMYFUNCTION("""COMPUTED_VALUE"""),"CAMION IMPRIMADOR Y MIXER")</f>
        <v>CAMION IMPRIMADOR Y MIXER</v>
      </c>
      <c r="D61" s="252" t="str">
        <f>IFERROR(__xludf.DUMMYFUNCTION("""COMPUTED_VALUE"""),"CAMION SLURRY")</f>
        <v>CAMION SLURRY</v>
      </c>
      <c r="E61" s="252" t="str">
        <f>IFERROR(__xludf.DUMMYFUNCTION("""COMPUTED_VALUE"""),"MACK")</f>
        <v>MACK</v>
      </c>
      <c r="F61" s="252" t="str">
        <f>IFERROR(__xludf.DUMMYFUNCTION("""COMPUTED_VALUE"""),"GU")</f>
        <v>GU</v>
      </c>
      <c r="G61" s="252"/>
      <c r="H61" s="252"/>
      <c r="I61" s="252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  <c r="AA61" s="252"/>
      <c r="AB61" s="252" t="str">
        <f>IFERROR(__xludf.DUMMYFUNCTION("""COMPUTED_VALUE"""),"Patio LL")</f>
        <v>Patio LL</v>
      </c>
      <c r="AC61" s="252" t="str">
        <f>IFERROR(__xludf.DUMMYFUNCTION("""COMPUTED_VALUE"""),"MAQUINAS_Images/8fda5167.FOTO1.140119.jpg")</f>
        <v>MAQUINAS_Images/8fda5167.FOTO1.140119.jpg</v>
      </c>
      <c r="AD61" s="252"/>
      <c r="AE61" s="252" t="str">
        <f>IFERROR(__xludf.DUMMYFUNCTION("""COMPUTED_VALUE"""),"Sin incidentes")</f>
        <v>Sin incidentes</v>
      </c>
      <c r="AF61" s="252"/>
      <c r="AG61" s="252" t="str">
        <f>IFERROR(__xludf.DUMMYFUNCTION("""COMPUTED_VALUE"""),"[CS-01 GDRK79] - MACK GU")</f>
        <v>[CS-01 GDRK79] - MACK GU</v>
      </c>
      <c r="AH61" s="252">
        <f>IFERROR(__xludf.DUMMYFUNCTION("""COMPUTED_VALUE"""),0.0)</f>
        <v>0</v>
      </c>
      <c r="AI61" s="252">
        <f>IFERROR(__xludf.DUMMYFUNCTION("""COMPUTED_VALUE"""),98383.0)</f>
        <v>98383</v>
      </c>
      <c r="AJ61" s="252"/>
      <c r="AK61" s="882">
        <f>IFERROR(__xludf.DUMMYFUNCTION("""COMPUTED_VALUE"""),45916.55869212963)</f>
        <v>45916.55869</v>
      </c>
      <c r="AL61" s="252"/>
      <c r="AM61" s="880">
        <f>IFERROR(__xludf.DUMMYFUNCTION("""COMPUTED_VALUE"""),108383.0)</f>
        <v>108383</v>
      </c>
      <c r="AN61" s="252"/>
      <c r="AO61" s="252" t="str">
        <f>IFERROR(__xludf.DUMMYFUNCTION("""COMPUTED_VALUE"""),"Km")</f>
        <v>Km</v>
      </c>
      <c r="AP61" s="252" t="str">
        <f>IFERROR(__xludf.DUMMYFUNCTION("""COMPUTED_VALUE"""),"IS250902144918")</f>
        <v>IS250902144918</v>
      </c>
      <c r="AQ61" s="252"/>
      <c r="AR61" s="252"/>
      <c r="AS61" s="881">
        <f>IFERROR(__xludf.DUMMYFUNCTION("""COMPUTED_VALUE"""),45775.0)</f>
        <v>45775</v>
      </c>
      <c r="AT61" s="881">
        <f>IFERROR(__xludf.DUMMYFUNCTION("""COMPUTED_VALUE"""),45775.0)</f>
        <v>45775</v>
      </c>
      <c r="AU61" s="252"/>
      <c r="AV61" s="252" t="str">
        <f>IFERROR(__xludf.DUMMYFUNCTION("""COMPUTED_VALUE"""),"RCO250916152239")</f>
        <v>RCO250916152239</v>
      </c>
      <c r="AW61" s="252">
        <f>IFERROR(__xludf.DUMMYFUNCTION("""COMPUTED_VALUE"""),100.0)</f>
        <v>100</v>
      </c>
      <c r="AX61" s="252"/>
      <c r="AY61" s="252">
        <f>IFERROR(__xludf.DUMMYFUNCTION("""COMPUTED_VALUE"""),144.0)</f>
        <v>144</v>
      </c>
      <c r="AZ61" s="883">
        <f>IFERROR(__xludf.DUMMYFUNCTION("""COMPUTED_VALUE"""),45916.0)</f>
        <v>45916</v>
      </c>
    </row>
    <row r="62">
      <c r="A62" s="252" t="str">
        <f>IFERROR(__xludf.DUMMYFUNCTION("""COMPUTED_VALUE"""),"93c7cd90")</f>
        <v>93c7cd90</v>
      </c>
      <c r="B62" s="252" t="str">
        <f>IFERROR(__xludf.DUMMYFUNCTION("""COMPUTED_VALUE"""),"CT-34 YU4943-9")</f>
        <v>CT-34 YU4943-9</v>
      </c>
      <c r="C62" s="252" t="str">
        <f>IFERROR(__xludf.DUMMYFUNCTION("""COMPUTED_VALUE"""),"CAMION TOLVA")</f>
        <v>CAMION TOLVA</v>
      </c>
      <c r="D62" s="252" t="str">
        <f>IFERROR(__xludf.DUMMYFUNCTION("""COMPUTED_VALUE"""),"CAMION TOLVA")</f>
        <v>CAMION TOLVA</v>
      </c>
      <c r="E62" s="252" t="str">
        <f>IFERROR(__xludf.DUMMYFUNCTION("""COMPUTED_VALUE"""),"MACK")</f>
        <v>MACK</v>
      </c>
      <c r="F62" s="252" t="str">
        <f>IFERROR(__xludf.DUMMYFUNCTION("""COMPUTED_VALUE"""),"CV713")</f>
        <v>CV713</v>
      </c>
      <c r="G62" s="252">
        <f>IFERROR(__xludf.DUMMYFUNCTION("""COMPUTED_VALUE"""),2005.0)</f>
        <v>2005</v>
      </c>
      <c r="H62" s="252" t="str">
        <f>IFERROR(__xludf.DUMMYFUNCTION("""COMPUTED_VALUE"""),"4Y3762")</f>
        <v>4Y3762</v>
      </c>
      <c r="I62" s="252" t="str">
        <f>IFERROR(__xludf.DUMMYFUNCTION("""COMPUTED_VALUE"""),"028777")</f>
        <v>028777</v>
      </c>
      <c r="J62" s="252" t="str">
        <f>IFERROR(__xludf.DUMMYFUNCTION("""COMPUTED_VALUE"""),"YU4943-9")</f>
        <v>YU4943-9</v>
      </c>
      <c r="K62" s="252" t="str">
        <f>IFERROR(__xludf.DUMMYFUNCTION("""COMPUTED_VALUE"""),"COMERCIALIZADORA ECMA SPA")</f>
        <v>COMERCIALIZADORA ECMA SPA</v>
      </c>
      <c r="L62" s="252"/>
      <c r="M62" s="252"/>
      <c r="N62" s="252"/>
      <c r="O62" s="252"/>
      <c r="P62" s="252"/>
      <c r="Q62" s="252"/>
      <c r="R62" s="252"/>
      <c r="S62" s="252" t="str">
        <f>IFERROR(__xludf.DUMMYFUNCTION("""COMPUTED_VALUE"""),"15")</f>
        <v>15</v>
      </c>
      <c r="T62" s="252"/>
      <c r="U62" s="252"/>
      <c r="V62" s="252"/>
      <c r="W62" s="252"/>
      <c r="X62" s="252"/>
      <c r="Y62" s="252"/>
      <c r="Z62" s="252"/>
      <c r="AA62" s="252"/>
      <c r="AB62" s="252" t="str">
        <f>IFERROR(__xludf.DUMMYFUNCTION("""COMPUTED_VALUE"""),"En producción")</f>
        <v>En producción</v>
      </c>
      <c r="AC62" s="252" t="str">
        <f>IFERROR(__xludf.DUMMYFUNCTION("""COMPUTED_VALUE"""),"MAQUINAS_Images/93c7cd90.FOTO1.172727.jpg")</f>
        <v>MAQUINAS_Images/93c7cd90.FOTO1.172727.jpg</v>
      </c>
      <c r="AD62" s="252">
        <f>IFERROR(__xludf.DUMMYFUNCTION("""COMPUTED_VALUE"""),478.0)</f>
        <v>478</v>
      </c>
      <c r="AE62" s="252" t="str">
        <f>IFERROR(__xludf.DUMMYFUNCTION("""COMPUTED_VALUE"""),"Sin incidentes")</f>
        <v>Sin incidentes</v>
      </c>
      <c r="AF62" s="252"/>
      <c r="AG62" s="252" t="str">
        <f>IFERROR(__xludf.DUMMYFUNCTION("""COMPUTED_VALUE"""),"[CT-34 YU4943-9] - MACK CV713")</f>
        <v>[CT-34 YU4943-9] - MACK CV713</v>
      </c>
      <c r="AH62" s="252">
        <f>IFERROR(__xludf.DUMMYFUNCTION("""COMPUTED_VALUE"""),482.0)</f>
        <v>482</v>
      </c>
      <c r="AI62" s="252">
        <f>IFERROR(__xludf.DUMMYFUNCTION("""COMPUTED_VALUE"""),269867.0)</f>
        <v>269867</v>
      </c>
      <c r="AJ62" s="882">
        <f>IFERROR(__xludf.DUMMYFUNCTION("""COMPUTED_VALUE"""),46094.2969212963)</f>
        <v>46094.29692</v>
      </c>
      <c r="AK62" s="882">
        <f>IFERROR(__xludf.DUMMYFUNCTION("""COMPUTED_VALUE"""),46094.29697916667)</f>
        <v>46094.29698</v>
      </c>
      <c r="AL62" s="880">
        <f>IFERROR(__xludf.DUMMYFUNCTION("""COMPUTED_VALUE"""),20144.0)</f>
        <v>20144</v>
      </c>
      <c r="AM62" s="252"/>
      <c r="AN62" s="252" t="str">
        <f>IFERROR(__xludf.DUMMYFUNCTION("""COMPUTED_VALUE"""),"OT260305113002")</f>
        <v>OT260305113002</v>
      </c>
      <c r="AO62" s="252" t="str">
        <f>IFERROR(__xludf.DUMMYFUNCTION("""COMPUTED_VALUE"""),"Hr")</f>
        <v>Hr</v>
      </c>
      <c r="AP62" s="252" t="str">
        <f>IFERROR(__xludf.DUMMYFUNCTION("""COMPUTED_VALUE"""),"IS260312164939")</f>
        <v>IS260312164939</v>
      </c>
      <c r="AQ62" s="252">
        <f>IFERROR(__xludf.DUMMYFUNCTION("""COMPUTED_VALUE"""),19796.0)</f>
        <v>19796</v>
      </c>
      <c r="AR62" s="252">
        <f>IFERROR(__xludf.DUMMYFUNCTION("""COMPUTED_VALUE"""),269867.0)</f>
        <v>269867</v>
      </c>
      <c r="AS62" s="881">
        <f>IFERROR(__xludf.DUMMYFUNCTION("""COMPUTED_VALUE"""),45749.0)</f>
        <v>45749</v>
      </c>
      <c r="AT62" s="881">
        <f>IFERROR(__xludf.DUMMYFUNCTION("""COMPUTED_VALUE"""),44927.0)</f>
        <v>44927</v>
      </c>
      <c r="AU62" s="252" t="str">
        <f>IFERROR(__xludf.DUMMYFUNCTION("""COMPUTED_VALUE"""),"RDC260313090436")</f>
        <v>RDC260313090436</v>
      </c>
      <c r="AV62" s="252" t="str">
        <f>IFERROR(__xludf.DUMMYFUNCTION("""COMPUTED_VALUE"""),"RCO260313082833")</f>
        <v>RCO260313082833</v>
      </c>
      <c r="AW62" s="252">
        <f>IFERROR(__xludf.DUMMYFUNCTION("""COMPUTED_VALUE"""),218.0)</f>
        <v>218</v>
      </c>
      <c r="AX62" s="252">
        <f>IFERROR(__xludf.DUMMYFUNCTION("""COMPUTED_VALUE"""),18.0)</f>
        <v>18</v>
      </c>
      <c r="AY62" s="252">
        <f>IFERROR(__xludf.DUMMYFUNCTION("""COMPUTED_VALUE"""),58.0)</f>
        <v>58</v>
      </c>
      <c r="AZ62" s="883">
        <f>IFERROR(__xludf.DUMMYFUNCTION("""COMPUTED_VALUE"""),46094.0)</f>
        <v>46094</v>
      </c>
    </row>
    <row r="63">
      <c r="A63" s="252" t="str">
        <f>IFERROR(__xludf.DUMMYFUNCTION("""COMPUTED_VALUE"""),"99be4df5")</f>
        <v>99be4df5</v>
      </c>
      <c r="B63" s="252" t="str">
        <f>IFERROR(__xludf.DUMMYFUNCTION("""COMPUTED_VALUE"""),"EXT-15 RODILLO CAT CS54B")</f>
        <v>EXT-15 RODILLO CAT CS54B</v>
      </c>
      <c r="C63" s="252" t="str">
        <f>IFERROR(__xludf.DUMMYFUNCTION("""COMPUTED_VALUE"""),"MAQUINARIA")</f>
        <v>MAQUINARIA</v>
      </c>
      <c r="D63" s="252" t="str">
        <f>IFERROR(__xludf.DUMMYFUNCTION("""COMPUTED_VALUE"""),"EXTERNO")</f>
        <v>EXTERNO</v>
      </c>
      <c r="E63" s="252" t="str">
        <f>IFERROR(__xludf.DUMMYFUNCTION("""COMPUTED_VALUE"""),"CATERPILLAR")</f>
        <v>CATERPILLAR</v>
      </c>
      <c r="F63" s="252" t="str">
        <f>IFERROR(__xludf.DUMMYFUNCTION("""COMPUTED_VALUE"""),"CS54B")</f>
        <v>CS54B</v>
      </c>
      <c r="G63" s="252"/>
      <c r="H63" s="252"/>
      <c r="I63" s="252"/>
      <c r="J63" s="252"/>
      <c r="K63" s="252"/>
      <c r="L63" s="252"/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  <c r="AA63" s="252"/>
      <c r="AB63" s="252" t="str">
        <f>IFERROR(__xludf.DUMMYFUNCTION("""COMPUTED_VALUE"""),"En producción")</f>
        <v>En producción</v>
      </c>
      <c r="AC63" s="252"/>
      <c r="AD63" s="252"/>
      <c r="AE63" s="252" t="str">
        <f>IFERROR(__xludf.DUMMYFUNCTION("""COMPUTED_VALUE"""),"Sin incidentes")</f>
        <v>Sin incidentes</v>
      </c>
      <c r="AF63" s="252"/>
      <c r="AG63" s="252" t="str">
        <f>IFERROR(__xludf.DUMMYFUNCTION("""COMPUTED_VALUE"""),"[EXT-15 RODILLO CAT CS54B] - CATERPILLAR CS54B")</f>
        <v>[EXT-15 RODILLO CAT CS54B] - CATERPILLAR CS54B</v>
      </c>
      <c r="AH63" s="252">
        <f>IFERROR(__xludf.DUMMYFUNCTION("""COMPUTED_VALUE"""),5056.0)</f>
        <v>5056</v>
      </c>
      <c r="AI63" s="252"/>
      <c r="AJ63" s="882">
        <f>IFERROR(__xludf.DUMMYFUNCTION("""COMPUTED_VALUE"""),45728.35357638889)</f>
        <v>45728.35358</v>
      </c>
      <c r="AK63" s="252"/>
      <c r="AL63" s="880">
        <f>IFERROR(__xludf.DUMMYFUNCTION("""COMPUTED_VALUE"""),5350.0)</f>
        <v>5350</v>
      </c>
      <c r="AM63" s="880" t="str">
        <f>IFERROR(__xludf.DUMMYFUNCTION("""COMPUTED_VALUE"""),"")</f>
        <v/>
      </c>
      <c r="AN63" s="252"/>
      <c r="AO63" s="252" t="str">
        <f>IFERROR(__xludf.DUMMYFUNCTION("""COMPUTED_VALUE"""),"Hr")</f>
        <v>Hr</v>
      </c>
      <c r="AP63" s="252"/>
      <c r="AQ63" s="252">
        <f>IFERROR(__xludf.DUMMYFUNCTION("""COMPUTED_VALUE"""),5056.0)</f>
        <v>5056</v>
      </c>
      <c r="AR63" s="252"/>
      <c r="AS63" s="881">
        <f>IFERROR(__xludf.DUMMYFUNCTION("""COMPUTED_VALUE"""),44927.0)</f>
        <v>44927</v>
      </c>
      <c r="AT63" s="881">
        <f>IFERROR(__xludf.DUMMYFUNCTION("""COMPUTED_VALUE"""),44927.0)</f>
        <v>44927</v>
      </c>
      <c r="AU63" s="252" t="str">
        <f>IFERROR(__xludf.DUMMYFUNCTION("""COMPUTED_VALUE"""),"RDC250312102702")</f>
        <v>RDC250312102702</v>
      </c>
      <c r="AV63" s="252"/>
      <c r="AW63" s="252"/>
      <c r="AX63" s="252"/>
      <c r="AY63" s="252"/>
      <c r="AZ63" s="252"/>
    </row>
    <row r="64">
      <c r="A64" s="252" t="str">
        <f>IFERROR(__xludf.DUMMYFUNCTION("""COMPUTED_VALUE"""),"9a8a05f3")</f>
        <v>9a8a05f3</v>
      </c>
      <c r="B64" s="252" t="str">
        <f>IFERROR(__xludf.DUMMYFUNCTION("""COMPUTED_VALUE"""),"CT-29 YU4567-0")</f>
        <v>CT-29 YU4567-0</v>
      </c>
      <c r="C64" s="252" t="str">
        <f>IFERROR(__xludf.DUMMYFUNCTION("""COMPUTED_VALUE"""),"CAMION TOLVA")</f>
        <v>CAMION TOLVA</v>
      </c>
      <c r="D64" s="252" t="str">
        <f>IFERROR(__xludf.DUMMYFUNCTION("""COMPUTED_VALUE"""),"TOLVA")</f>
        <v>TOLVA</v>
      </c>
      <c r="E64" s="252" t="str">
        <f>IFERROR(__xludf.DUMMYFUNCTION("""COMPUTED_VALUE"""),"MACK")</f>
        <v>MACK</v>
      </c>
      <c r="F64" s="252" t="str">
        <f>IFERROR(__xludf.DUMMYFUNCTION("""COMPUTED_VALUE"""),"CV713")</f>
        <v>CV713</v>
      </c>
      <c r="G64" s="252">
        <f>IFERROR(__xludf.DUMMYFUNCTION("""COMPUTED_VALUE"""),2005.0)</f>
        <v>2005</v>
      </c>
      <c r="H64" s="252" t="str">
        <f>IFERROR(__xludf.DUMMYFUNCTION("""COMPUTED_VALUE"""),"E73504S1765")</f>
        <v>E73504S1765</v>
      </c>
      <c r="I64" s="252" t="str">
        <f>IFERROR(__xludf.DUMMYFUNCTION("""COMPUTED_VALUE"""),"1M2AG11C35M02797")</f>
        <v>1M2AG11C35M02797</v>
      </c>
      <c r="J64" s="252" t="str">
        <f>IFERROR(__xludf.DUMMYFUNCTION("""COMPUTED_VALUE"""),"YU4567-0")</f>
        <v>YU4567-0</v>
      </c>
      <c r="K64" s="252" t="str">
        <f>IFERROR(__xludf.DUMMYFUNCTION("""COMPUTED_VALUE"""),"COMERCIALIZADORA ECMA SPA")</f>
        <v>COMERCIALIZADORA ECMA SPA</v>
      </c>
      <c r="L64" s="252"/>
      <c r="M64" s="252"/>
      <c r="N64" s="252"/>
      <c r="O64" s="252"/>
      <c r="P64" s="252"/>
      <c r="Q64" s="252"/>
      <c r="R64" s="252"/>
      <c r="S64" s="252" t="str">
        <f>IFERROR(__xludf.DUMMYFUNCTION("""COMPUTED_VALUE"""),"14")</f>
        <v>14</v>
      </c>
      <c r="T64" s="252"/>
      <c r="U64" s="252"/>
      <c r="V64" s="252"/>
      <c r="W64" s="252"/>
      <c r="X64" s="252"/>
      <c r="Y64" s="252"/>
      <c r="Z64" s="252"/>
      <c r="AA64" s="252"/>
      <c r="AB64" s="252" t="str">
        <f>IFERROR(__xludf.DUMMYFUNCTION("""COMPUTED_VALUE"""),"Reparando en taller")</f>
        <v>Reparando en taller</v>
      </c>
      <c r="AC64" s="252"/>
      <c r="AD64" s="252"/>
      <c r="AE64" s="252" t="str">
        <f>IFERROR(__xludf.DUMMYFUNCTION("""COMPUTED_VALUE"""),"Sin incidentes")</f>
        <v>Sin incidentes</v>
      </c>
      <c r="AF64" s="252"/>
      <c r="AG64" s="252" t="str">
        <f>IFERROR(__xludf.DUMMYFUNCTION("""COMPUTED_VALUE"""),"[CT-29 YU4567-0] - MACK CV713")</f>
        <v>[CT-29 YU4567-0] - MACK CV713</v>
      </c>
      <c r="AH64" s="252">
        <f>IFERROR(__xludf.DUMMYFUNCTION("""COMPUTED_VALUE"""),1703.0)</f>
        <v>1703</v>
      </c>
      <c r="AI64" s="252">
        <f>IFERROR(__xludf.DUMMYFUNCTION("""COMPUTED_VALUE"""),263777.0)</f>
        <v>263777</v>
      </c>
      <c r="AJ64" s="882">
        <f>IFERROR(__xludf.DUMMYFUNCTION("""COMPUTED_VALUE"""),46034.328043981484)</f>
        <v>46034.32804</v>
      </c>
      <c r="AK64" s="882">
        <f>IFERROR(__xludf.DUMMYFUNCTION("""COMPUTED_VALUE"""),46034.3280787037)</f>
        <v>46034.32808</v>
      </c>
      <c r="AL64" s="880">
        <f>IFERROR(__xludf.DUMMYFUNCTION("""COMPUTED_VALUE"""),2020.0)</f>
        <v>2020</v>
      </c>
      <c r="AM64" s="880" t="str">
        <f>IFERROR(__xludf.DUMMYFUNCTION("""COMPUTED_VALUE"""),"")</f>
        <v/>
      </c>
      <c r="AN64" s="252"/>
      <c r="AO64" s="252" t="str">
        <f>IFERROR(__xludf.DUMMYFUNCTION("""COMPUTED_VALUE"""),"Hr")</f>
        <v>Hr</v>
      </c>
      <c r="AP64" s="252" t="str">
        <f>IFERROR(__xludf.DUMMYFUNCTION("""COMPUTED_VALUE"""),"IS251120112319")</f>
        <v>IS251120112319</v>
      </c>
      <c r="AQ64" s="252">
        <f>IFERROR(__xludf.DUMMYFUNCTION("""COMPUTED_VALUE"""),0.0)</f>
        <v>0</v>
      </c>
      <c r="AR64" s="252"/>
      <c r="AS64" s="881">
        <f>IFERROR(__xludf.DUMMYFUNCTION("""COMPUTED_VALUE"""),45847.0)</f>
        <v>45847</v>
      </c>
      <c r="AT64" s="881">
        <f>IFERROR(__xludf.DUMMYFUNCTION("""COMPUTED_VALUE"""),44927.0)</f>
        <v>44927</v>
      </c>
      <c r="AU64" s="252" t="str">
        <f>IFERROR(__xludf.DUMMYFUNCTION("""COMPUTED_VALUE"""),"RDC251121093951")</f>
        <v>RDC251121093951</v>
      </c>
      <c r="AV64" s="252" t="str">
        <f>IFERROR(__xludf.DUMMYFUNCTION("""COMPUTED_VALUE"""),"RCO251120081734")</f>
        <v>RCO251120081734</v>
      </c>
      <c r="AW64" s="252">
        <f>IFERROR(__xludf.DUMMYFUNCTION("""COMPUTED_VALUE"""),165.0)</f>
        <v>165</v>
      </c>
      <c r="AX64" s="252">
        <f>IFERROR(__xludf.DUMMYFUNCTION("""COMPUTED_VALUE"""),0.0)</f>
        <v>0</v>
      </c>
      <c r="AY64" s="252">
        <f>IFERROR(__xludf.DUMMYFUNCTION("""COMPUTED_VALUE"""),0.0)</f>
        <v>0</v>
      </c>
      <c r="AZ64" s="881">
        <f>IFERROR(__xludf.DUMMYFUNCTION("""COMPUTED_VALUE"""),45981.0)</f>
        <v>45981</v>
      </c>
    </row>
    <row r="65">
      <c r="A65" s="252" t="str">
        <f>IFERROR(__xludf.DUMMYFUNCTION("""COMPUTED_VALUE"""),"9b5928af")</f>
        <v>9b5928af</v>
      </c>
      <c r="B65" s="252" t="str">
        <f>IFERROR(__xludf.DUMMYFUNCTION("""COMPUTED_VALUE"""),"EX-18 VHTG61")</f>
        <v>EX-18 VHTG61</v>
      </c>
      <c r="C65" s="252" t="str">
        <f>IFERROR(__xludf.DUMMYFUNCTION("""COMPUTED_VALUE"""),"EXCAVADORA")</f>
        <v>EXCAVADORA</v>
      </c>
      <c r="D65" s="252" t="str">
        <f>IFERROR(__xludf.DUMMYFUNCTION("""COMPUTED_VALUE"""),"EXCAVADORA")</f>
        <v>EXCAVADORA</v>
      </c>
      <c r="E65" s="252" t="str">
        <f>IFERROR(__xludf.DUMMYFUNCTION("""COMPUTED_VALUE"""),"KOMATSU")</f>
        <v>KOMATSU</v>
      </c>
      <c r="F65" s="252" t="str">
        <f>IFERROR(__xludf.DUMMYFUNCTION("""COMPUTED_VALUE"""),"PC210LC-10M0")</f>
        <v>PC210LC-10M0</v>
      </c>
      <c r="G65" s="252">
        <f>IFERROR(__xludf.DUMMYFUNCTION("""COMPUTED_VALUE"""),2025.0)</f>
        <v>2025</v>
      </c>
      <c r="H65" s="252" t="str">
        <f>IFERROR(__xludf.DUMMYFUNCTION("""COMPUTED_VALUE"""),"26782496")</f>
        <v>26782496</v>
      </c>
      <c r="I65" s="252" t="str">
        <f>IFERROR(__xludf.DUMMYFUNCTION("""COMPUTED_VALUE"""),"601971")</f>
        <v>601971</v>
      </c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  <c r="AA65" s="252"/>
      <c r="AB65" s="252" t="str">
        <f>IFERROR(__xludf.DUMMYFUNCTION("""COMPUTED_VALUE"""),"En producción")</f>
        <v>En producción</v>
      </c>
      <c r="AC65" s="252" t="str">
        <f>IFERROR(__xludf.DUMMYFUNCTION("""COMPUTED_VALUE"""),"MAQUINAS_Images/9b5928af.FOTO1.134143.jpg")</f>
        <v>MAQUINAS_Images/9b5928af.FOTO1.134143.jpg</v>
      </c>
      <c r="AD65" s="252">
        <f>IFERROR(__xludf.DUMMYFUNCTION("""COMPUTED_VALUE"""),895.0)</f>
        <v>895</v>
      </c>
      <c r="AE65" s="252" t="str">
        <f>IFERROR(__xludf.DUMMYFUNCTION("""COMPUTED_VALUE"""),"Sin incidentes")</f>
        <v>Sin incidentes</v>
      </c>
      <c r="AF65" s="252"/>
      <c r="AG65" s="252" t="str">
        <f>IFERROR(__xludf.DUMMYFUNCTION("""COMPUTED_VALUE"""),"[EX-18 VHTG61] - KOMATSU PC210LC-10M0")</f>
        <v>[EX-18 VHTG61] - KOMATSU PC210LC-10M0</v>
      </c>
      <c r="AH65" s="252">
        <f>IFERROR(__xludf.DUMMYFUNCTION("""COMPUTED_VALUE"""),1036.0)</f>
        <v>1036</v>
      </c>
      <c r="AI65" s="252"/>
      <c r="AJ65" s="882">
        <f>IFERROR(__xludf.DUMMYFUNCTION("""COMPUTED_VALUE"""),46096.343206018515)</f>
        <v>46096.34321</v>
      </c>
      <c r="AK65" s="252"/>
      <c r="AL65" s="880">
        <f>IFERROR(__xludf.DUMMYFUNCTION("""COMPUTED_VALUE"""),1369.0)</f>
        <v>1369</v>
      </c>
      <c r="AM65" s="252"/>
      <c r="AN65" s="252" t="str">
        <f>IFERROR(__xludf.DUMMYFUNCTION("""COMPUTED_VALUE"""),"OT260314185803")</f>
        <v>OT260314185803</v>
      </c>
      <c r="AO65" s="252" t="str">
        <f>IFERROR(__xludf.DUMMYFUNCTION("""COMPUTED_VALUE"""),"Hr")</f>
        <v>Hr</v>
      </c>
      <c r="AP65" s="252" t="str">
        <f>IFERROR(__xludf.DUMMYFUNCTION("""COMPUTED_VALUE"""),"IS250827111543")</f>
        <v>IS250827111543</v>
      </c>
      <c r="AQ65" s="252"/>
      <c r="AR65" s="252"/>
      <c r="AS65" s="881">
        <f>IFERROR(__xludf.DUMMYFUNCTION("""COMPUTED_VALUE"""),45883.0)</f>
        <v>45883</v>
      </c>
      <c r="AT65" s="881">
        <f>IFERROR(__xludf.DUMMYFUNCTION("""COMPUTED_VALUE"""),45883.0)</f>
        <v>45883</v>
      </c>
      <c r="AU65" s="252" t="str">
        <f>IFERROR(__xludf.DUMMYFUNCTION("""COMPUTED_VALUE"""),"RDC260308070641")</f>
        <v>RDC260308070641</v>
      </c>
      <c r="AV65" s="252" t="str">
        <f>IFERROR(__xludf.DUMMYFUNCTION("""COMPUTED_VALUE"""),"RCO260315100423")</f>
        <v>RCO260315100423</v>
      </c>
      <c r="AW65" s="252">
        <f>IFERROR(__xludf.DUMMYFUNCTION("""COMPUTED_VALUE"""),243.0)</f>
        <v>243</v>
      </c>
      <c r="AX65" s="252">
        <f>IFERROR(__xludf.DUMMYFUNCTION("""COMPUTED_VALUE"""),21.0)</f>
        <v>21</v>
      </c>
      <c r="AY65" s="252"/>
      <c r="AZ65" s="883">
        <f>IFERROR(__xludf.DUMMYFUNCTION("""COMPUTED_VALUE"""),46096.0)</f>
        <v>46096</v>
      </c>
    </row>
    <row r="66">
      <c r="A66" s="252" t="str">
        <f>IFERROR(__xludf.DUMMYFUNCTION("""COMPUTED_VALUE"""),"9ce65bb2")</f>
        <v>9ce65bb2</v>
      </c>
      <c r="B66" s="252" t="str">
        <f>IFERROR(__xludf.DUMMYFUNCTION("""COMPUTED_VALUE"""),"Quemador CI-02")</f>
        <v>Quemador CI-02</v>
      </c>
      <c r="C66" s="252" t="str">
        <f>IFERROR(__xludf.DUMMYFUNCTION("""COMPUTED_VALUE"""),"ACCESORIOS")</f>
        <v>ACCESORIOS</v>
      </c>
      <c r="D66" s="252" t="str">
        <f>IFERROR(__xludf.DUMMYFUNCTION("""COMPUTED_VALUE"""),"EQUIPO INTEGRADO")</f>
        <v>EQUIPO INTEGRADO</v>
      </c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  <c r="AA66" s="252"/>
      <c r="AB66" s="252" t="str">
        <f>IFERROR(__xludf.DUMMYFUNCTION("""COMPUTED_VALUE"""),"En producción")</f>
        <v>En producción</v>
      </c>
      <c r="AC66" s="252"/>
      <c r="AD66" s="252"/>
      <c r="AE66" s="252" t="str">
        <f>IFERROR(__xludf.DUMMYFUNCTION("""COMPUTED_VALUE"""),"Sin incidentes")</f>
        <v>Sin incidentes</v>
      </c>
      <c r="AF66" s="252"/>
      <c r="AG66" s="252" t="str">
        <f>IFERROR(__xludf.DUMMYFUNCTION("""COMPUTED_VALUE"""),"[Quemador CI-02] -  ")</f>
        <v>[Quemador CI-02] -  </v>
      </c>
      <c r="AH66" s="252"/>
      <c r="AI66" s="252"/>
      <c r="AJ66" s="252"/>
      <c r="AK66" s="252"/>
      <c r="AL66" s="252"/>
      <c r="AM66" s="252"/>
      <c r="AN66" s="252"/>
      <c r="AO66" s="252"/>
      <c r="AP66" s="252"/>
      <c r="AQ66" s="252"/>
      <c r="AR66" s="252"/>
      <c r="AS66" s="881">
        <f>IFERROR(__xludf.DUMMYFUNCTION("""COMPUTED_VALUE"""),45776.0)</f>
        <v>45776</v>
      </c>
      <c r="AT66" s="881">
        <f>IFERROR(__xludf.DUMMYFUNCTION("""COMPUTED_VALUE"""),45776.0)</f>
        <v>45776</v>
      </c>
      <c r="AU66" s="252"/>
      <c r="AV66" s="252" t="str">
        <f>IFERROR(__xludf.DUMMYFUNCTION("""COMPUTED_VALUE"""),"RCO260313145251")</f>
        <v>RCO260313145251</v>
      </c>
      <c r="AW66" s="252">
        <f>IFERROR(__xludf.DUMMYFUNCTION("""COMPUTED_VALUE"""),37.0)</f>
        <v>37</v>
      </c>
      <c r="AX66" s="252"/>
      <c r="AY66" s="252"/>
      <c r="AZ66" s="883">
        <f>IFERROR(__xludf.DUMMYFUNCTION("""COMPUTED_VALUE"""),46094.0)</f>
        <v>46094</v>
      </c>
    </row>
    <row r="67">
      <c r="A67" s="252" t="str">
        <f>IFERROR(__xludf.DUMMYFUNCTION("""COMPUTED_VALUE"""),"9d2018bd")</f>
        <v>9d2018bd</v>
      </c>
      <c r="B67" s="252" t="str">
        <f>IFERROR(__xludf.DUMMYFUNCTION("""COMPUTED_VALUE"""),"CT-24 BDYC87-k")</f>
        <v>CT-24 BDYC87-k</v>
      </c>
      <c r="C67" s="252" t="str">
        <f>IFERROR(__xludf.DUMMYFUNCTION("""COMPUTED_VALUE"""),"CAMION TOLVA")</f>
        <v>CAMION TOLVA</v>
      </c>
      <c r="D67" s="252" t="str">
        <f>IFERROR(__xludf.DUMMYFUNCTION("""COMPUTED_VALUE"""),"TOLVA")</f>
        <v>TOLVA</v>
      </c>
      <c r="E67" s="252" t="str">
        <f>IFERROR(__xludf.DUMMYFUNCTION("""COMPUTED_VALUE"""),"MACK")</f>
        <v>MACK</v>
      </c>
      <c r="F67" s="252" t="str">
        <f>IFERROR(__xludf.DUMMYFUNCTION("""COMPUTED_VALUE"""),"GU 813")</f>
        <v>GU 813</v>
      </c>
      <c r="G67" s="252">
        <f>IFERROR(__xludf.DUMMYFUNCTION("""COMPUTED_VALUE"""),2009.0)</f>
        <v>2009</v>
      </c>
      <c r="H67" s="252" t="str">
        <f>IFERROR(__xludf.DUMMYFUNCTION("""COMPUTED_VALUE"""),"917759")</f>
        <v>917759</v>
      </c>
      <c r="I67" s="252" t="str">
        <f>IFERROR(__xludf.DUMMYFUNCTION("""COMPUTED_VALUE"""),"1M2AX18C49M006485")</f>
        <v>1M2AX18C49M006485</v>
      </c>
      <c r="J67" s="252" t="str">
        <f>IFERROR(__xludf.DUMMYFUNCTION("""COMPUTED_VALUE"""),"BDYC87-k")</f>
        <v>BDYC87-k</v>
      </c>
      <c r="K67" s="252" t="str">
        <f>IFERROR(__xludf.DUMMYFUNCTION("""COMPUTED_VALUE"""),"COMERCIALIZADORA ECMA SPA")</f>
        <v>COMERCIALIZADORA ECMA SPA</v>
      </c>
      <c r="L67" s="252"/>
      <c r="M67" s="252"/>
      <c r="N67" s="252"/>
      <c r="O67" s="252"/>
      <c r="P67" s="252"/>
      <c r="Q67" s="252"/>
      <c r="R67" s="252"/>
      <c r="S67" s="252" t="str">
        <f>IFERROR(__xludf.DUMMYFUNCTION("""COMPUTED_VALUE"""),"15")</f>
        <v>15</v>
      </c>
      <c r="T67" s="252"/>
      <c r="U67" s="252"/>
      <c r="V67" s="252"/>
      <c r="W67" s="252"/>
      <c r="X67" s="252"/>
      <c r="Y67" s="252"/>
      <c r="Z67" s="252"/>
      <c r="AA67" s="252"/>
      <c r="AB67" s="252" t="str">
        <f>IFERROR(__xludf.DUMMYFUNCTION("""COMPUTED_VALUE"""),"Reparando en taller")</f>
        <v>Reparando en taller</v>
      </c>
      <c r="AC67" s="252"/>
      <c r="AD67" s="252">
        <f>IFERROR(__xludf.DUMMYFUNCTION("""COMPUTED_VALUE"""),843.0)</f>
        <v>843</v>
      </c>
      <c r="AE67" s="252" t="str">
        <f>IFERROR(__xludf.DUMMYFUNCTION("""COMPUTED_VALUE"""),"Alerta incidente")</f>
        <v>Alerta incidente</v>
      </c>
      <c r="AF67" s="252">
        <f>IFERROR(__xludf.DUMMYFUNCTION("""COMPUTED_VALUE"""),2.0)</f>
        <v>2</v>
      </c>
      <c r="AG67" s="252" t="str">
        <f>IFERROR(__xludf.DUMMYFUNCTION("""COMPUTED_VALUE"""),"[CT-24 BDYC87-k] - MACK GU 813")</f>
        <v>[CT-24 BDYC87-k] - MACK GU 813</v>
      </c>
      <c r="AH67" s="252">
        <f>IFERROR(__xludf.DUMMYFUNCTION("""COMPUTED_VALUE"""),441.0)</f>
        <v>441</v>
      </c>
      <c r="AI67" s="252">
        <f>IFERROR(__xludf.DUMMYFUNCTION("""COMPUTED_VALUE"""),196910.0)</f>
        <v>196910</v>
      </c>
      <c r="AJ67" s="882">
        <f>IFERROR(__xludf.DUMMYFUNCTION("""COMPUTED_VALUE"""),46093.54366898148)</f>
        <v>46093.54367</v>
      </c>
      <c r="AK67" s="882">
        <f>IFERROR(__xludf.DUMMYFUNCTION("""COMPUTED_VALUE"""),46093.54373842593)</f>
        <v>46093.54374</v>
      </c>
      <c r="AL67" s="880">
        <f>IFERROR(__xludf.DUMMYFUNCTION("""COMPUTED_VALUE"""),419.0)</f>
        <v>419</v>
      </c>
      <c r="AM67" s="252"/>
      <c r="AN67" s="252" t="str">
        <f>IFERROR(__xludf.DUMMYFUNCTION("""COMPUTED_VALUE"""),"OT251015171825")</f>
        <v>OT251015171825</v>
      </c>
      <c r="AO67" s="252" t="str">
        <f>IFERROR(__xludf.DUMMYFUNCTION("""COMPUTED_VALUE"""),"Hr")</f>
        <v>Hr</v>
      </c>
      <c r="AP67" s="252" t="str">
        <f>IFERROR(__xludf.DUMMYFUNCTION("""COMPUTED_VALUE"""),"IS250410095518")</f>
        <v>IS250410095518</v>
      </c>
      <c r="AQ67" s="252">
        <f>IFERROR(__xludf.DUMMYFUNCTION("""COMPUTED_VALUE"""),851.0)</f>
        <v>851</v>
      </c>
      <c r="AR67" s="252">
        <f>IFERROR(__xludf.DUMMYFUNCTION("""COMPUTED_VALUE"""),196910.0)</f>
        <v>196910</v>
      </c>
      <c r="AS67" s="881">
        <f>IFERROR(__xludf.DUMMYFUNCTION("""COMPUTED_VALUE"""),45923.0)</f>
        <v>45923</v>
      </c>
      <c r="AT67" s="881">
        <f>IFERROR(__xludf.DUMMYFUNCTION("""COMPUTED_VALUE"""),44927.0)</f>
        <v>44927</v>
      </c>
      <c r="AU67" s="252" t="str">
        <f>IFERROR(__xludf.DUMMYFUNCTION("""COMPUTED_VALUE"""),"RDC260121093150")</f>
        <v>RDC260121093150</v>
      </c>
      <c r="AV67" s="252" t="str">
        <f>IFERROR(__xludf.DUMMYFUNCTION("""COMPUTED_VALUE"""),"RCO260113110941")</f>
        <v>RCO260113110941</v>
      </c>
      <c r="AW67" s="252">
        <f>IFERROR(__xludf.DUMMYFUNCTION("""COMPUTED_VALUE"""),236.0)</f>
        <v>236</v>
      </c>
      <c r="AX67" s="252">
        <f>IFERROR(__xludf.DUMMYFUNCTION("""COMPUTED_VALUE"""),264.0)</f>
        <v>264</v>
      </c>
      <c r="AY67" s="252">
        <f>IFERROR(__xludf.DUMMYFUNCTION("""COMPUTED_VALUE"""),0.0)</f>
        <v>0</v>
      </c>
      <c r="AZ67" s="884">
        <f>IFERROR(__xludf.DUMMYFUNCTION("""COMPUTED_VALUE"""),46035.0)</f>
        <v>46035</v>
      </c>
    </row>
    <row r="68">
      <c r="A68" s="252" t="str">
        <f>IFERROR(__xludf.DUMMYFUNCTION("""COMPUTED_VALUE"""),"9e53a97a")</f>
        <v>9e53a97a</v>
      </c>
      <c r="B68" s="252" t="str">
        <f>IFERROR(__xludf.DUMMYFUNCTION("""COMPUTED_VALUE"""),"ESTANQUE MOVIL")</f>
        <v>ESTANQUE MOVIL</v>
      </c>
      <c r="C68" s="252" t="str">
        <f>IFERROR(__xludf.DUMMYFUNCTION("""COMPUTED_VALUE"""),"NO APLICA")</f>
        <v>NO APLICA</v>
      </c>
      <c r="D68" s="252" t="str">
        <f>IFERROR(__xludf.DUMMYFUNCTION("""COMPUTED_VALUE"""),"NO APLICA")</f>
        <v>NO APLICA</v>
      </c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  <c r="AA68" s="252"/>
      <c r="AB68" s="252" t="str">
        <f>IFERROR(__xludf.DUMMYFUNCTION("""COMPUTED_VALUE"""),"Patio LL")</f>
        <v>Patio LL</v>
      </c>
      <c r="AC68" s="252"/>
      <c r="AD68" s="252"/>
      <c r="AE68" s="252" t="str">
        <f>IFERROR(__xludf.DUMMYFUNCTION("""COMPUTED_VALUE"""),"Sin incidentes")</f>
        <v>Sin incidentes</v>
      </c>
      <c r="AF68" s="252"/>
      <c r="AG68" s="252" t="str">
        <f>IFERROR(__xludf.DUMMYFUNCTION("""COMPUTED_VALUE"""),"[ESTANQUE MOVIL] -  ")</f>
        <v>[ESTANQUE MOVIL] -  </v>
      </c>
      <c r="AH68" s="252">
        <f>IFERROR(__xludf.DUMMYFUNCTION("""COMPUTED_VALUE"""),110579.0)</f>
        <v>110579</v>
      </c>
      <c r="AI68" s="252">
        <f>IFERROR(__xludf.DUMMYFUNCTION("""COMPUTED_VALUE"""),316785.0)</f>
        <v>316785</v>
      </c>
      <c r="AJ68" s="882">
        <f>IFERROR(__xludf.DUMMYFUNCTION("""COMPUTED_VALUE"""),46096.649143518516)</f>
        <v>46096.64914</v>
      </c>
      <c r="AK68" s="882">
        <f>IFERROR(__xludf.DUMMYFUNCTION("""COMPUTED_VALUE"""),46096.649189814816)</f>
        <v>46096.64919</v>
      </c>
      <c r="AL68" s="252"/>
      <c r="AM68" s="252"/>
      <c r="AN68" s="252"/>
      <c r="AO68" s="252"/>
      <c r="AP68" s="252"/>
      <c r="AQ68" s="252"/>
      <c r="AR68" s="252"/>
      <c r="AS68" s="881">
        <f>IFERROR(__xludf.DUMMYFUNCTION("""COMPUTED_VALUE"""),45807.0)</f>
        <v>45807</v>
      </c>
      <c r="AT68" s="881">
        <f>IFERROR(__xludf.DUMMYFUNCTION("""COMPUTED_VALUE"""),45814.0)</f>
        <v>45814</v>
      </c>
      <c r="AU68" s="252"/>
      <c r="AV68" s="252" t="str">
        <f>IFERROR(__xludf.DUMMYFUNCTION("""COMPUTED_VALUE"""),"RCO260315173210")</f>
        <v>RCO260315173210</v>
      </c>
      <c r="AW68" s="252">
        <f>IFERROR(__xludf.DUMMYFUNCTION("""COMPUTED_VALUE"""),838.0)</f>
        <v>838</v>
      </c>
      <c r="AX68" s="252">
        <f>IFERROR(__xludf.DUMMYFUNCTION("""COMPUTED_VALUE"""),0.0)</f>
        <v>0</v>
      </c>
      <c r="AY68" s="252">
        <f>IFERROR(__xludf.DUMMYFUNCTION("""COMPUTED_VALUE"""),0.0)</f>
        <v>0</v>
      </c>
      <c r="AZ68" s="883">
        <f>IFERROR(__xludf.DUMMYFUNCTION("""COMPUTED_VALUE"""),46096.0)</f>
        <v>46096</v>
      </c>
    </row>
    <row r="69">
      <c r="A69" s="252" t="str">
        <f>IFERROR(__xludf.DUMMYFUNCTION("""COMPUTED_VALUE"""),"9eb060d9")</f>
        <v>9eb060d9</v>
      </c>
      <c r="B69" s="252" t="str">
        <f>IFERROR(__xludf.DUMMYFUNCTION("""COMPUTED_VALUE"""),"EXT-02 EXCAVADORA CAT 320")</f>
        <v>EXT-02 EXCAVADORA CAT 320</v>
      </c>
      <c r="C69" s="252" t="str">
        <f>IFERROR(__xludf.DUMMYFUNCTION("""COMPUTED_VALUE"""),"EXCAVADORA")</f>
        <v>EXCAVADORA</v>
      </c>
      <c r="D69" s="252" t="str">
        <f>IFERROR(__xludf.DUMMYFUNCTION("""COMPUTED_VALUE"""),"EXTERNO")</f>
        <v>EXTERNO</v>
      </c>
      <c r="E69" s="252" t="str">
        <f>IFERROR(__xludf.DUMMYFUNCTION("""COMPUTED_VALUE"""),"CATERPILLAR")</f>
        <v>CATERPILLAR</v>
      </c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  <c r="AA69" s="252"/>
      <c r="AB69" s="252" t="str">
        <f>IFERROR(__xludf.DUMMYFUNCTION("""COMPUTED_VALUE"""),"En producción")</f>
        <v>En producción</v>
      </c>
      <c r="AC69" s="252"/>
      <c r="AD69" s="252"/>
      <c r="AE69" s="252" t="str">
        <f>IFERROR(__xludf.DUMMYFUNCTION("""COMPUTED_VALUE"""),"Sin incidentes")</f>
        <v>Sin incidentes</v>
      </c>
      <c r="AF69" s="252"/>
      <c r="AG69" s="252" t="str">
        <f>IFERROR(__xludf.DUMMYFUNCTION("""COMPUTED_VALUE"""),"[EXT-02 EXCAVADORA CAT 320] - CATERPILLAR ")</f>
        <v>[EXT-02 EXCAVADORA CAT 320] - CATERPILLAR </v>
      </c>
      <c r="AH69" s="252"/>
      <c r="AI69" s="252"/>
      <c r="AJ69" s="252"/>
      <c r="AK69" s="252"/>
      <c r="AL69" s="880" t="str">
        <f>IFERROR(__xludf.DUMMYFUNCTION("""COMPUTED_VALUE"""),"")</f>
        <v/>
      </c>
      <c r="AM69" s="880" t="str">
        <f>IFERROR(__xludf.DUMMYFUNCTION("""COMPUTED_VALUE"""),"")</f>
        <v/>
      </c>
      <c r="AN69" s="252"/>
      <c r="AO69" s="252" t="str">
        <f>IFERROR(__xludf.DUMMYFUNCTION("""COMPUTED_VALUE"""),"Hr")</f>
        <v>Hr</v>
      </c>
      <c r="AP69" s="252"/>
      <c r="AQ69" s="252"/>
      <c r="AR69" s="252"/>
      <c r="AS69" s="881">
        <f>IFERROR(__xludf.DUMMYFUNCTION("""COMPUTED_VALUE"""),44927.0)</f>
        <v>44927</v>
      </c>
      <c r="AT69" s="881">
        <f>IFERROR(__xludf.DUMMYFUNCTION("""COMPUTED_VALUE"""),44927.0)</f>
        <v>44927</v>
      </c>
      <c r="AU69" s="252"/>
      <c r="AV69" s="252"/>
      <c r="AW69" s="252"/>
      <c r="AX69" s="252"/>
      <c r="AY69" s="252"/>
      <c r="AZ69" s="252"/>
    </row>
    <row r="70">
      <c r="A70" s="252" t="str">
        <f>IFERROR(__xludf.DUMMYFUNCTION("""COMPUTED_VALUE"""),"9fd5bea4")</f>
        <v>9fd5bea4</v>
      </c>
      <c r="B70" s="252" t="str">
        <f>IFERROR(__xludf.DUMMYFUNCTION("""COMPUTED_VALUE"""),"CT-28 WH9822-7")</f>
        <v>CT-28 WH9822-7</v>
      </c>
      <c r="C70" s="252" t="str">
        <f>IFERROR(__xludf.DUMMYFUNCTION("""COMPUTED_VALUE"""),"CAMION TOLVA")</f>
        <v>CAMION TOLVA</v>
      </c>
      <c r="D70" s="252" t="str">
        <f>IFERROR(__xludf.DUMMYFUNCTION("""COMPUTED_VALUE"""),"TOLVA")</f>
        <v>TOLVA</v>
      </c>
      <c r="E70" s="252" t="str">
        <f>IFERROR(__xludf.DUMMYFUNCTION("""COMPUTED_VALUE"""),"MACK")</f>
        <v>MACK</v>
      </c>
      <c r="F70" s="252" t="str">
        <f>IFERROR(__xludf.DUMMYFUNCTION("""COMPUTED_VALUE"""),"CV713")</f>
        <v>CV713</v>
      </c>
      <c r="G70" s="252">
        <f>IFERROR(__xludf.DUMMYFUNCTION("""COMPUTED_VALUE"""),2006.0)</f>
        <v>2006</v>
      </c>
      <c r="H70" s="252" t="str">
        <f>IFERROR(__xludf.DUMMYFUNCTION("""COMPUTED_VALUE"""),"5U0892")</f>
        <v>5U0892</v>
      </c>
      <c r="I70" s="252" t="str">
        <f>IFERROR(__xludf.DUMMYFUNCTION("""COMPUTED_VALUE"""),"1M2AG11C86M043285")</f>
        <v>1M2AG11C86M043285</v>
      </c>
      <c r="J70" s="252" t="str">
        <f>IFERROR(__xludf.DUMMYFUNCTION("""COMPUTED_VALUE"""),"WH9822-7")</f>
        <v>WH9822-7</v>
      </c>
      <c r="K70" s="252"/>
      <c r="L70" s="252"/>
      <c r="M70" s="252"/>
      <c r="N70" s="252"/>
      <c r="O70" s="252"/>
      <c r="P70" s="252"/>
      <c r="Q70" s="252"/>
      <c r="R70" s="252"/>
      <c r="S70" s="252" t="str">
        <f>IFERROR(__xludf.DUMMYFUNCTION("""COMPUTED_VALUE"""),"15")</f>
        <v>15</v>
      </c>
      <c r="T70" s="252"/>
      <c r="U70" s="252"/>
      <c r="V70" s="252"/>
      <c r="W70" s="252"/>
      <c r="X70" s="252"/>
      <c r="Y70" s="252"/>
      <c r="Z70" s="252"/>
      <c r="AA70" s="252"/>
      <c r="AB70" s="252" t="str">
        <f>IFERROR(__xludf.DUMMYFUNCTION("""COMPUTED_VALUE"""),"En producción")</f>
        <v>En producción</v>
      </c>
      <c r="AC70" s="252"/>
      <c r="AD70" s="252">
        <f>IFERROR(__xludf.DUMMYFUNCTION("""COMPUTED_VALUE"""),909.0)</f>
        <v>909</v>
      </c>
      <c r="AE70" s="252" t="str">
        <f>IFERROR(__xludf.DUMMYFUNCTION("""COMPUTED_VALUE"""),"Alerta incidente")</f>
        <v>Alerta incidente</v>
      </c>
      <c r="AF70" s="252">
        <f>IFERROR(__xludf.DUMMYFUNCTION("""COMPUTED_VALUE"""),4.0)</f>
        <v>4</v>
      </c>
      <c r="AG70" s="252" t="str">
        <f>IFERROR(__xludf.DUMMYFUNCTION("""COMPUTED_VALUE"""),"[CT-28 WH9822-7] - MACK CV713")</f>
        <v>[CT-28 WH9822-7] - MACK CV713</v>
      </c>
      <c r="AH70" s="252">
        <f>IFERROR(__xludf.DUMMYFUNCTION("""COMPUTED_VALUE"""),21449.0)</f>
        <v>21449</v>
      </c>
      <c r="AI70" s="252">
        <f>IFERROR(__xludf.DUMMYFUNCTION("""COMPUTED_VALUE"""),5.6339657E7)</f>
        <v>56339657</v>
      </c>
      <c r="AJ70" s="882">
        <f>IFERROR(__xludf.DUMMYFUNCTION("""COMPUTED_VALUE"""),46095.58887731482)</f>
        <v>46095.58888</v>
      </c>
      <c r="AK70" s="882">
        <f>IFERROR(__xludf.DUMMYFUNCTION("""COMPUTED_VALUE"""),46078.26834490741)</f>
        <v>46078.26834</v>
      </c>
      <c r="AL70" s="880">
        <f>IFERROR(__xludf.DUMMYFUNCTION("""COMPUTED_VALUE"""),21900.0)</f>
        <v>21900</v>
      </c>
      <c r="AM70" s="252"/>
      <c r="AN70" s="252" t="str">
        <f>IFERROR(__xludf.DUMMYFUNCTION("""COMPUTED_VALUE"""),"OT260119083433")</f>
        <v>OT260119083433</v>
      </c>
      <c r="AO70" s="252" t="str">
        <f>IFERROR(__xludf.DUMMYFUNCTION("""COMPUTED_VALUE"""),"Hr")</f>
        <v>Hr</v>
      </c>
      <c r="AP70" s="252" t="str">
        <f>IFERROR(__xludf.DUMMYFUNCTION("""COMPUTED_VALUE"""),"IS251202105424")</f>
        <v>IS251202105424</v>
      </c>
      <c r="AQ70" s="252">
        <f>IFERROR(__xludf.DUMMYFUNCTION("""COMPUTED_VALUE"""),20484.0)</f>
        <v>20484</v>
      </c>
      <c r="AR70" s="252">
        <f>IFERROR(__xludf.DUMMYFUNCTION("""COMPUTED_VALUE"""),257305.0)</f>
        <v>257305</v>
      </c>
      <c r="AS70" s="881">
        <f>IFERROR(__xludf.DUMMYFUNCTION("""COMPUTED_VALUE"""),44927.0)</f>
        <v>44927</v>
      </c>
      <c r="AT70" s="881">
        <f>IFERROR(__xludf.DUMMYFUNCTION("""COMPUTED_VALUE"""),44927.0)</f>
        <v>44927</v>
      </c>
      <c r="AU70" s="252" t="str">
        <f>IFERROR(__xludf.DUMMYFUNCTION("""COMPUTED_VALUE"""),"RDC260305104053")</f>
        <v>RDC260305104053</v>
      </c>
      <c r="AV70" s="252" t="str">
        <f>IFERROR(__xludf.DUMMYFUNCTION("""COMPUTED_VALUE"""),"RCO260225082043")</f>
        <v>RCO260225082043</v>
      </c>
      <c r="AW70" s="252">
        <f>IFERROR(__xludf.DUMMYFUNCTION("""COMPUTED_VALUE"""),180.0)</f>
        <v>180</v>
      </c>
      <c r="AX70" s="252">
        <f>IFERROR(__xludf.DUMMYFUNCTION("""COMPUTED_VALUE"""),19.0)</f>
        <v>19</v>
      </c>
      <c r="AY70" s="252">
        <f>IFERROR(__xludf.DUMMYFUNCTION("""COMPUTED_VALUE"""),0.0)</f>
        <v>0</v>
      </c>
      <c r="AZ70" s="884">
        <f>IFERROR(__xludf.DUMMYFUNCTION("""COMPUTED_VALUE"""),46078.0)</f>
        <v>46078</v>
      </c>
    </row>
    <row r="71">
      <c r="A71" s="252" t="str">
        <f>IFERROR(__xludf.DUMMYFUNCTION("""COMPUTED_VALUE"""),"a142657a")</f>
        <v>a142657a</v>
      </c>
      <c r="B71" s="252" t="str">
        <f>IFERROR(__xludf.DUMMYFUNCTION("""COMPUTED_VALUE"""),"EXT-12 MOTONIVELADORA  HRJR49")</f>
        <v>EXT-12 MOTONIVELADORA  HRJR49</v>
      </c>
      <c r="C71" s="252" t="str">
        <f>IFERROR(__xludf.DUMMYFUNCTION("""COMPUTED_VALUE"""),"MAQUINARIA")</f>
        <v>MAQUINARIA</v>
      </c>
      <c r="D71" s="252" t="str">
        <f>IFERROR(__xludf.DUMMYFUNCTION("""COMPUTED_VALUE"""),"EXTERNO")</f>
        <v>EXTERNO</v>
      </c>
      <c r="E71" s="252" t="str">
        <f>IFERROR(__xludf.DUMMYFUNCTION("""COMPUTED_VALUE"""),"JONH DEERE")</f>
        <v>JONH DEERE</v>
      </c>
      <c r="F71" s="252" t="str">
        <f>IFERROR(__xludf.DUMMYFUNCTION("""COMPUTED_VALUE"""),"772 HRJR49")</f>
        <v>772 HRJR49</v>
      </c>
      <c r="G71" s="252"/>
      <c r="H71" s="252"/>
      <c r="I71" s="252"/>
      <c r="J71" s="252" t="str">
        <f>IFERROR(__xludf.DUMMYFUNCTION("""COMPUTED_VALUE"""),"HRJR49")</f>
        <v>HRJR49</v>
      </c>
      <c r="K71" s="252" t="str">
        <f>IFERROR(__xludf.DUMMYFUNCTION("""COMPUTED_VALUE"""),"EXTERNA")</f>
        <v>EXTERNA</v>
      </c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  <c r="AA71" s="252"/>
      <c r="AB71" s="252" t="str">
        <f>IFERROR(__xludf.DUMMYFUNCTION("""COMPUTED_VALUE"""),"En producción")</f>
        <v>En producción</v>
      </c>
      <c r="AC71" s="252"/>
      <c r="AD71" s="252">
        <f>IFERROR(__xludf.DUMMYFUNCTION("""COMPUTED_VALUE"""),634.0)</f>
        <v>634</v>
      </c>
      <c r="AE71" s="252" t="str">
        <f>IFERROR(__xludf.DUMMYFUNCTION("""COMPUTED_VALUE"""),"Sin incidentes")</f>
        <v>Sin incidentes</v>
      </c>
      <c r="AF71" s="252"/>
      <c r="AG71" s="252" t="str">
        <f>IFERROR(__xludf.DUMMYFUNCTION("""COMPUTED_VALUE"""),"[EXT-12 MOTONIVELADORA  HRJR49] - JONH DEERE 772 HRJR49")</f>
        <v>[EXT-12 MOTONIVELADORA  HRJR49] - JONH DEERE 772 HRJR49</v>
      </c>
      <c r="AH71" s="252">
        <f>IFERROR(__xludf.DUMMYFUNCTION("""COMPUTED_VALUE"""),12895.0)</f>
        <v>12895</v>
      </c>
      <c r="AI71" s="252"/>
      <c r="AJ71" s="882">
        <f>IFERROR(__xludf.DUMMYFUNCTION("""COMPUTED_VALUE"""),45786.320393518516)</f>
        <v>45786.32039</v>
      </c>
      <c r="AK71" s="252"/>
      <c r="AL71" s="252"/>
      <c r="AM71" s="252"/>
      <c r="AN71" s="252"/>
      <c r="AO71" s="252" t="str">
        <f>IFERROR(__xludf.DUMMYFUNCTION("""COMPUTED_VALUE"""),"Hr")</f>
        <v>Hr</v>
      </c>
      <c r="AP71" s="252"/>
      <c r="AQ71" s="252">
        <f>IFERROR(__xludf.DUMMYFUNCTION("""COMPUTED_VALUE"""),12802.0)</f>
        <v>12802</v>
      </c>
      <c r="AR71" s="252"/>
      <c r="AS71" s="881">
        <f>IFERROR(__xludf.DUMMYFUNCTION("""COMPUTED_VALUE"""),44927.0)</f>
        <v>44927</v>
      </c>
      <c r="AT71" s="881">
        <f>IFERROR(__xludf.DUMMYFUNCTION("""COMPUTED_VALUE"""),44927.0)</f>
        <v>44927</v>
      </c>
      <c r="AU71" s="252" t="str">
        <f>IFERROR(__xludf.DUMMYFUNCTION("""COMPUTED_VALUE"""),"RDC250506085942")</f>
        <v>RDC250506085942</v>
      </c>
      <c r="AV71" s="252"/>
      <c r="AW71" s="252"/>
      <c r="AX71" s="252"/>
      <c r="AY71" s="252"/>
      <c r="AZ71" s="252"/>
    </row>
    <row r="72">
      <c r="A72" s="252" t="str">
        <f>IFERROR(__xludf.DUMMYFUNCTION("""COMPUTED_VALUE"""),"a176100b")</f>
        <v>a176100b</v>
      </c>
      <c r="B72" s="252" t="str">
        <f>IFERROR(__xludf.DUMMYFUNCTION("""COMPUTED_VALUE"""),"CT-33 YU4931-5")</f>
        <v>CT-33 YU4931-5</v>
      </c>
      <c r="C72" s="252" t="str">
        <f>IFERROR(__xludf.DUMMYFUNCTION("""COMPUTED_VALUE"""),"CAMION TOLVA")</f>
        <v>CAMION TOLVA</v>
      </c>
      <c r="D72" s="252" t="str">
        <f>IFERROR(__xludf.DUMMYFUNCTION("""COMPUTED_VALUE"""),"CAMION TOLVA")</f>
        <v>CAMION TOLVA</v>
      </c>
      <c r="E72" s="252" t="str">
        <f>IFERROR(__xludf.DUMMYFUNCTION("""COMPUTED_VALUE"""),"MACK")</f>
        <v>MACK</v>
      </c>
      <c r="F72" s="252" t="str">
        <f>IFERROR(__xludf.DUMMYFUNCTION("""COMPUTED_VALUE"""),"CV713")</f>
        <v>CV713</v>
      </c>
      <c r="G72" s="252">
        <f>IFERROR(__xludf.DUMMYFUNCTION("""COMPUTED_VALUE"""),2005.0)</f>
        <v>2005</v>
      </c>
      <c r="H72" s="252" t="str">
        <f>IFERROR(__xludf.DUMMYFUNCTION("""COMPUTED_VALUE"""),"4Y3465")</f>
        <v>4Y3465</v>
      </c>
      <c r="I72" s="252" t="str">
        <f>IFERROR(__xludf.DUMMYFUNCTION("""COMPUTED_VALUE"""),"1M2AG11C15M0287736")</f>
        <v>1M2AG11C15M0287736</v>
      </c>
      <c r="J72" s="252" t="str">
        <f>IFERROR(__xludf.DUMMYFUNCTION("""COMPUTED_VALUE"""),"YU4931-5")</f>
        <v>YU4931-5</v>
      </c>
      <c r="K72" s="252" t="str">
        <f>IFERROR(__xludf.DUMMYFUNCTION("""COMPUTED_VALUE"""),"COMERCIALIZADORA ECMA SPA")</f>
        <v>COMERCIALIZADORA ECMA SPA</v>
      </c>
      <c r="L72" s="252"/>
      <c r="M72" s="252"/>
      <c r="N72" s="252"/>
      <c r="O72" s="252"/>
      <c r="P72" s="252"/>
      <c r="Q72" s="252"/>
      <c r="R72" s="252"/>
      <c r="S72" s="252" t="str">
        <f>IFERROR(__xludf.DUMMYFUNCTION("""COMPUTED_VALUE"""),"15")</f>
        <v>15</v>
      </c>
      <c r="T72" s="252"/>
      <c r="U72" s="252"/>
      <c r="V72" s="252"/>
      <c r="W72" s="252"/>
      <c r="X72" s="252"/>
      <c r="Y72" s="252"/>
      <c r="Z72" s="252"/>
      <c r="AA72" s="252"/>
      <c r="AB72" s="252" t="str">
        <f>IFERROR(__xludf.DUMMYFUNCTION("""COMPUTED_VALUE"""),"En producción")</f>
        <v>En producción</v>
      </c>
      <c r="AC72" s="252" t="str">
        <f>IFERROR(__xludf.DUMMYFUNCTION("""COMPUTED_VALUE"""),"MAQUINAS_Images/a176100b.FOTO1.172225.jpg")</f>
        <v>MAQUINAS_Images/a176100b.FOTO1.172225.jpg</v>
      </c>
      <c r="AD72" s="252">
        <f>IFERROR(__xludf.DUMMYFUNCTION("""COMPUTED_VALUE"""),1094.0)</f>
        <v>1094</v>
      </c>
      <c r="AE72" s="252" t="str">
        <f>IFERROR(__xludf.DUMMYFUNCTION("""COMPUTED_VALUE"""),"Sin incidentes")</f>
        <v>Sin incidentes</v>
      </c>
      <c r="AF72" s="252"/>
      <c r="AG72" s="252" t="str">
        <f>IFERROR(__xludf.DUMMYFUNCTION("""COMPUTED_VALUE"""),"[CT-33 YU4931-5] - MACK CV713")</f>
        <v>[CT-33 YU4931-5] - MACK CV713</v>
      </c>
      <c r="AH72" s="252">
        <f>IFERROR(__xludf.DUMMYFUNCTION("""COMPUTED_VALUE"""),22704.0)</f>
        <v>22704</v>
      </c>
      <c r="AI72" s="252">
        <f>IFERROR(__xludf.DUMMYFUNCTION("""COMPUTED_VALUE"""),311801.0)</f>
        <v>311801</v>
      </c>
      <c r="AJ72" s="882">
        <f>IFERROR(__xludf.DUMMYFUNCTION("""COMPUTED_VALUE"""),46094.591458333336)</f>
        <v>46094.59146</v>
      </c>
      <c r="AK72" s="882">
        <f>IFERROR(__xludf.DUMMYFUNCTION("""COMPUTED_VALUE"""),46094.59149305556)</f>
        <v>46094.59149</v>
      </c>
      <c r="AL72" s="880">
        <f>IFERROR(__xludf.DUMMYFUNCTION("""COMPUTED_VALUE"""),22887.0)</f>
        <v>22887</v>
      </c>
      <c r="AM72" s="252"/>
      <c r="AN72" s="252" t="str">
        <f>IFERROR(__xludf.DUMMYFUNCTION("""COMPUTED_VALUE"""),"OT251218162420")</f>
        <v>OT251218162420</v>
      </c>
      <c r="AO72" s="252" t="str">
        <f>IFERROR(__xludf.DUMMYFUNCTION("""COMPUTED_VALUE"""),"Hr")</f>
        <v>Hr</v>
      </c>
      <c r="AP72" s="252" t="str">
        <f>IFERROR(__xludf.DUMMYFUNCTION("""COMPUTED_VALUE"""),"IS250826115439")</f>
        <v>IS250826115439</v>
      </c>
      <c r="AQ72" s="252">
        <f>IFERROR(__xludf.DUMMYFUNCTION("""COMPUTED_VALUE"""),21628.0)</f>
        <v>21628</v>
      </c>
      <c r="AR72" s="252">
        <f>IFERROR(__xludf.DUMMYFUNCTION("""COMPUTED_VALUE"""),307815.0)</f>
        <v>307815</v>
      </c>
      <c r="AS72" s="881">
        <f>IFERROR(__xludf.DUMMYFUNCTION("""COMPUTED_VALUE"""),44927.0)</f>
        <v>44927</v>
      </c>
      <c r="AT72" s="881">
        <f>IFERROR(__xludf.DUMMYFUNCTION("""COMPUTED_VALUE"""),44927.0)</f>
        <v>44927</v>
      </c>
      <c r="AU72" s="252" t="str">
        <f>IFERROR(__xludf.DUMMYFUNCTION("""COMPUTED_VALUE"""),"RDC260313154931")</f>
        <v>RDC260313154931</v>
      </c>
      <c r="AV72" s="252" t="str">
        <f>IFERROR(__xludf.DUMMYFUNCTION("""COMPUTED_VALUE"""),"RCO260313082207")</f>
        <v>RCO260313082207</v>
      </c>
      <c r="AW72" s="252">
        <f>IFERROR(__xludf.DUMMYFUNCTION("""COMPUTED_VALUE"""),131.0)</f>
        <v>131</v>
      </c>
      <c r="AX72" s="252">
        <f>IFERROR(__xludf.DUMMYFUNCTION("""COMPUTED_VALUE"""),28.0)</f>
        <v>28</v>
      </c>
      <c r="AY72" s="252">
        <f>IFERROR(__xludf.DUMMYFUNCTION("""COMPUTED_VALUE"""),289129.0)</f>
        <v>289129</v>
      </c>
      <c r="AZ72" s="884">
        <f>IFERROR(__xludf.DUMMYFUNCTION("""COMPUTED_VALUE"""),46094.0)</f>
        <v>46094</v>
      </c>
    </row>
    <row r="73">
      <c r="A73" s="252" t="str">
        <f>IFERROR(__xludf.DUMMYFUNCTION("""COMPUTED_VALUE"""),"a1c23968")</f>
        <v>a1c23968</v>
      </c>
      <c r="B73" s="252" t="str">
        <f>IFERROR(__xludf.DUMMYFUNCTION("""COMPUTED_VALUE"""),"EXT-17 EXCAVADORA DOSSAN")</f>
        <v>EXT-17 EXCAVADORA DOSSAN</v>
      </c>
      <c r="C73" s="252" t="str">
        <f>IFERROR(__xludf.DUMMYFUNCTION("""COMPUTED_VALUE"""),"MAQUINARIA")</f>
        <v>MAQUINARIA</v>
      </c>
      <c r="D73" s="252" t="str">
        <f>IFERROR(__xludf.DUMMYFUNCTION("""COMPUTED_VALUE"""),"EXTERNO")</f>
        <v>EXTERNO</v>
      </c>
      <c r="E73" s="252"/>
      <c r="F73" s="252"/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  <c r="AA73" s="252"/>
      <c r="AB73" s="252" t="str">
        <f>IFERROR(__xludf.DUMMYFUNCTION("""COMPUTED_VALUE"""),"En producción")</f>
        <v>En producción</v>
      </c>
      <c r="AC73" s="252"/>
      <c r="AD73" s="252">
        <f>IFERROR(__xludf.DUMMYFUNCTION("""COMPUTED_VALUE"""),872.0)</f>
        <v>872</v>
      </c>
      <c r="AE73" s="252" t="str">
        <f>IFERROR(__xludf.DUMMYFUNCTION("""COMPUTED_VALUE"""),"Sin incidentes")</f>
        <v>Sin incidentes</v>
      </c>
      <c r="AF73" s="252"/>
      <c r="AG73" s="252" t="str">
        <f>IFERROR(__xludf.DUMMYFUNCTION("""COMPUTED_VALUE"""),"[EXT-17 EXCAVADORA DOSSAN] -  ")</f>
        <v>[EXT-17 EXCAVADORA DOSSAN] -  </v>
      </c>
      <c r="AH73" s="252">
        <f>IFERROR(__xludf.DUMMYFUNCTION("""COMPUTED_VALUE"""),15789.0)</f>
        <v>15789</v>
      </c>
      <c r="AI73" s="252"/>
      <c r="AJ73" s="882">
        <f>IFERROR(__xludf.DUMMYFUNCTION("""COMPUTED_VALUE"""),45887.34034722222)</f>
        <v>45887.34035</v>
      </c>
      <c r="AK73" s="252"/>
      <c r="AL73" s="252"/>
      <c r="AM73" s="252"/>
      <c r="AN73" s="252"/>
      <c r="AO73" s="252"/>
      <c r="AP73" s="252"/>
      <c r="AQ73" s="252"/>
      <c r="AR73" s="252"/>
      <c r="AS73" s="881">
        <f>IFERROR(__xludf.DUMMYFUNCTION("""COMPUTED_VALUE"""),45870.0)</f>
        <v>45870</v>
      </c>
      <c r="AT73" s="881">
        <f>IFERROR(__xludf.DUMMYFUNCTION("""COMPUTED_VALUE"""),45875.0)</f>
        <v>45875</v>
      </c>
      <c r="AU73" s="252" t="str">
        <f>IFERROR(__xludf.DUMMYFUNCTION("""COMPUTED_VALUE"""),"RDC250818090842")</f>
        <v>RDC250818090842</v>
      </c>
      <c r="AV73" s="252"/>
      <c r="AW73" s="252"/>
      <c r="AX73" s="252"/>
      <c r="AY73" s="252"/>
      <c r="AZ73" s="252"/>
    </row>
    <row r="74">
      <c r="A74" s="252" t="str">
        <f>IFERROR(__xludf.DUMMYFUNCTION("""COMPUTED_VALUE"""),"a26da00f")</f>
        <v>a26da00f</v>
      </c>
      <c r="B74" s="252" t="str">
        <f>IFERROR(__xludf.DUMMYFUNCTION("""COMPUTED_VALUE"""),"CF-10 PYCJ80")</f>
        <v>CF-10 PYCJ80</v>
      </c>
      <c r="C74" s="252" t="str">
        <f>IFERROR(__xludf.DUMMYFUNCTION("""COMPUTED_VALUE"""),"CARGADOR FRONTAL")</f>
        <v>CARGADOR FRONTAL</v>
      </c>
      <c r="D74" s="252" t="str">
        <f>IFERROR(__xludf.DUMMYFUNCTION("""COMPUTED_VALUE"""),"CARGADOR FRONTAL")</f>
        <v>CARGADOR FRONTAL</v>
      </c>
      <c r="E74" s="252" t="str">
        <f>IFERROR(__xludf.DUMMYFUNCTION("""COMPUTED_VALUE"""),"KOMATSU")</f>
        <v>KOMATSU</v>
      </c>
      <c r="F74" s="252" t="str">
        <f>IFERROR(__xludf.DUMMYFUNCTION("""COMPUTED_VALUE"""),"WA 470 - 6A")</f>
        <v>WA 470 - 6A</v>
      </c>
      <c r="G74" s="252">
        <f>IFERROR(__xludf.DUMMYFUNCTION("""COMPUTED_VALUE"""),2021.0)</f>
        <v>2021</v>
      </c>
      <c r="H74" s="252" t="str">
        <f>IFERROR(__xludf.DUMMYFUNCTION("""COMPUTED_VALUE"""),"92450")</f>
        <v>92450</v>
      </c>
      <c r="I74" s="252"/>
      <c r="J74" s="252" t="str">
        <f>IFERROR(__xludf.DUMMYFUNCTION("""COMPUTED_VALUE"""),"PYCJ80")</f>
        <v>PYCJ80</v>
      </c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  <c r="AA74" s="252"/>
      <c r="AB74" s="252" t="str">
        <f>IFERROR(__xludf.DUMMYFUNCTION("""COMPUTED_VALUE"""),"Patio LL")</f>
        <v>Patio LL</v>
      </c>
      <c r="AC74" s="252"/>
      <c r="AD74" s="252">
        <f>IFERROR(__xludf.DUMMYFUNCTION("""COMPUTED_VALUE"""),1021.0)</f>
        <v>1021</v>
      </c>
      <c r="AE74" s="252" t="str">
        <f>IFERROR(__xludf.DUMMYFUNCTION("""COMPUTED_VALUE"""),"Sin incidentes")</f>
        <v>Sin incidentes</v>
      </c>
      <c r="AF74" s="252"/>
      <c r="AG74" s="252" t="str">
        <f>IFERROR(__xludf.DUMMYFUNCTION("""COMPUTED_VALUE"""),"[CF-10 PYCJ80] - KOMATSU WA 470 - 6A")</f>
        <v>[CF-10 PYCJ80] - KOMATSU WA 470 - 6A</v>
      </c>
      <c r="AH74" s="252">
        <f>IFERROR(__xludf.DUMMYFUNCTION("""COMPUTED_VALUE"""),4671.0)</f>
        <v>4671</v>
      </c>
      <c r="AI74" s="252">
        <f>IFERROR(__xludf.DUMMYFUNCTION("""COMPUTED_VALUE"""),1.0)</f>
        <v>1</v>
      </c>
      <c r="AJ74" s="882">
        <f>IFERROR(__xludf.DUMMYFUNCTION("""COMPUTED_VALUE"""),46095.43054398148)</f>
        <v>46095.43054</v>
      </c>
      <c r="AK74" s="882">
        <f>IFERROR(__xludf.DUMMYFUNCTION("""COMPUTED_VALUE"""),46095.43056712963)</f>
        <v>46095.43057</v>
      </c>
      <c r="AL74" s="880">
        <f>IFERROR(__xludf.DUMMYFUNCTION("""COMPUTED_VALUE"""),4758.0)</f>
        <v>4758</v>
      </c>
      <c r="AM74" s="252"/>
      <c r="AN74" s="252"/>
      <c r="AO74" s="252"/>
      <c r="AP74" s="252"/>
      <c r="AQ74" s="252"/>
      <c r="AR74" s="252"/>
      <c r="AS74" s="881">
        <f>IFERROR(__xludf.DUMMYFUNCTION("""COMPUTED_VALUE"""),46009.0)</f>
        <v>46009</v>
      </c>
      <c r="AT74" s="881">
        <f>IFERROR(__xludf.DUMMYFUNCTION("""COMPUTED_VALUE"""),46009.0)</f>
        <v>46009</v>
      </c>
      <c r="AU74" s="252" t="str">
        <f>IFERROR(__xludf.DUMMYFUNCTION("""COMPUTED_VALUE"""),"RDC260302101813")</f>
        <v>RDC260302101813</v>
      </c>
      <c r="AV74" s="252" t="str">
        <f>IFERROR(__xludf.DUMMYFUNCTION("""COMPUTED_VALUE"""),"RCO260314121857")</f>
        <v>RCO260314121857</v>
      </c>
      <c r="AW74" s="252">
        <f>IFERROR(__xludf.DUMMYFUNCTION("""COMPUTED_VALUE"""),145.0)</f>
        <v>145</v>
      </c>
      <c r="AX74" s="252">
        <f>IFERROR(__xludf.DUMMYFUNCTION("""COMPUTED_VALUE"""),0.0)</f>
        <v>0</v>
      </c>
      <c r="AY74" s="252">
        <f>IFERROR(__xludf.DUMMYFUNCTION("""COMPUTED_VALUE"""),0.0)</f>
        <v>0</v>
      </c>
      <c r="AZ74" s="883">
        <f>IFERROR(__xludf.DUMMYFUNCTION("""COMPUTED_VALUE"""),46095.0)</f>
        <v>46095</v>
      </c>
    </row>
    <row r="75">
      <c r="A75" s="252" t="str">
        <f>IFERROR(__xludf.DUMMYFUNCTION("""COMPUTED_VALUE"""),"a273350d")</f>
        <v>a273350d</v>
      </c>
      <c r="B75" s="252" t="str">
        <f>IFERROR(__xludf.DUMMYFUNCTION("""COMPUTED_VALUE"""),"ESTANQUE OBRA")</f>
        <v>ESTANQUE OBRA</v>
      </c>
      <c r="C75" s="252" t="str">
        <f>IFERROR(__xludf.DUMMYFUNCTION("""COMPUTED_VALUE"""),"ESTANQUE OBRA")</f>
        <v>ESTANQUE OBRA</v>
      </c>
      <c r="D75" s="252" t="str">
        <f>IFERROR(__xludf.DUMMYFUNCTION("""COMPUTED_VALUE"""),"NO APLICA")</f>
        <v>NO APLICA</v>
      </c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  <c r="AA75" s="252"/>
      <c r="AB75" s="252" t="str">
        <f>IFERROR(__xludf.DUMMYFUNCTION("""COMPUTED_VALUE"""),"Discontinuado")</f>
        <v>Discontinuado</v>
      </c>
      <c r="AC75" s="252"/>
      <c r="AD75" s="252"/>
      <c r="AE75" s="252" t="str">
        <f>IFERROR(__xludf.DUMMYFUNCTION("""COMPUTED_VALUE"""),"Sin incidentes")</f>
        <v>Sin incidentes</v>
      </c>
      <c r="AF75" s="252"/>
      <c r="AG75" s="252" t="str">
        <f>IFERROR(__xludf.DUMMYFUNCTION("""COMPUTED_VALUE"""),"[ESTANQUE OBRA] -  ")</f>
        <v>[ESTANQUE OBRA] -  </v>
      </c>
      <c r="AH75" s="252">
        <f>IFERROR(__xludf.DUMMYFUNCTION("""COMPUTED_VALUE"""),2362.0)</f>
        <v>2362</v>
      </c>
      <c r="AI75" s="252">
        <f>IFERROR(__xludf.DUMMYFUNCTION("""COMPUTED_VALUE"""),129371.0)</f>
        <v>129371</v>
      </c>
      <c r="AJ75" s="882">
        <f>IFERROR(__xludf.DUMMYFUNCTION("""COMPUTED_VALUE"""),46093.60538194444)</f>
        <v>46093.60538</v>
      </c>
      <c r="AK75" s="882">
        <f>IFERROR(__xludf.DUMMYFUNCTION("""COMPUTED_VALUE"""),46093.60543981481)</f>
        <v>46093.60544</v>
      </c>
      <c r="AL75" s="252"/>
      <c r="AM75" s="252"/>
      <c r="AN75" s="252"/>
      <c r="AO75" s="252"/>
      <c r="AP75" s="252"/>
      <c r="AQ75" s="252"/>
      <c r="AR75" s="252"/>
      <c r="AS75" s="881">
        <f>IFERROR(__xludf.DUMMYFUNCTION("""COMPUTED_VALUE"""),45775.0)</f>
        <v>45775</v>
      </c>
      <c r="AT75" s="881">
        <f>IFERROR(__xludf.DUMMYFUNCTION("""COMPUTED_VALUE"""),45775.0)</f>
        <v>45775</v>
      </c>
      <c r="AU75" s="252"/>
      <c r="AV75" s="252" t="str">
        <f>IFERROR(__xludf.DUMMYFUNCTION("""COMPUTED_VALUE"""),"RCO260312162220")</f>
        <v>RCO260312162220</v>
      </c>
      <c r="AW75" s="252">
        <f>IFERROR(__xludf.DUMMYFUNCTION("""COMPUTED_VALUE"""),800.0)</f>
        <v>800</v>
      </c>
      <c r="AX75" s="252">
        <f>IFERROR(__xludf.DUMMYFUNCTION("""COMPUTED_VALUE"""),0.0)</f>
        <v>0</v>
      </c>
      <c r="AY75" s="252">
        <f>IFERROR(__xludf.DUMMYFUNCTION("""COMPUTED_VALUE"""),0.0)</f>
        <v>0</v>
      </c>
      <c r="AZ75" s="883">
        <f>IFERROR(__xludf.DUMMYFUNCTION("""COMPUTED_VALUE"""),46093.0)</f>
        <v>46093</v>
      </c>
    </row>
    <row r="76">
      <c r="A76" s="252" t="str">
        <f>IFERROR(__xludf.DUMMYFUNCTION("""COMPUTED_VALUE"""),"a6bba3ae")</f>
        <v>a6bba3ae</v>
      </c>
      <c r="B76" s="252" t="str">
        <f>IFERROR(__xludf.DUMMYFUNCTION("""COMPUTED_VALUE"""),"C-46 RXKR45")</f>
        <v>C-46 RXKR45</v>
      </c>
      <c r="C76" s="252" t="str">
        <f>IFERROR(__xludf.DUMMYFUNCTION("""COMPUTED_VALUE"""),"CAMIONETA")</f>
        <v>CAMIONETA</v>
      </c>
      <c r="D76" s="252" t="str">
        <f>IFERROR(__xludf.DUMMYFUNCTION("""COMPUTED_VALUE"""),"CAMIONETA")</f>
        <v>CAMIONETA</v>
      </c>
      <c r="E76" s="252" t="str">
        <f>IFERROR(__xludf.DUMMYFUNCTION("""COMPUTED_VALUE"""),"JMC")</f>
        <v>JMC</v>
      </c>
      <c r="F76" s="252"/>
      <c r="G76" s="252"/>
      <c r="H76" s="252"/>
      <c r="I76" s="252"/>
      <c r="J76" s="252" t="str">
        <f>IFERROR(__xludf.DUMMYFUNCTION("""COMPUTED_VALUE"""),"RXKR45")</f>
        <v>RXKR45</v>
      </c>
      <c r="K76" s="252" t="str">
        <f>IFERROR(__xludf.DUMMYFUNCTION("""COMPUTED_VALUE"""),"ECMA")</f>
        <v>ECMA</v>
      </c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  <c r="AA76" s="252"/>
      <c r="AB76" s="252" t="str">
        <f>IFERROR(__xludf.DUMMYFUNCTION("""COMPUTED_VALUE"""),"Fuera de la empresa")</f>
        <v>Fuera de la empresa</v>
      </c>
      <c r="AC76" s="252"/>
      <c r="AD76" s="252">
        <f>IFERROR(__xludf.DUMMYFUNCTION("""COMPUTED_VALUE"""),1066.0)</f>
        <v>1066</v>
      </c>
      <c r="AE76" s="252" t="str">
        <f>IFERROR(__xludf.DUMMYFUNCTION("""COMPUTED_VALUE"""),"Sin incidentes")</f>
        <v>Sin incidentes</v>
      </c>
      <c r="AF76" s="252"/>
      <c r="AG76" s="252" t="str">
        <f>IFERROR(__xludf.DUMMYFUNCTION("""COMPUTED_VALUE"""),"[C-46 RXKR45] - JMC ")</f>
        <v>[C-46 RXKR45] - JMC </v>
      </c>
      <c r="AH76" s="252">
        <f>IFERROR(__xludf.DUMMYFUNCTION("""COMPUTED_VALUE"""),877.0)</f>
        <v>877</v>
      </c>
      <c r="AI76" s="252"/>
      <c r="AJ76" s="882">
        <f>IFERROR(__xludf.DUMMYFUNCTION("""COMPUTED_VALUE"""),46069.4715162037)</f>
        <v>46069.47152</v>
      </c>
      <c r="AK76" s="252"/>
      <c r="AL76" s="880">
        <f>IFERROR(__xludf.DUMMYFUNCTION("""COMPUTED_VALUE"""),1055.0)</f>
        <v>1055</v>
      </c>
      <c r="AM76" s="252"/>
      <c r="AN76" s="252" t="str">
        <f>IFERROR(__xludf.DUMMYFUNCTION("""COMPUTED_VALUE"""),"OT251126142722")</f>
        <v>OT251126142722</v>
      </c>
      <c r="AO76" s="252" t="str">
        <f>IFERROR(__xludf.DUMMYFUNCTION("""COMPUTED_VALUE"""),"Hr")</f>
        <v>Hr</v>
      </c>
      <c r="AP76" s="252" t="str">
        <f>IFERROR(__xludf.DUMMYFUNCTION("""COMPUTED_VALUE"""),"IS251126160230")</f>
        <v>IS251126160230</v>
      </c>
      <c r="AQ76" s="252">
        <f>IFERROR(__xludf.DUMMYFUNCTION("""COMPUTED_VALUE"""),365.0)</f>
        <v>365</v>
      </c>
      <c r="AR76" s="252"/>
      <c r="AS76" s="881">
        <f>IFERROR(__xludf.DUMMYFUNCTION("""COMPUTED_VALUE"""),44927.0)</f>
        <v>44927</v>
      </c>
      <c r="AT76" s="881">
        <f>IFERROR(__xludf.DUMMYFUNCTION("""COMPUTED_VALUE"""),44927.0)</f>
        <v>44927</v>
      </c>
      <c r="AU76" s="252" t="str">
        <f>IFERROR(__xludf.DUMMYFUNCTION("""COMPUTED_VALUE"""),"RDC260216131816")</f>
        <v>RDC260216131816</v>
      </c>
      <c r="AV76" s="252" t="str">
        <f>IFERROR(__xludf.DUMMYFUNCTION("""COMPUTED_VALUE"""),"RCO260210134934")</f>
        <v>RCO260210134934</v>
      </c>
      <c r="AW76" s="252">
        <f>IFERROR(__xludf.DUMMYFUNCTION("""COMPUTED_VALUE"""),64.6)</f>
        <v>64.6</v>
      </c>
      <c r="AX76" s="252">
        <f>IFERROR(__xludf.DUMMYFUNCTION("""COMPUTED_VALUE"""),138.0)</f>
        <v>138</v>
      </c>
      <c r="AY76" s="252"/>
      <c r="AZ76" s="881">
        <f>IFERROR(__xludf.DUMMYFUNCTION("""COMPUTED_VALUE"""),46063.0)</f>
        <v>46063</v>
      </c>
    </row>
    <row r="77">
      <c r="A77" s="252" t="str">
        <f>IFERROR(__xludf.DUMMYFUNCTION("""COMPUTED_VALUE"""),"a9c2377c")</f>
        <v>a9c2377c</v>
      </c>
      <c r="B77" s="252" t="str">
        <f>IFERROR(__xludf.DUMMYFUNCTION("""COMPUTED_VALUE"""),"CT-38 VJGJ12")</f>
        <v>CT-38 VJGJ12</v>
      </c>
      <c r="C77" s="252" t="str">
        <f>IFERROR(__xludf.DUMMYFUNCTION("""COMPUTED_VALUE"""),"CAMION TOLVA")</f>
        <v>CAMION TOLVA</v>
      </c>
      <c r="D77" s="252" t="str">
        <f>IFERROR(__xludf.DUMMYFUNCTION("""COMPUTED_VALUE"""),"CAMION TOLVA")</f>
        <v>CAMION TOLVA</v>
      </c>
      <c r="E77" s="252" t="str">
        <f>IFERROR(__xludf.DUMMYFUNCTION("""COMPUTED_VALUE"""),"IVECO")</f>
        <v>IVECO</v>
      </c>
      <c r="F77" s="252" t="str">
        <f>IFERROR(__xludf.DUMMYFUNCTION("""COMPUTED_VALUE"""),"TRAKKER 500")</f>
        <v>TRAKKER 500</v>
      </c>
      <c r="G77" s="252">
        <f>IFERROR(__xludf.DUMMYFUNCTION("""COMPUTED_VALUE"""),2024.0)</f>
        <v>2024</v>
      </c>
      <c r="H77" s="252" t="str">
        <f>IFERROR(__xludf.DUMMYFUNCTION("""COMPUTED_VALUE"""),"281518")</f>
        <v>281518</v>
      </c>
      <c r="I77" s="252" t="str">
        <f>IFERROR(__xludf.DUMMYFUNCTION("""COMPUTED_VALUE"""),"WJMJ4CTD7PC479256")</f>
        <v>WJMJ4CTD7PC479256</v>
      </c>
      <c r="J77" s="252" t="str">
        <f>IFERROR(__xludf.DUMMYFUNCTION("""COMPUTED_VALUE"""),"VJGJ12")</f>
        <v>VJGJ12</v>
      </c>
      <c r="K77" s="252"/>
      <c r="L77" s="252" t="str">
        <f>IFERROR(__xludf.DUMMYFUNCTION("""COMPUTED_VALUE"""),"500")</f>
        <v>500</v>
      </c>
      <c r="M77" s="252"/>
      <c r="N77" s="252"/>
      <c r="O77" s="252"/>
      <c r="P77" s="252"/>
      <c r="Q77" s="252"/>
      <c r="R77" s="252"/>
      <c r="S77" s="252" t="str">
        <f>IFERROR(__xludf.DUMMYFUNCTION("""COMPUTED_VALUE"""),"20")</f>
        <v>20</v>
      </c>
      <c r="T77" s="252"/>
      <c r="U77" s="252"/>
      <c r="V77" s="252"/>
      <c r="W77" s="252"/>
      <c r="X77" s="252"/>
      <c r="Y77" s="252"/>
      <c r="Z77" s="252"/>
      <c r="AA77" s="252"/>
      <c r="AB77" s="252" t="str">
        <f>IFERROR(__xludf.DUMMYFUNCTION("""COMPUTED_VALUE"""),"En producción")</f>
        <v>En producción</v>
      </c>
      <c r="AC77" s="252"/>
      <c r="AD77" s="252">
        <f>IFERROR(__xludf.DUMMYFUNCTION("""COMPUTED_VALUE"""),996.0)</f>
        <v>996</v>
      </c>
      <c r="AE77" s="252" t="str">
        <f>IFERROR(__xludf.DUMMYFUNCTION("""COMPUTED_VALUE"""),"Sin incidentes")</f>
        <v>Sin incidentes</v>
      </c>
      <c r="AF77" s="252"/>
      <c r="AG77" s="252" t="str">
        <f>IFERROR(__xludf.DUMMYFUNCTION("""COMPUTED_VALUE"""),"[CT-38 VJGJ12] - IVECO TRAKKER 500")</f>
        <v>[CT-38 VJGJ12] - IVECO TRAKKER 500</v>
      </c>
      <c r="AH77" s="252">
        <f>IFERROR(__xludf.DUMMYFUNCTION("""COMPUTED_VALUE"""),1489.0)</f>
        <v>1489</v>
      </c>
      <c r="AI77" s="252">
        <f>IFERROR(__xludf.DUMMYFUNCTION("""COMPUTED_VALUE"""),24656.0)</f>
        <v>24656</v>
      </c>
      <c r="AJ77" s="882">
        <f>IFERROR(__xludf.DUMMYFUNCTION("""COMPUTED_VALUE"""),46096.426041666666)</f>
        <v>46096.42604</v>
      </c>
      <c r="AK77" s="882">
        <f>IFERROR(__xludf.DUMMYFUNCTION("""COMPUTED_VALUE"""),46096.42607638889)</f>
        <v>46096.42608</v>
      </c>
      <c r="AL77" s="880">
        <f>IFERROR(__xludf.DUMMYFUNCTION("""COMPUTED_VALUE"""),1637.0)</f>
        <v>1637</v>
      </c>
      <c r="AM77" s="252"/>
      <c r="AN77" s="252" t="str">
        <f>IFERROR(__xludf.DUMMYFUNCTION("""COMPUTED_VALUE"""),"OT260305151356")</f>
        <v>OT260305151356</v>
      </c>
      <c r="AO77" s="252" t="str">
        <f>IFERROR(__xludf.DUMMYFUNCTION("""COMPUTED_VALUE"""),"Hr")</f>
        <v>Hr</v>
      </c>
      <c r="AP77" s="252" t="str">
        <f>IFERROR(__xludf.DUMMYFUNCTION("""COMPUTED_VALUE"""),"IS251117163137")</f>
        <v>IS251117163137</v>
      </c>
      <c r="AQ77" s="252"/>
      <c r="AR77" s="252"/>
      <c r="AS77" s="881">
        <f>IFERROR(__xludf.DUMMYFUNCTION("""COMPUTED_VALUE"""),45924.0)</f>
        <v>45924</v>
      </c>
      <c r="AT77" s="881">
        <f>IFERROR(__xludf.DUMMYFUNCTION("""COMPUTED_VALUE"""),45924.0)</f>
        <v>45924</v>
      </c>
      <c r="AU77" s="252" t="str">
        <f>IFERROR(__xludf.DUMMYFUNCTION("""COMPUTED_VALUE"""),"RDC260314160024")</f>
        <v>RDC260314160024</v>
      </c>
      <c r="AV77" s="252" t="str">
        <f>IFERROR(__xludf.DUMMYFUNCTION("""COMPUTED_VALUE"""),"RCO260225135009")</f>
        <v>RCO260225135009</v>
      </c>
      <c r="AW77" s="252">
        <f>IFERROR(__xludf.DUMMYFUNCTION("""COMPUTED_VALUE"""),195.0)</f>
        <v>195</v>
      </c>
      <c r="AX77" s="252">
        <f>IFERROR(__xludf.DUMMYFUNCTION("""COMPUTED_VALUE"""),14.0)</f>
        <v>14</v>
      </c>
      <c r="AY77" s="252">
        <f>IFERROR(__xludf.DUMMYFUNCTION("""COMPUTED_VALUE"""),0.0)</f>
        <v>0</v>
      </c>
      <c r="AZ77" s="883">
        <f>IFERROR(__xludf.DUMMYFUNCTION("""COMPUTED_VALUE"""),46078.0)</f>
        <v>46078</v>
      </c>
    </row>
    <row r="78">
      <c r="A78" s="252" t="str">
        <f>IFERROR(__xludf.DUMMYFUNCTION("""COMPUTED_VALUE"""),"aa67222b")</f>
        <v>aa67222b</v>
      </c>
      <c r="B78" s="252" t="str">
        <f>IFERROR(__xludf.DUMMYFUNCTION("""COMPUTED_VALUE"""),"EX-10")</f>
        <v>EX-10</v>
      </c>
      <c r="C78" s="252" t="str">
        <f>IFERROR(__xludf.DUMMYFUNCTION("""COMPUTED_VALUE"""),"EXCAVADORA")</f>
        <v>EXCAVADORA</v>
      </c>
      <c r="D78" s="252" t="str">
        <f>IFERROR(__xludf.DUMMYFUNCTION("""COMPUTED_VALUE"""),"EXCAVADORA")</f>
        <v>EXCAVADORA</v>
      </c>
      <c r="E78" s="252" t="str">
        <f>IFERROR(__xludf.DUMMYFUNCTION("""COMPUTED_VALUE"""),"KOMATSU")</f>
        <v>KOMATSU</v>
      </c>
      <c r="F78" s="252" t="str">
        <f>IFERROR(__xludf.DUMMYFUNCTION("""COMPUTED_VALUE"""),"PC300LC-8")</f>
        <v>PC300LC-8</v>
      </c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  <c r="AA78" s="252"/>
      <c r="AB78" s="252" t="str">
        <f>IFERROR(__xludf.DUMMYFUNCTION("""COMPUTED_VALUE"""),"En producción")</f>
        <v>En producción</v>
      </c>
      <c r="AC78" s="252"/>
      <c r="AD78" s="252">
        <f>IFERROR(__xludf.DUMMYFUNCTION("""COMPUTED_VALUE"""),808.0)</f>
        <v>808</v>
      </c>
      <c r="AE78" s="252" t="str">
        <f>IFERROR(__xludf.DUMMYFUNCTION("""COMPUTED_VALUE"""),"Sin incidentes")</f>
        <v>Sin incidentes</v>
      </c>
      <c r="AF78" s="252"/>
      <c r="AG78" s="252" t="str">
        <f>IFERROR(__xludf.DUMMYFUNCTION("""COMPUTED_VALUE"""),"[EX-10] - KOMATSU PC300LC-8")</f>
        <v>[EX-10] - KOMATSU PC300LC-8</v>
      </c>
      <c r="AH78" s="252">
        <f>IFERROR(__xludf.DUMMYFUNCTION("""COMPUTED_VALUE"""),10229.0)</f>
        <v>10229</v>
      </c>
      <c r="AI78" s="252">
        <f>IFERROR(__xludf.DUMMYFUNCTION("""COMPUTED_VALUE"""),1.0)</f>
        <v>1</v>
      </c>
      <c r="AJ78" s="882">
        <f>IFERROR(__xludf.DUMMYFUNCTION("""COMPUTED_VALUE"""),46097.27334490741)</f>
        <v>46097.27334</v>
      </c>
      <c r="AK78" s="882">
        <f>IFERROR(__xludf.DUMMYFUNCTION("""COMPUTED_VALUE"""),46096.56354166667)</f>
        <v>46096.56354</v>
      </c>
      <c r="AL78" s="880">
        <f>IFERROR(__xludf.DUMMYFUNCTION("""COMPUTED_VALUE"""),10558.0)</f>
        <v>10558</v>
      </c>
      <c r="AM78" s="252"/>
      <c r="AN78" s="252" t="str">
        <f>IFERROR(__xludf.DUMMYFUNCTION("""COMPUTED_VALUE"""),"OT260314150726")</f>
        <v>OT260314150726</v>
      </c>
      <c r="AO78" s="252" t="str">
        <f>IFERROR(__xludf.DUMMYFUNCTION("""COMPUTED_VALUE"""),"Hr")</f>
        <v>Hr</v>
      </c>
      <c r="AP78" s="252"/>
      <c r="AQ78" s="252">
        <f>IFERROR(__xludf.DUMMYFUNCTION("""COMPUTED_VALUE"""),8520.0)</f>
        <v>8520</v>
      </c>
      <c r="AR78" s="252"/>
      <c r="AS78" s="881">
        <f>IFERROR(__xludf.DUMMYFUNCTION("""COMPUTED_VALUE"""),44927.0)</f>
        <v>44927</v>
      </c>
      <c r="AT78" s="881">
        <f>IFERROR(__xludf.DUMMYFUNCTION("""COMPUTED_VALUE"""),44927.0)</f>
        <v>44927</v>
      </c>
      <c r="AU78" s="252" t="str">
        <f>IFERROR(__xludf.DUMMYFUNCTION("""COMPUTED_VALUE"""),"RDC260316083219")</f>
        <v>RDC260316083219</v>
      </c>
      <c r="AV78" s="252" t="str">
        <f>IFERROR(__xludf.DUMMYFUNCTION("""COMPUTED_VALUE"""),"RCO260315153022")</f>
        <v>RCO260315153022</v>
      </c>
      <c r="AW78" s="252">
        <f>IFERROR(__xludf.DUMMYFUNCTION("""COMPUTED_VALUE"""),190.0)</f>
        <v>190</v>
      </c>
      <c r="AX78" s="252">
        <f>IFERROR(__xludf.DUMMYFUNCTION("""COMPUTED_VALUE"""),6.0)</f>
        <v>6</v>
      </c>
      <c r="AY78" s="252">
        <f>IFERROR(__xludf.DUMMYFUNCTION("""COMPUTED_VALUE"""),0.0)</f>
        <v>0</v>
      </c>
      <c r="AZ78" s="883">
        <f>IFERROR(__xludf.DUMMYFUNCTION("""COMPUTED_VALUE"""),46096.0)</f>
        <v>46096</v>
      </c>
    </row>
    <row r="79">
      <c r="A79" s="252" t="str">
        <f>IFERROR(__xludf.DUMMYFUNCTION("""COMPUTED_VALUE"""),"aad3a062")</f>
        <v>aad3a062</v>
      </c>
      <c r="B79" s="252" t="str">
        <f>IFERROR(__xludf.DUMMYFUNCTION("""COMPUTED_VALUE"""),"EF-01")</f>
        <v>EF-01</v>
      </c>
      <c r="C79" s="252" t="str">
        <f>IFERROR(__xludf.DUMMYFUNCTION("""COMPUTED_VALUE"""),"EQUIPO INTEGRADO")</f>
        <v>EQUIPO INTEGRADO</v>
      </c>
      <c r="D79" s="252" t="str">
        <f>IFERROR(__xludf.DUMMYFUNCTION("""COMPUTED_VALUE"""),"EQUIPO INTEGRADO")</f>
        <v>EQUIPO INTEGRADO</v>
      </c>
      <c r="E79" s="252" t="str">
        <f>IFERROR(__xludf.DUMMYFUNCTION("""COMPUTED_VALUE"""),"BERTI")</f>
        <v>BERTI</v>
      </c>
      <c r="F79" s="252" t="str">
        <f>IFERROR(__xludf.DUMMYFUNCTION("""COMPUTED_VALUE"""),"EFX MD/SB 140")</f>
        <v>EFX MD/SB 140</v>
      </c>
      <c r="G79" s="252">
        <f>IFERROR(__xludf.DUMMYFUNCTION("""COMPUTED_VALUE"""),2024.0)</f>
        <v>2024</v>
      </c>
      <c r="H79" s="252"/>
      <c r="I79" s="252" t="str">
        <f>IFERROR(__xludf.DUMMYFUNCTION("""COMPUTED_VALUE"""),"129427")</f>
        <v>129427</v>
      </c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  <c r="AA79" s="252"/>
      <c r="AB79" s="252" t="str">
        <f>IFERROR(__xludf.DUMMYFUNCTION("""COMPUTED_VALUE"""),"En producción")</f>
        <v>En producción</v>
      </c>
      <c r="AC79" s="252"/>
      <c r="AD79" s="252"/>
      <c r="AE79" s="252" t="str">
        <f>IFERROR(__xludf.DUMMYFUNCTION("""COMPUTED_VALUE"""),"Sin incidentes")</f>
        <v>Sin incidentes</v>
      </c>
      <c r="AF79" s="252"/>
      <c r="AG79" s="252" t="str">
        <f>IFERROR(__xludf.DUMMYFUNCTION("""COMPUTED_VALUE"""),"[EF-01] - BERTI EFX MD/SB 140")</f>
        <v>[EF-01] - BERTI EFX MD/SB 140</v>
      </c>
      <c r="AH79" s="252"/>
      <c r="AI79" s="252"/>
      <c r="AJ79" s="252"/>
      <c r="AK79" s="252"/>
      <c r="AL79" s="252"/>
      <c r="AM79" s="252"/>
      <c r="AN79" s="252"/>
      <c r="AO79" s="252"/>
      <c r="AP79" s="252"/>
      <c r="AQ79" s="252"/>
      <c r="AR79" s="252"/>
      <c r="AS79" s="881">
        <f>IFERROR(__xludf.DUMMYFUNCTION("""COMPUTED_VALUE"""),45957.0)</f>
        <v>45957</v>
      </c>
      <c r="AT79" s="881">
        <f>IFERROR(__xludf.DUMMYFUNCTION("""COMPUTED_VALUE"""),45957.0)</f>
        <v>45957</v>
      </c>
      <c r="AU79" s="252"/>
      <c r="AV79" s="252"/>
      <c r="AW79" s="252"/>
      <c r="AX79" s="252"/>
      <c r="AY79" s="252"/>
      <c r="AZ79" s="252"/>
    </row>
    <row r="80">
      <c r="A80" s="252" t="str">
        <f>IFERROR(__xludf.DUMMYFUNCTION("""COMPUTED_VALUE"""),"ad9b215c")</f>
        <v>ad9b215c</v>
      </c>
      <c r="B80" s="252" t="str">
        <f>IFERROR(__xludf.DUMMYFUNCTION("""COMPUTED_VALUE"""),"CT-22 BFTP66")</f>
        <v>CT-22 BFTP66</v>
      </c>
      <c r="C80" s="252" t="str">
        <f>IFERROR(__xludf.DUMMYFUNCTION("""COMPUTED_VALUE"""),"CAMION TOLVA")</f>
        <v>CAMION TOLVA</v>
      </c>
      <c r="D80" s="252" t="str">
        <f>IFERROR(__xludf.DUMMYFUNCTION("""COMPUTED_VALUE"""),"TOLVA")</f>
        <v>TOLVA</v>
      </c>
      <c r="E80" s="252" t="str">
        <f>IFERROR(__xludf.DUMMYFUNCTION("""COMPUTED_VALUE"""),"MERCEDEZ BENZ")</f>
        <v>MERCEDEZ BENZ</v>
      </c>
      <c r="F80" s="252"/>
      <c r="G80" s="252"/>
      <c r="H80" s="252"/>
      <c r="I80" s="252"/>
      <c r="J80" s="252" t="str">
        <f>IFERROR(__xludf.DUMMYFUNCTION("""COMPUTED_VALUE"""),"BFTP66")</f>
        <v>BFTP66</v>
      </c>
      <c r="K80" s="252"/>
      <c r="L80" s="252"/>
      <c r="M80" s="252"/>
      <c r="N80" s="252"/>
      <c r="O80" s="252"/>
      <c r="P80" s="252"/>
      <c r="Q80" s="252"/>
      <c r="R80" s="252"/>
      <c r="S80" s="252" t="str">
        <f>IFERROR(__xludf.DUMMYFUNCTION("""COMPUTED_VALUE"""),"15")</f>
        <v>15</v>
      </c>
      <c r="T80" s="252"/>
      <c r="U80" s="252"/>
      <c r="V80" s="252"/>
      <c r="W80" s="252"/>
      <c r="X80" s="252"/>
      <c r="Y80" s="252"/>
      <c r="Z80" s="252"/>
      <c r="AA80" s="252"/>
      <c r="AB80" s="252" t="str">
        <f>IFERROR(__xludf.DUMMYFUNCTION("""COMPUTED_VALUE"""),"Discontinuado")</f>
        <v>Discontinuado</v>
      </c>
      <c r="AC80" s="252"/>
      <c r="AD80" s="252">
        <f>IFERROR(__xludf.DUMMYFUNCTION("""COMPUTED_VALUE"""),394.0)</f>
        <v>394</v>
      </c>
      <c r="AE80" s="252" t="str">
        <f>IFERROR(__xludf.DUMMYFUNCTION("""COMPUTED_VALUE"""),"Sin incidentes")</f>
        <v>Sin incidentes</v>
      </c>
      <c r="AF80" s="252"/>
      <c r="AG80" s="252" t="str">
        <f>IFERROR(__xludf.DUMMYFUNCTION("""COMPUTED_VALUE"""),"[CT-22 BFTP66] - MERCEDEZ BENZ ")</f>
        <v>[CT-22 BFTP66] - MERCEDEZ BENZ </v>
      </c>
      <c r="AH80" s="252">
        <f>IFERROR(__xludf.DUMMYFUNCTION("""COMPUTED_VALUE"""),9221.0)</f>
        <v>9221</v>
      </c>
      <c r="AI80" s="252">
        <f>IFERROR(__xludf.DUMMYFUNCTION("""COMPUTED_VALUE"""),149517.0)</f>
        <v>149517</v>
      </c>
      <c r="AJ80" s="882">
        <f>IFERROR(__xludf.DUMMYFUNCTION("""COMPUTED_VALUE"""),46058.35040509259)</f>
        <v>46058.35041</v>
      </c>
      <c r="AK80" s="882">
        <f>IFERROR(__xludf.DUMMYFUNCTION("""COMPUTED_VALUE"""),46058.350439814814)</f>
        <v>46058.35044</v>
      </c>
      <c r="AL80" s="880">
        <f>IFERROR(__xludf.DUMMYFUNCTION("""COMPUTED_VALUE"""),9179.0)</f>
        <v>9179</v>
      </c>
      <c r="AM80" s="252"/>
      <c r="AN80" s="252" t="str">
        <f>IFERROR(__xludf.DUMMYFUNCTION("""COMPUTED_VALUE"""),"OT250528163132")</f>
        <v>OT250528163132</v>
      </c>
      <c r="AO80" s="252" t="str">
        <f>IFERROR(__xludf.DUMMYFUNCTION("""COMPUTED_VALUE"""),"Hr")</f>
        <v>Hr</v>
      </c>
      <c r="AP80" s="252" t="str">
        <f>IFERROR(__xludf.DUMMYFUNCTION("""COMPUTED_VALUE"""),"IS260205155639")</f>
        <v>IS260205155639</v>
      </c>
      <c r="AQ80" s="252">
        <f>IFERROR(__xludf.DUMMYFUNCTION("""COMPUTED_VALUE"""),8201.0)</f>
        <v>8201</v>
      </c>
      <c r="AR80" s="252"/>
      <c r="AS80" s="881">
        <f>IFERROR(__xludf.DUMMYFUNCTION("""COMPUTED_VALUE"""),44927.0)</f>
        <v>44927</v>
      </c>
      <c r="AT80" s="881">
        <f>IFERROR(__xludf.DUMMYFUNCTION("""COMPUTED_VALUE"""),44927.0)</f>
        <v>44927</v>
      </c>
      <c r="AU80" s="252" t="str">
        <f>IFERROR(__xludf.DUMMYFUNCTION("""COMPUTED_VALUE"""),"RDC260204174643")</f>
        <v>RDC260204174643</v>
      </c>
      <c r="AV80" s="252" t="str">
        <f>IFERROR(__xludf.DUMMYFUNCTION("""COMPUTED_VALUE"""),"RCO260205101901")</f>
        <v>RCO260205101901</v>
      </c>
      <c r="AW80" s="252">
        <f>IFERROR(__xludf.DUMMYFUNCTION("""COMPUTED_VALUE"""),220.0)</f>
        <v>220</v>
      </c>
      <c r="AX80" s="252">
        <f>IFERROR(__xludf.DUMMYFUNCTION("""COMPUTED_VALUE"""),19.0)</f>
        <v>19</v>
      </c>
      <c r="AY80" s="252">
        <f>IFERROR(__xludf.DUMMYFUNCTION("""COMPUTED_VALUE"""),0.0)</f>
        <v>0</v>
      </c>
      <c r="AZ80" s="883">
        <f>IFERROR(__xludf.DUMMYFUNCTION("""COMPUTED_VALUE"""),46058.0)</f>
        <v>46058</v>
      </c>
    </row>
    <row r="81">
      <c r="A81" s="252" t="str">
        <f>IFERROR(__xludf.DUMMYFUNCTION("""COMPUTED_VALUE"""),"adc86871")</f>
        <v>adc86871</v>
      </c>
      <c r="B81" s="252" t="str">
        <f>IFERROR(__xludf.DUMMYFUNCTION("""COMPUTED_VALUE"""),"C-54 VPPL47")</f>
        <v>C-54 VPPL47</v>
      </c>
      <c r="C81" s="252" t="str">
        <f>IFERROR(__xludf.DUMMYFUNCTION("""COMPUTED_VALUE"""),"CAMIONETA")</f>
        <v>CAMIONETA</v>
      </c>
      <c r="D81" s="252" t="str">
        <f>IFERROR(__xludf.DUMMYFUNCTION("""COMPUTED_VALUE"""),"CAMIONETA")</f>
        <v>CAMIONETA</v>
      </c>
      <c r="E81" s="252" t="str">
        <f>IFERROR(__xludf.DUMMYFUNCTION("""COMPUTED_VALUE"""),"MAXUS")</f>
        <v>MAXUS</v>
      </c>
      <c r="F81" s="252" t="str">
        <f>IFERROR(__xludf.DUMMYFUNCTION("""COMPUTED_VALUE"""),"T60 CS MT 4X4 2.0 DX PLUS")</f>
        <v>T60 CS MT 4X4 2.0 DX PLUS</v>
      </c>
      <c r="G81" s="252">
        <f>IFERROR(__xludf.DUMMYFUNCTION("""COMPUTED_VALUE"""),2026.0)</f>
        <v>2026</v>
      </c>
      <c r="H81" s="252" t="str">
        <f>IFERROR(__xludf.DUMMYFUNCTION("""COMPUTED_VALUE"""),"LSFAM11A0TA0484OT")</f>
        <v>LSFAM11A0TA0484OT</v>
      </c>
      <c r="I81" s="252" t="str">
        <f>IFERROR(__xludf.DUMMYFUNCTION("""COMPUTED_VALUE"""),"M9256035146")</f>
        <v>M9256035146</v>
      </c>
      <c r="J81" s="252" t="str">
        <f>IFERROR(__xludf.DUMMYFUNCTION("""COMPUTED_VALUE"""),"VPPL-47")</f>
        <v>VPPL-47</v>
      </c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  <c r="AA81" s="252"/>
      <c r="AB81" s="252" t="str">
        <f>IFERROR(__xludf.DUMMYFUNCTION("""COMPUTED_VALUE"""),"En producción")</f>
        <v>En producción</v>
      </c>
      <c r="AC81" s="252"/>
      <c r="AD81" s="252">
        <f>IFERROR(__xludf.DUMMYFUNCTION("""COMPUTED_VALUE"""),987.0)</f>
        <v>987</v>
      </c>
      <c r="AE81" s="252" t="str">
        <f>IFERROR(__xludf.DUMMYFUNCTION("""COMPUTED_VALUE"""),"Sin incidentes")</f>
        <v>Sin incidentes</v>
      </c>
      <c r="AF81" s="252"/>
      <c r="AG81" s="252" t="str">
        <f>IFERROR(__xludf.DUMMYFUNCTION("""COMPUTED_VALUE"""),"[C-54 VPPL47] - MAXUS T60 CS MT 4X4 2.0 DX PLUS")</f>
        <v>[C-54 VPPL47] - MAXUS T60 CS MT 4X4 2.0 DX PLUS</v>
      </c>
      <c r="AH81" s="252">
        <f>IFERROR(__xludf.DUMMYFUNCTION("""COMPUTED_VALUE"""),1.0)</f>
        <v>1</v>
      </c>
      <c r="AI81" s="252">
        <f>IFERROR(__xludf.DUMMYFUNCTION("""COMPUTED_VALUE"""),15567.0)</f>
        <v>15567</v>
      </c>
      <c r="AJ81" s="882">
        <f>IFERROR(__xludf.DUMMYFUNCTION("""COMPUTED_VALUE"""),46094.22488425926)</f>
        <v>46094.22488</v>
      </c>
      <c r="AK81" s="882">
        <f>IFERROR(__xludf.DUMMYFUNCTION("""COMPUTED_VALUE"""),46096.36319444444)</f>
        <v>46096.36319</v>
      </c>
      <c r="AL81" s="252"/>
      <c r="AM81" s="880">
        <f>IFERROR(__xludf.DUMMYFUNCTION("""COMPUTED_VALUE"""),20271.0)</f>
        <v>20271</v>
      </c>
      <c r="AN81" s="252" t="str">
        <f>IFERROR(__xludf.DUMMYFUNCTION("""COMPUTED_VALUE"""),"OT260127091234")</f>
        <v>OT260127091234</v>
      </c>
      <c r="AO81" s="252" t="str">
        <f>IFERROR(__xludf.DUMMYFUNCTION("""COMPUTED_VALUE"""),"Km")</f>
        <v>Km</v>
      </c>
      <c r="AP81" s="252" t="str">
        <f>IFERROR(__xludf.DUMMYFUNCTION("""COMPUTED_VALUE"""),"IS260312085257")</f>
        <v>IS260312085257</v>
      </c>
      <c r="AQ81" s="252"/>
      <c r="AR81" s="252"/>
      <c r="AS81" s="881">
        <f>IFERROR(__xludf.DUMMYFUNCTION("""COMPUTED_VALUE"""),45974.0)</f>
        <v>45974</v>
      </c>
      <c r="AT81" s="881">
        <f>IFERROR(__xludf.DUMMYFUNCTION("""COMPUTED_VALUE"""),45974.0)</f>
        <v>45974</v>
      </c>
      <c r="AU81" s="252" t="str">
        <f>IFERROR(__xludf.DUMMYFUNCTION("""COMPUTED_VALUE"""),"RDC260315103812")</f>
        <v>RDC260315103812</v>
      </c>
      <c r="AV81" s="252" t="str">
        <f>IFERROR(__xludf.DUMMYFUNCTION("""COMPUTED_VALUE"""),"RCO260313072215")</f>
        <v>RCO260313072215</v>
      </c>
      <c r="AW81" s="252">
        <f>IFERROR(__xludf.DUMMYFUNCTION("""COMPUTED_VALUE"""),30.0)</f>
        <v>30</v>
      </c>
      <c r="AX81" s="252">
        <f>IFERROR(__xludf.DUMMYFUNCTION("""COMPUTED_VALUE"""),0.0)</f>
        <v>0</v>
      </c>
      <c r="AY81" s="252">
        <f>IFERROR(__xludf.DUMMYFUNCTION("""COMPUTED_VALUE"""),230.0)</f>
        <v>230</v>
      </c>
      <c r="AZ81" s="883">
        <f>IFERROR(__xludf.DUMMYFUNCTION("""COMPUTED_VALUE"""),46094.0)</f>
        <v>46094</v>
      </c>
    </row>
    <row r="82">
      <c r="A82" s="252" t="str">
        <f>IFERROR(__xludf.DUMMYFUNCTION("""COMPUTED_VALUE"""),"ade41e9b")</f>
        <v>ade41e9b</v>
      </c>
      <c r="B82" s="252" t="str">
        <f>IFERROR(__xludf.DUMMYFUNCTION("""COMPUTED_VALUE"""),"RN-01 VHRZ34")</f>
        <v>RN-01 VHRZ34</v>
      </c>
      <c r="C82" s="252" t="str">
        <f>IFERROR(__xludf.DUMMYFUNCTION("""COMPUTED_VALUE"""),"RODILLO")</f>
        <v>RODILLO</v>
      </c>
      <c r="D82" s="252" t="str">
        <f>IFERROR(__xludf.DUMMYFUNCTION("""COMPUTED_VALUE"""),"RODILLO NEUMATICO")</f>
        <v>RODILLO NEUMATICO</v>
      </c>
      <c r="E82" s="252" t="str">
        <f>IFERROR(__xludf.DUMMYFUNCTION("""COMPUTED_VALUE"""),"AMMANN")</f>
        <v>AMMANN</v>
      </c>
      <c r="F82" s="252" t="str">
        <f>IFERROR(__xludf.DUMMYFUNCTION("""COMPUTED_VALUE"""),"AP 240")</f>
        <v>AP 240</v>
      </c>
      <c r="G82" s="252">
        <f>IFERROR(__xludf.DUMMYFUNCTION("""COMPUTED_VALUE"""),2016.0)</f>
        <v>2016</v>
      </c>
      <c r="H82" s="252" t="str">
        <f>IFERROR(__xludf.DUMMYFUNCTION("""COMPUTED_VALUE"""),"21977434")</f>
        <v>21977434</v>
      </c>
      <c r="I82" s="252"/>
      <c r="J82" s="252"/>
      <c r="K82" s="252"/>
      <c r="L82" s="252"/>
      <c r="M82" s="252"/>
      <c r="N82" s="252"/>
      <c r="O82" s="252"/>
      <c r="P82" s="252" t="str">
        <f>IFERROR(__xludf.DUMMYFUNCTION("""COMPUTED_VALUE"""),"1499 kilos")</f>
        <v>1499 kilos</v>
      </c>
      <c r="Q82" s="252"/>
      <c r="R82" s="252"/>
      <c r="S82" s="252"/>
      <c r="T82" s="252"/>
      <c r="U82" s="252"/>
      <c r="V82" s="252"/>
      <c r="W82" s="252"/>
      <c r="X82" s="252"/>
      <c r="Y82" s="252"/>
      <c r="Z82" s="252"/>
      <c r="AA82" s="252"/>
      <c r="AB82" s="252" t="str">
        <f>IFERROR(__xludf.DUMMYFUNCTION("""COMPUTED_VALUE"""),"En producción")</f>
        <v>En producción</v>
      </c>
      <c r="AC82" s="252" t="str">
        <f>IFERROR(__xludf.DUMMYFUNCTION("""COMPUTED_VALUE"""),"MAQUINAS_Images/ade41e9b.FOTO1.115545.jpg")</f>
        <v>MAQUINAS_Images/ade41e9b.FOTO1.115545.jpg</v>
      </c>
      <c r="AD82" s="252">
        <f>IFERROR(__xludf.DUMMYFUNCTION("""COMPUTED_VALUE"""),1077.0)</f>
        <v>1077</v>
      </c>
      <c r="AE82" s="252" t="str">
        <f>IFERROR(__xludf.DUMMYFUNCTION("""COMPUTED_VALUE"""),"Sin incidentes")</f>
        <v>Sin incidentes</v>
      </c>
      <c r="AF82" s="252"/>
      <c r="AG82" s="252" t="str">
        <f>IFERROR(__xludf.DUMMYFUNCTION("""COMPUTED_VALUE"""),"[RN-01 VHRZ34] - AMMANN AP 240")</f>
        <v>[RN-01 VHRZ34] - AMMANN AP 240</v>
      </c>
      <c r="AH82" s="252">
        <f>IFERROR(__xludf.DUMMYFUNCTION("""COMPUTED_VALUE"""),6499.0)</f>
        <v>6499</v>
      </c>
      <c r="AI82" s="252">
        <f>IFERROR(__xludf.DUMMYFUNCTION("""COMPUTED_VALUE"""),1.0)</f>
        <v>1</v>
      </c>
      <c r="AJ82" s="882">
        <f>IFERROR(__xludf.DUMMYFUNCTION("""COMPUTED_VALUE"""),46095.25603009259)</f>
        <v>46095.25603</v>
      </c>
      <c r="AK82" s="882">
        <f>IFERROR(__xludf.DUMMYFUNCTION("""COMPUTED_VALUE"""),46092.533171296294)</f>
        <v>46092.53317</v>
      </c>
      <c r="AL82" s="880">
        <f>IFERROR(__xludf.DUMMYFUNCTION("""COMPUTED_VALUE"""),6612.0)</f>
        <v>6612</v>
      </c>
      <c r="AM82" s="252"/>
      <c r="AN82" s="252" t="str">
        <f>IFERROR(__xludf.DUMMYFUNCTION("""COMPUTED_VALUE"""),"OT250709111113")</f>
        <v>OT250709111113</v>
      </c>
      <c r="AO82" s="252" t="str">
        <f>IFERROR(__xludf.DUMMYFUNCTION("""COMPUTED_VALUE"""),"Hr")</f>
        <v>Hr</v>
      </c>
      <c r="AP82" s="252" t="str">
        <f>IFERROR(__xludf.DUMMYFUNCTION("""COMPUTED_VALUE"""),"IS250924161708")</f>
        <v>IS250924161708</v>
      </c>
      <c r="AQ82" s="252">
        <f>IFERROR(__xludf.DUMMYFUNCTION("""COMPUTED_VALUE"""),6161.0)</f>
        <v>6161</v>
      </c>
      <c r="AR82" s="252"/>
      <c r="AS82" s="881">
        <f>IFERROR(__xludf.DUMMYFUNCTION("""COMPUTED_VALUE"""),44927.0)</f>
        <v>44927</v>
      </c>
      <c r="AT82" s="881">
        <f>IFERROR(__xludf.DUMMYFUNCTION("""COMPUTED_VALUE"""),44927.0)</f>
        <v>44927</v>
      </c>
      <c r="AU82" s="252" t="str">
        <f>IFERROR(__xludf.DUMMYFUNCTION("""COMPUTED_VALUE"""),"RDC260314080736")</f>
        <v>RDC260314080736</v>
      </c>
      <c r="AV82" s="252" t="str">
        <f>IFERROR(__xludf.DUMMYFUNCTION("""COMPUTED_VALUE"""),"RCO260311144202")</f>
        <v>RCO260311144202</v>
      </c>
      <c r="AW82" s="252">
        <f>IFERROR(__xludf.DUMMYFUNCTION("""COMPUTED_VALUE"""),40.0)</f>
        <v>40</v>
      </c>
      <c r="AX82" s="252">
        <f>IFERROR(__xludf.DUMMYFUNCTION("""COMPUTED_VALUE"""),3.0)</f>
        <v>3</v>
      </c>
      <c r="AY82" s="252">
        <f>IFERROR(__xludf.DUMMYFUNCTION("""COMPUTED_VALUE"""),0.0)</f>
        <v>0</v>
      </c>
      <c r="AZ82" s="883">
        <f>IFERROR(__xludf.DUMMYFUNCTION("""COMPUTED_VALUE"""),46092.0)</f>
        <v>46092</v>
      </c>
    </row>
    <row r="83">
      <c r="A83" s="252" t="str">
        <f>IFERROR(__xludf.DUMMYFUNCTION("""COMPUTED_VALUE"""),"b5f0fa95")</f>
        <v>b5f0fa95</v>
      </c>
      <c r="B83" s="252" t="str">
        <f>IFERROR(__xludf.DUMMYFUNCTION("""COMPUTED_VALUE"""),"C-55")</f>
        <v>C-55</v>
      </c>
      <c r="C83" s="252" t="str">
        <f>IFERROR(__xludf.DUMMYFUNCTION("""COMPUTED_VALUE"""),"CAMIONETA")</f>
        <v>CAMIONETA</v>
      </c>
      <c r="D83" s="252" t="str">
        <f>IFERROR(__xludf.DUMMYFUNCTION("""COMPUTED_VALUE"""),"CAMIONETA")</f>
        <v>CAMIONETA</v>
      </c>
      <c r="E83" s="252" t="str">
        <f>IFERROR(__xludf.DUMMYFUNCTION("""COMPUTED_VALUE"""),"MAXUS")</f>
        <v>MAXUS</v>
      </c>
      <c r="F83" s="252" t="str">
        <f>IFERROR(__xludf.DUMMYFUNCTION("""COMPUTED_VALUE"""),"T60 SC 4X4 DV PLUS 6MT E6")</f>
        <v>T60 SC 4X4 DV PLUS 6MT E6</v>
      </c>
      <c r="G83" s="252">
        <f>IFERROR(__xludf.DUMMYFUNCTION("""COMPUTED_VALUE"""),2026.0)</f>
        <v>2026</v>
      </c>
      <c r="H83" s="252" t="str">
        <f>IFERROR(__xludf.DUMMYFUNCTION("""COMPUTED_VALUE"""),"M9259058037")</f>
        <v>M9259058037</v>
      </c>
      <c r="I83" s="252" t="str">
        <f>IFERROR(__xludf.DUMMYFUNCTION("""COMPUTED_VALUE"""),"LSFAM11A4VA040128")</f>
        <v>LSFAM11A4VA040128</v>
      </c>
      <c r="J83" s="252" t="str">
        <f>IFERROR(__xludf.DUMMYFUNCTION("""COMPUTED_VALUE"""),"VTUY21")</f>
        <v>VTUY21</v>
      </c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  <c r="AA83" s="252"/>
      <c r="AB83" s="252" t="str">
        <f>IFERROR(__xludf.DUMMYFUNCTION("""COMPUTED_VALUE"""),"Patio LL")</f>
        <v>Patio LL</v>
      </c>
      <c r="AC83" s="252"/>
      <c r="AD83" s="252"/>
      <c r="AE83" s="252" t="str">
        <f>IFERROR(__xludf.DUMMYFUNCTION("""COMPUTED_VALUE"""),"Sin incidentes")</f>
        <v>Sin incidentes</v>
      </c>
      <c r="AF83" s="252"/>
      <c r="AG83" s="252" t="str">
        <f>IFERROR(__xludf.DUMMYFUNCTION("""COMPUTED_VALUE"""),"[C-55] - MAXUS T60 SC 4X4 DV PLUS 6MT E6")</f>
        <v>[C-55] - MAXUS T60 SC 4X4 DV PLUS 6MT E6</v>
      </c>
      <c r="AH83" s="252"/>
      <c r="AI83" s="252"/>
      <c r="AJ83" s="252"/>
      <c r="AK83" s="252"/>
      <c r="AL83" s="252"/>
      <c r="AM83" s="252"/>
      <c r="AN83" s="252"/>
      <c r="AO83" s="252"/>
      <c r="AP83" s="252"/>
      <c r="AQ83" s="252"/>
      <c r="AR83" s="252"/>
      <c r="AS83" s="881">
        <f>IFERROR(__xludf.DUMMYFUNCTION("""COMPUTED_VALUE"""),46078.0)</f>
        <v>46078</v>
      </c>
      <c r="AT83" s="881">
        <f>IFERROR(__xludf.DUMMYFUNCTION("""COMPUTED_VALUE"""),46078.0)</f>
        <v>46078</v>
      </c>
      <c r="AU83" s="252"/>
      <c r="AV83" s="252" t="str">
        <f>IFERROR(__xludf.DUMMYFUNCTION("""COMPUTED_VALUE"""),"RCO260313091713")</f>
        <v>RCO260313091713</v>
      </c>
      <c r="AW83" s="252">
        <f>IFERROR(__xludf.DUMMYFUNCTION("""COMPUTED_VALUE"""),52.0)</f>
        <v>52</v>
      </c>
      <c r="AX83" s="252"/>
      <c r="AY83" s="252"/>
      <c r="AZ83" s="883">
        <f>IFERROR(__xludf.DUMMYFUNCTION("""COMPUTED_VALUE"""),46094.0)</f>
        <v>46094</v>
      </c>
    </row>
    <row r="84">
      <c r="A84" s="252" t="str">
        <f>IFERROR(__xludf.DUMMYFUNCTION("""COMPUTED_VALUE"""),"b7415793")</f>
        <v>b7415793</v>
      </c>
      <c r="B84" s="252" t="str">
        <f>IFERROR(__xludf.DUMMYFUNCTION("""COMPUTED_VALUE"""),"EM-04 RODON DE RASTRE")</f>
        <v>EM-04 RODON DE RASTRE</v>
      </c>
      <c r="C84" s="252" t="str">
        <f>IFERROR(__xludf.DUMMYFUNCTION("""COMPUTED_VALUE"""),"EQUIPO MENOR")</f>
        <v>EQUIPO MENOR</v>
      </c>
      <c r="D84" s="252" t="str">
        <f>IFERROR(__xludf.DUMMYFUNCTION("""COMPUTED_VALUE"""),"EQUIPO MENOR")</f>
        <v>EQUIPO MENOR</v>
      </c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  <c r="AA84" s="252"/>
      <c r="AB84" s="252" t="str">
        <f>IFERROR(__xludf.DUMMYFUNCTION("""COMPUTED_VALUE"""),"En producción")</f>
        <v>En producción</v>
      </c>
      <c r="AC84" s="252"/>
      <c r="AD84" s="252"/>
      <c r="AE84" s="252" t="str">
        <f>IFERROR(__xludf.DUMMYFUNCTION("""COMPUTED_VALUE"""),"Sin incidentes")</f>
        <v>Sin incidentes</v>
      </c>
      <c r="AF84" s="252"/>
      <c r="AG84" s="252" t="str">
        <f>IFERROR(__xludf.DUMMYFUNCTION("""COMPUTED_VALUE"""),"[EM-04 RODON DE RASTRE] -  ")</f>
        <v>[EM-04 RODON DE RASTRE] -  </v>
      </c>
      <c r="AH84" s="252"/>
      <c r="AI84" s="252"/>
      <c r="AJ84" s="252"/>
      <c r="AK84" s="252"/>
      <c r="AL84" s="880" t="str">
        <f>IFERROR(__xludf.DUMMYFUNCTION("""COMPUTED_VALUE"""),"")</f>
        <v/>
      </c>
      <c r="AM84" s="880" t="str">
        <f>IFERROR(__xludf.DUMMYFUNCTION("""COMPUTED_VALUE"""),"")</f>
        <v/>
      </c>
      <c r="AN84" s="252"/>
      <c r="AO84" s="252" t="str">
        <f>IFERROR(__xludf.DUMMYFUNCTION("""COMPUTED_VALUE"""),"N/A")</f>
        <v>N/A</v>
      </c>
      <c r="AP84" s="252"/>
      <c r="AQ84" s="252"/>
      <c r="AR84" s="252"/>
      <c r="AS84" s="881">
        <f>IFERROR(__xludf.DUMMYFUNCTION("""COMPUTED_VALUE"""),44927.0)</f>
        <v>44927</v>
      </c>
      <c r="AT84" s="881">
        <f>IFERROR(__xludf.DUMMYFUNCTION("""COMPUTED_VALUE"""),44927.0)</f>
        <v>44927</v>
      </c>
      <c r="AU84" s="252"/>
      <c r="AV84" s="252"/>
      <c r="AW84" s="252"/>
      <c r="AX84" s="252"/>
      <c r="AY84" s="252"/>
      <c r="AZ84" s="252"/>
    </row>
    <row r="85">
      <c r="A85" s="252" t="str">
        <f>IFERROR(__xludf.DUMMYFUNCTION("""COMPUTED_VALUE"""),"b7574631")</f>
        <v>b7574631</v>
      </c>
      <c r="B85" s="252" t="str">
        <f>IFERROR(__xludf.DUMMYFUNCTION("""COMPUTED_VALUE"""),"EXT-06 EXCAVADORA HIDROMEK")</f>
        <v>EXT-06 EXCAVADORA HIDROMEK</v>
      </c>
      <c r="C85" s="252" t="str">
        <f>IFERROR(__xludf.DUMMYFUNCTION("""COMPUTED_VALUE"""),"EXCAVADORA")</f>
        <v>EXCAVADORA</v>
      </c>
      <c r="D85" s="252" t="str">
        <f>IFERROR(__xludf.DUMMYFUNCTION("""COMPUTED_VALUE"""),"EXTERNO")</f>
        <v>EXTERNO</v>
      </c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  <c r="AA85" s="252"/>
      <c r="AB85" s="252" t="str">
        <f>IFERROR(__xludf.DUMMYFUNCTION("""COMPUTED_VALUE"""),"En producción")</f>
        <v>En producción</v>
      </c>
      <c r="AC85" s="252"/>
      <c r="AD85" s="252"/>
      <c r="AE85" s="252" t="str">
        <f>IFERROR(__xludf.DUMMYFUNCTION("""COMPUTED_VALUE"""),"Sin incidentes")</f>
        <v>Sin incidentes</v>
      </c>
      <c r="AF85" s="252"/>
      <c r="AG85" s="252" t="str">
        <f>IFERROR(__xludf.DUMMYFUNCTION("""COMPUTED_VALUE"""),"[EXT-06 EXCAVADORA HIDROMEK] -  ")</f>
        <v>[EXT-06 EXCAVADORA HIDROMEK] -  </v>
      </c>
      <c r="AH85" s="252">
        <f>IFERROR(__xludf.DUMMYFUNCTION("""COMPUTED_VALUE"""),2023.0)</f>
        <v>2023</v>
      </c>
      <c r="AI85" s="252"/>
      <c r="AJ85" s="882">
        <f>IFERROR(__xludf.DUMMYFUNCTION("""COMPUTED_VALUE"""),45723.56263888889)</f>
        <v>45723.56264</v>
      </c>
      <c r="AK85" s="252"/>
      <c r="AL85" s="880">
        <f>IFERROR(__xludf.DUMMYFUNCTION("""COMPUTED_VALUE"""),2350.0)</f>
        <v>2350</v>
      </c>
      <c r="AM85" s="880" t="str">
        <f>IFERROR(__xludf.DUMMYFUNCTION("""COMPUTED_VALUE"""),"")</f>
        <v/>
      </c>
      <c r="AN85" s="252" t="str">
        <f>IFERROR(__xludf.DUMMYFUNCTION("""COMPUTED_VALUE"""),"OT241219092740")</f>
        <v>OT241219092740</v>
      </c>
      <c r="AO85" s="252" t="str">
        <f>IFERROR(__xludf.DUMMYFUNCTION("""COMPUTED_VALUE"""),"Hr")</f>
        <v>Hr</v>
      </c>
      <c r="AP85" s="252"/>
      <c r="AQ85" s="252">
        <f>IFERROR(__xludf.DUMMYFUNCTION("""COMPUTED_VALUE"""),2023.0)</f>
        <v>2023</v>
      </c>
      <c r="AR85" s="252"/>
      <c r="AS85" s="881">
        <f>IFERROR(__xludf.DUMMYFUNCTION("""COMPUTED_VALUE"""),44927.0)</f>
        <v>44927</v>
      </c>
      <c r="AT85" s="881">
        <f>IFERROR(__xludf.DUMMYFUNCTION("""COMPUTED_VALUE"""),44927.0)</f>
        <v>44927</v>
      </c>
      <c r="AU85" s="252" t="str">
        <f>IFERROR(__xludf.DUMMYFUNCTION("""COMPUTED_VALUE"""),"RDC250303145948")</f>
        <v>RDC250303145948</v>
      </c>
      <c r="AV85" s="252"/>
      <c r="AW85" s="252"/>
      <c r="AX85" s="252"/>
      <c r="AY85" s="252"/>
      <c r="AZ85" s="252"/>
    </row>
    <row r="86">
      <c r="A86" s="252" t="str">
        <f>IFERROR(__xludf.DUMMYFUNCTION("""COMPUTED_VALUE"""),"c0f0efc7")</f>
        <v>c0f0efc7</v>
      </c>
      <c r="B86" s="252" t="str">
        <f>IFERROR(__xludf.DUMMYFUNCTION("""COMPUTED_VALUE"""),"RX-08 JOHN DEERE")</f>
        <v>RX-08 JOHN DEERE</v>
      </c>
      <c r="C86" s="252" t="str">
        <f>IFERROR(__xludf.DUMMYFUNCTION("""COMPUTED_VALUE"""),"RETROEXCAVADORA")</f>
        <v>RETROEXCAVADORA</v>
      </c>
      <c r="D86" s="252" t="str">
        <f>IFERROR(__xludf.DUMMYFUNCTION("""COMPUTED_VALUE"""),"RETROEXCAVADORA")</f>
        <v>RETROEXCAVADORA</v>
      </c>
      <c r="E86" s="252" t="str">
        <f>IFERROR(__xludf.DUMMYFUNCTION("""COMPUTED_VALUE"""),"JOHN DEERE")</f>
        <v>JOHN DEERE</v>
      </c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 t="str">
        <f>IFERROR(__xludf.DUMMYFUNCTION("""COMPUTED_VALUE"""),"En producción")</f>
        <v>En producción</v>
      </c>
      <c r="AC86" s="252"/>
      <c r="AD86" s="252">
        <f>IFERROR(__xludf.DUMMYFUNCTION("""COMPUTED_VALUE"""),839.0)</f>
        <v>839</v>
      </c>
      <c r="AE86" s="252" t="str">
        <f>IFERROR(__xludf.DUMMYFUNCTION("""COMPUTED_VALUE"""),"Sin incidentes")</f>
        <v>Sin incidentes</v>
      </c>
      <c r="AF86" s="252"/>
      <c r="AG86" s="252" t="str">
        <f>IFERROR(__xludf.DUMMYFUNCTION("""COMPUTED_VALUE"""),"[RX-08 JOHN DEERE] - JOHN DEERE ")</f>
        <v>[RX-08 JOHN DEERE] - JOHN DEERE </v>
      </c>
      <c r="AH86" s="252">
        <f>IFERROR(__xludf.DUMMYFUNCTION("""COMPUTED_VALUE"""),11026.0)</f>
        <v>11026</v>
      </c>
      <c r="AI86" s="252">
        <f>IFERROR(__xludf.DUMMYFUNCTION("""COMPUTED_VALUE"""),1.0)</f>
        <v>1</v>
      </c>
      <c r="AJ86" s="882">
        <f>IFERROR(__xludf.DUMMYFUNCTION("""COMPUTED_VALUE"""),46096.58563657408)</f>
        <v>46096.58564</v>
      </c>
      <c r="AK86" s="882">
        <f>IFERROR(__xludf.DUMMYFUNCTION("""COMPUTED_VALUE"""),46095.545798611114)</f>
        <v>46095.5458</v>
      </c>
      <c r="AL86" s="880">
        <f>IFERROR(__xludf.DUMMYFUNCTION("""COMPUTED_VALUE"""),2674.0)</f>
        <v>2674</v>
      </c>
      <c r="AM86" s="880" t="str">
        <f>IFERROR(__xludf.DUMMYFUNCTION("""COMPUTED_VALUE"""),"")</f>
        <v/>
      </c>
      <c r="AN86" s="252" t="str">
        <f>IFERROR(__xludf.DUMMYFUNCTION("""COMPUTED_VALUE"""),"OT260206103348")</f>
        <v>OT260206103348</v>
      </c>
      <c r="AO86" s="252" t="str">
        <f>IFERROR(__xludf.DUMMYFUNCTION("""COMPUTED_VALUE"""),"Hr")</f>
        <v>Hr</v>
      </c>
      <c r="AP86" s="252"/>
      <c r="AQ86" s="252">
        <f>IFERROR(__xludf.DUMMYFUNCTION("""COMPUTED_VALUE"""),1082.0)</f>
        <v>1082</v>
      </c>
      <c r="AR86" s="252"/>
      <c r="AS86" s="881">
        <f>IFERROR(__xludf.DUMMYFUNCTION("""COMPUTED_VALUE"""),44927.0)</f>
        <v>44927</v>
      </c>
      <c r="AT86" s="881">
        <f>IFERROR(__xludf.DUMMYFUNCTION("""COMPUTED_VALUE"""),44927.0)</f>
        <v>44927</v>
      </c>
      <c r="AU86" s="252" t="str">
        <f>IFERROR(__xludf.DUMMYFUNCTION("""COMPUTED_VALUE"""),"RDC260305195643")</f>
        <v>RDC260305195643</v>
      </c>
      <c r="AV86" s="252" t="str">
        <f>IFERROR(__xludf.DUMMYFUNCTION("""COMPUTED_VALUE"""),"RCO260314150019")</f>
        <v>RCO260314150019</v>
      </c>
      <c r="AW86" s="252">
        <f>IFERROR(__xludf.DUMMYFUNCTION("""COMPUTED_VALUE"""),86.0)</f>
        <v>86</v>
      </c>
      <c r="AX86" s="252">
        <f>IFERROR(__xludf.DUMMYFUNCTION("""COMPUTED_VALUE"""),21.0)</f>
        <v>21</v>
      </c>
      <c r="AY86" s="252">
        <f>IFERROR(__xludf.DUMMYFUNCTION("""COMPUTED_VALUE"""),0.0)</f>
        <v>0</v>
      </c>
      <c r="AZ86" s="883">
        <f>IFERROR(__xludf.DUMMYFUNCTION("""COMPUTED_VALUE"""),46095.0)</f>
        <v>46095</v>
      </c>
    </row>
    <row r="87">
      <c r="A87" s="252" t="str">
        <f>IFERROR(__xludf.DUMMYFUNCTION("""COMPUTED_VALUE"""),"c56308f2")</f>
        <v>c56308f2</v>
      </c>
      <c r="B87" s="252" t="str">
        <f>IFERROR(__xludf.DUMMYFUNCTION("""COMPUTED_VALUE"""),"EXT-10 MOTONIVELADORA CAT M12 EXTERNO CATERPILLAR M12")</f>
        <v>EXT-10 MOTONIVELADORA CAT M12 EXTERNO CATERPILLAR M12</v>
      </c>
      <c r="C87" s="252" t="str">
        <f>IFERROR(__xludf.DUMMYFUNCTION("""COMPUTED_VALUE"""),"MAQUINARIA")</f>
        <v>MAQUINARIA</v>
      </c>
      <c r="D87" s="252" t="str">
        <f>IFERROR(__xludf.DUMMYFUNCTION("""COMPUTED_VALUE"""),"EXTERNO")</f>
        <v>EXTERNO</v>
      </c>
      <c r="E87" s="252" t="str">
        <f>IFERROR(__xludf.DUMMYFUNCTION("""COMPUTED_VALUE"""),"CATERPILLAR")</f>
        <v>CATERPILLAR</v>
      </c>
      <c r="F87" s="252" t="str">
        <f>IFERROR(__xludf.DUMMYFUNCTION("""COMPUTED_VALUE"""),"M12")</f>
        <v>M12</v>
      </c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  <c r="AA87" s="252"/>
      <c r="AB87" s="252" t="str">
        <f>IFERROR(__xludf.DUMMYFUNCTION("""COMPUTED_VALUE"""),"En producción")</f>
        <v>En producción</v>
      </c>
      <c r="AC87" s="252"/>
      <c r="AD87" s="252">
        <f>IFERROR(__xludf.DUMMYFUNCTION("""COMPUTED_VALUE"""),656.0)</f>
        <v>656</v>
      </c>
      <c r="AE87" s="252" t="str">
        <f>IFERROR(__xludf.DUMMYFUNCTION("""COMPUTED_VALUE"""),"Sin incidentes")</f>
        <v>Sin incidentes</v>
      </c>
      <c r="AF87" s="252"/>
      <c r="AG87" s="252" t="str">
        <f>IFERROR(__xludf.DUMMYFUNCTION("""COMPUTED_VALUE"""),"[EXT-10 MOTONIVELADORA CAT M12 EXTERNO CATERPILLAR M12] - CATERPILLAR M12")</f>
        <v>[EXT-10 MOTONIVELADORA CAT M12 EXTERNO CATERPILLAR M12] - CATERPILLAR M12</v>
      </c>
      <c r="AH87" s="252">
        <f>IFERROR(__xludf.DUMMYFUNCTION("""COMPUTED_VALUE"""),5006.0)</f>
        <v>5006</v>
      </c>
      <c r="AI87" s="252"/>
      <c r="AJ87" s="882">
        <f>IFERROR(__xludf.DUMMYFUNCTION("""COMPUTED_VALUE"""),46025.52101851852)</f>
        <v>46025.52102</v>
      </c>
      <c r="AK87" s="252"/>
      <c r="AL87" s="252"/>
      <c r="AM87" s="252"/>
      <c r="AN87" s="252"/>
      <c r="AO87" s="252"/>
      <c r="AP87" s="252"/>
      <c r="AQ87" s="252">
        <f>IFERROR(__xludf.DUMMYFUNCTION("""COMPUTED_VALUE"""),4966.0)</f>
        <v>4966</v>
      </c>
      <c r="AR87" s="252"/>
      <c r="AS87" s="881">
        <f>IFERROR(__xludf.DUMMYFUNCTION("""COMPUTED_VALUE"""),44927.0)</f>
        <v>44927</v>
      </c>
      <c r="AT87" s="881">
        <f>IFERROR(__xludf.DUMMYFUNCTION("""COMPUTED_VALUE"""),44927.0)</f>
        <v>44927</v>
      </c>
      <c r="AU87" s="252" t="str">
        <f>IFERROR(__xludf.DUMMYFUNCTION("""COMPUTED_VALUE"""),"RDC250428084544")</f>
        <v>RDC250428084544</v>
      </c>
      <c r="AV87" s="252" t="str">
        <f>IFERROR(__xludf.DUMMYFUNCTION("""COMPUTED_VALUE"""),"RCO260121182353")</f>
        <v>RCO260121182353</v>
      </c>
      <c r="AW87" s="252">
        <f>IFERROR(__xludf.DUMMYFUNCTION("""COMPUTED_VALUE"""),61.0)</f>
        <v>61</v>
      </c>
      <c r="AX87" s="252"/>
      <c r="AY87" s="252"/>
      <c r="AZ87" s="883">
        <f>IFERROR(__xludf.DUMMYFUNCTION("""COMPUTED_VALUE"""),46043.0)</f>
        <v>46043</v>
      </c>
    </row>
    <row r="88">
      <c r="A88" s="252" t="str">
        <f>IFERROR(__xludf.DUMMYFUNCTION("""COMPUTED_VALUE"""),"c8766843")</f>
        <v>c8766843</v>
      </c>
      <c r="B88" s="252" t="str">
        <f>IFERROR(__xludf.DUMMYFUNCTION("""COMPUTED_VALUE"""),"G-11")</f>
        <v>G-11</v>
      </c>
      <c r="C88" s="252" t="str">
        <f>IFERROR(__xludf.DUMMYFUNCTION("""COMPUTED_VALUE"""),"GENERADOR")</f>
        <v>GENERADOR</v>
      </c>
      <c r="D88" s="252" t="str">
        <f>IFERROR(__xludf.DUMMYFUNCTION("""COMPUTED_VALUE"""),"GENERADOR")</f>
        <v>GENERADOR</v>
      </c>
      <c r="E88" s="252" t="str">
        <f>IFERROR(__xludf.DUMMYFUNCTION("""COMPUTED_VALUE"""),"CUMMINS")</f>
        <v>CUMMINS</v>
      </c>
      <c r="F88" s="252" t="str">
        <f>IFERROR(__xludf.DUMMYFUNCTION("""COMPUTED_VALUE"""),"330KVA")</f>
        <v>330KVA</v>
      </c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  <c r="AA88" s="252"/>
      <c r="AB88" s="252" t="str">
        <f>IFERROR(__xludf.DUMMYFUNCTION("""COMPUTED_VALUE"""),"En producción")</f>
        <v>En producción</v>
      </c>
      <c r="AC88" s="252"/>
      <c r="AD88" s="252">
        <f>IFERROR(__xludf.DUMMYFUNCTION("""COMPUTED_VALUE"""),991.0)</f>
        <v>991</v>
      </c>
      <c r="AE88" s="252" t="str">
        <f>IFERROR(__xludf.DUMMYFUNCTION("""COMPUTED_VALUE"""),"Sin incidentes")</f>
        <v>Sin incidentes</v>
      </c>
      <c r="AF88" s="252"/>
      <c r="AG88" s="252" t="str">
        <f>IFERROR(__xludf.DUMMYFUNCTION("""COMPUTED_VALUE"""),"[G-11] - CUMMINS 330KVA")</f>
        <v>[G-11] - CUMMINS 330KVA</v>
      </c>
      <c r="AH88" s="252">
        <f>IFERROR(__xludf.DUMMYFUNCTION("""COMPUTED_VALUE"""),5086.0)</f>
        <v>5086</v>
      </c>
      <c r="AI88" s="252"/>
      <c r="AJ88" s="882">
        <f>IFERROR(__xludf.DUMMYFUNCTION("""COMPUTED_VALUE"""),46096.23596064815)</f>
        <v>46096.23596</v>
      </c>
      <c r="AK88" s="252"/>
      <c r="AL88" s="880">
        <f>IFERROR(__xludf.DUMMYFUNCTION("""COMPUTED_VALUE"""),5273.0)</f>
        <v>5273</v>
      </c>
      <c r="AM88" s="880" t="str">
        <f>IFERROR(__xludf.DUMMYFUNCTION("""COMPUTED_VALUE"""),"")</f>
        <v/>
      </c>
      <c r="AN88" s="252" t="str">
        <f>IFERROR(__xludf.DUMMYFUNCTION("""COMPUTED_VALUE"""),"OT251211173947")</f>
        <v>OT251211173947</v>
      </c>
      <c r="AO88" s="252" t="str">
        <f>IFERROR(__xludf.DUMMYFUNCTION("""COMPUTED_VALUE"""),"Hr")</f>
        <v>Hr</v>
      </c>
      <c r="AP88" s="252"/>
      <c r="AQ88" s="252">
        <f>IFERROR(__xludf.DUMMYFUNCTION("""COMPUTED_VALUE"""),3991.0)</f>
        <v>3991</v>
      </c>
      <c r="AR88" s="252"/>
      <c r="AS88" s="881">
        <f>IFERROR(__xludf.DUMMYFUNCTION("""COMPUTED_VALUE"""),44927.0)</f>
        <v>44927</v>
      </c>
      <c r="AT88" s="881">
        <f>IFERROR(__xludf.DUMMYFUNCTION("""COMPUTED_VALUE"""),44927.0)</f>
        <v>44927</v>
      </c>
      <c r="AU88" s="252" t="str">
        <f>IFERROR(__xludf.DUMMYFUNCTION("""COMPUTED_VALUE"""),"RDC250526151838")</f>
        <v>RDC250526151838</v>
      </c>
      <c r="AV88" s="252" t="str">
        <f>IFERROR(__xludf.DUMMYFUNCTION("""COMPUTED_VALUE"""),"RCO260315073833")</f>
        <v>RCO260315073833</v>
      </c>
      <c r="AW88" s="252">
        <f>IFERROR(__xludf.DUMMYFUNCTION("""COMPUTED_VALUE"""),300.0)</f>
        <v>300</v>
      </c>
      <c r="AX88" s="252">
        <f>IFERROR(__xludf.DUMMYFUNCTION("""COMPUTED_VALUE"""),0.0)</f>
        <v>0</v>
      </c>
      <c r="AY88" s="252"/>
      <c r="AZ88" s="884">
        <f>IFERROR(__xludf.DUMMYFUNCTION("""COMPUTED_VALUE"""),46096.0)</f>
        <v>46096</v>
      </c>
    </row>
    <row r="89">
      <c r="A89" s="252" t="str">
        <f>IFERROR(__xludf.DUMMYFUNCTION("""COMPUTED_VALUE"""),"ca1f8e1a")</f>
        <v>ca1f8e1a</v>
      </c>
      <c r="B89" s="252" t="str">
        <f>IFERROR(__xludf.DUMMYFUNCTION("""COMPUTED_VALUE"""),"C-48 TBFH29")</f>
        <v>C-48 TBFH29</v>
      </c>
      <c r="C89" s="252" t="str">
        <f>IFERROR(__xludf.DUMMYFUNCTION("""COMPUTED_VALUE"""),"CAMIONETA")</f>
        <v>CAMIONETA</v>
      </c>
      <c r="D89" s="252" t="str">
        <f>IFERROR(__xludf.DUMMYFUNCTION("""COMPUTED_VALUE"""),"CAMIONETA")</f>
        <v>CAMIONETA</v>
      </c>
      <c r="E89" s="252" t="str">
        <f>IFERROR(__xludf.DUMMYFUNCTION("""COMPUTED_VALUE"""),"CHEVROLET")</f>
        <v>CHEVROLET</v>
      </c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  <c r="AA89" s="252"/>
      <c r="AB89" s="252" t="str">
        <f>IFERROR(__xludf.DUMMYFUNCTION("""COMPUTED_VALUE"""),"Fuera de la empresa")</f>
        <v>Fuera de la empresa</v>
      </c>
      <c r="AC89" s="252"/>
      <c r="AD89" s="252"/>
      <c r="AE89" s="252" t="str">
        <f>IFERROR(__xludf.DUMMYFUNCTION("""COMPUTED_VALUE"""),"Sin incidentes")</f>
        <v>Sin incidentes</v>
      </c>
      <c r="AF89" s="252"/>
      <c r="AG89" s="252" t="str">
        <f>IFERROR(__xludf.DUMMYFUNCTION("""COMPUTED_VALUE"""),"[C-48 TBFH29] - CHEVROLET ")</f>
        <v>[C-48 TBFH29] - CHEVROLET </v>
      </c>
      <c r="AH89" s="252"/>
      <c r="AI89" s="252">
        <f>IFERROR(__xludf.DUMMYFUNCTION("""COMPUTED_VALUE"""),25107.0)</f>
        <v>25107</v>
      </c>
      <c r="AJ89" s="252"/>
      <c r="AK89" s="252"/>
      <c r="AL89" s="880" t="str">
        <f>IFERROR(__xludf.DUMMYFUNCTION("""COMPUTED_VALUE"""),"")</f>
        <v/>
      </c>
      <c r="AM89" s="880">
        <f>IFERROR(__xludf.DUMMYFUNCTION("""COMPUTED_VALUE"""),30000.0)</f>
        <v>30000</v>
      </c>
      <c r="AN89" s="252"/>
      <c r="AO89" s="252" t="str">
        <f>IFERROR(__xludf.DUMMYFUNCTION("""COMPUTED_VALUE"""),"Km")</f>
        <v>Km</v>
      </c>
      <c r="AP89" s="252"/>
      <c r="AQ89" s="252"/>
      <c r="AR89" s="252">
        <f>IFERROR(__xludf.DUMMYFUNCTION("""COMPUTED_VALUE"""),14865.0)</f>
        <v>14865</v>
      </c>
      <c r="AS89" s="881">
        <f>IFERROR(__xludf.DUMMYFUNCTION("""COMPUTED_VALUE"""),44927.0)</f>
        <v>44927</v>
      </c>
      <c r="AT89" s="881">
        <f>IFERROR(__xludf.DUMMYFUNCTION("""COMPUTED_VALUE"""),44927.0)</f>
        <v>44927</v>
      </c>
      <c r="AU89" s="252"/>
      <c r="AV89" s="252" t="str">
        <f>IFERROR(__xludf.DUMMYFUNCTION("""COMPUTED_VALUE"""),"RCO260113092632")</f>
        <v>RCO260113092632</v>
      </c>
      <c r="AW89" s="252">
        <f>IFERROR(__xludf.DUMMYFUNCTION("""COMPUTED_VALUE"""),42.0)</f>
        <v>42</v>
      </c>
      <c r="AX89" s="252">
        <f>IFERROR(__xludf.DUMMYFUNCTION("""COMPUTED_VALUE"""),-107284.0)</f>
        <v>-107284</v>
      </c>
      <c r="AY89" s="252">
        <f>IFERROR(__xludf.DUMMYFUNCTION("""COMPUTED_VALUE"""),-291678.0)</f>
        <v>-291678</v>
      </c>
      <c r="AZ89" s="881">
        <f>IFERROR(__xludf.DUMMYFUNCTION("""COMPUTED_VALUE"""),46035.0)</f>
        <v>46035</v>
      </c>
    </row>
    <row r="90">
      <c r="A90" s="252" t="str">
        <f>IFERROR(__xludf.DUMMYFUNCTION("""COMPUTED_VALUE"""),"cd9197b4")</f>
        <v>cd9197b4</v>
      </c>
      <c r="B90" s="252" t="str">
        <f>IFERROR(__xludf.DUMMYFUNCTION("""COMPUTED_VALUE"""),"CT-32 YU4930-7")</f>
        <v>CT-32 YU4930-7</v>
      </c>
      <c r="C90" s="252" t="str">
        <f>IFERROR(__xludf.DUMMYFUNCTION("""COMPUTED_VALUE"""),"CAMION TOLVA")</f>
        <v>CAMION TOLVA</v>
      </c>
      <c r="D90" s="252" t="str">
        <f>IFERROR(__xludf.DUMMYFUNCTION("""COMPUTED_VALUE"""),"TOLVA")</f>
        <v>TOLVA</v>
      </c>
      <c r="E90" s="252" t="str">
        <f>IFERROR(__xludf.DUMMYFUNCTION("""COMPUTED_VALUE"""),"MACK")</f>
        <v>MACK</v>
      </c>
      <c r="F90" s="252" t="str">
        <f>IFERROR(__xludf.DUMMYFUNCTION("""COMPUTED_VALUE"""),"CV713")</f>
        <v>CV713</v>
      </c>
      <c r="G90" s="252">
        <f>IFERROR(__xludf.DUMMYFUNCTION("""COMPUTED_VALUE"""),2005.0)</f>
        <v>2005</v>
      </c>
      <c r="H90" s="252" t="str">
        <f>IFERROR(__xludf.DUMMYFUNCTION("""COMPUTED_VALUE"""),"4Y3616")</f>
        <v>4Y3616</v>
      </c>
      <c r="I90" s="252" t="str">
        <f>IFERROR(__xludf.DUMMYFUNCTION("""COMPUTED_VALUE"""),"021M2AG11C95M028776")</f>
        <v>021M2AG11C95M028776</v>
      </c>
      <c r="J90" s="252" t="str">
        <f>IFERROR(__xludf.DUMMYFUNCTION("""COMPUTED_VALUE"""),"YU4930-7")</f>
        <v>YU4930-7</v>
      </c>
      <c r="K90" s="252" t="str">
        <f>IFERROR(__xludf.DUMMYFUNCTION("""COMPUTED_VALUE"""),"COMERCIALIZADORA ECMA SPA")</f>
        <v>COMERCIALIZADORA ECMA SPA</v>
      </c>
      <c r="L90" s="252"/>
      <c r="M90" s="252"/>
      <c r="N90" s="252"/>
      <c r="O90" s="252"/>
      <c r="P90" s="252"/>
      <c r="Q90" s="252"/>
      <c r="R90" s="252"/>
      <c r="S90" s="252" t="str">
        <f>IFERROR(__xludf.DUMMYFUNCTION("""COMPUTED_VALUE"""),"15")</f>
        <v>15</v>
      </c>
      <c r="T90" s="252"/>
      <c r="U90" s="252"/>
      <c r="V90" s="252"/>
      <c r="W90" s="252"/>
      <c r="X90" s="252"/>
      <c r="Y90" s="252"/>
      <c r="Z90" s="252"/>
      <c r="AA90" s="252"/>
      <c r="AB90" s="252" t="str">
        <f>IFERROR(__xludf.DUMMYFUNCTION("""COMPUTED_VALUE"""),"Discontinuado")</f>
        <v>Discontinuado</v>
      </c>
      <c r="AC90" s="252" t="str">
        <f>IFERROR(__xludf.DUMMYFUNCTION("""COMPUTED_VALUE"""),"MAQUINAS_Images/cd9197b4.FOTO1.172351.jpg")</f>
        <v>MAQUINAS_Images/cd9197b4.FOTO1.172351.jpg</v>
      </c>
      <c r="AD90" s="252"/>
      <c r="AE90" s="252" t="str">
        <f>IFERROR(__xludf.DUMMYFUNCTION("""COMPUTED_VALUE"""),"Sin incidentes")</f>
        <v>Sin incidentes</v>
      </c>
      <c r="AF90" s="252"/>
      <c r="AG90" s="252" t="str">
        <f>IFERROR(__xludf.DUMMYFUNCTION("""COMPUTED_VALUE"""),"[CT-32 YU4930-7] - MACK CV713")</f>
        <v>[CT-32 YU4930-7] - MACK CV713</v>
      </c>
      <c r="AH90" s="252">
        <f>IFERROR(__xludf.DUMMYFUNCTION("""COMPUTED_VALUE"""),1.0)</f>
        <v>1</v>
      </c>
      <c r="AI90" s="252"/>
      <c r="AJ90" s="882">
        <f>IFERROR(__xludf.DUMMYFUNCTION("""COMPUTED_VALUE"""),45852.42903935185)</f>
        <v>45852.42904</v>
      </c>
      <c r="AK90" s="252"/>
      <c r="AL90" s="252"/>
      <c r="AM90" s="880" t="str">
        <f>IFERROR(__xludf.DUMMYFUNCTION("""COMPUTED_VALUE"""),"")</f>
        <v/>
      </c>
      <c r="AN90" s="252"/>
      <c r="AO90" s="252" t="str">
        <f>IFERROR(__xludf.DUMMYFUNCTION("""COMPUTED_VALUE"""),"Hr")</f>
        <v>Hr</v>
      </c>
      <c r="AP90" s="252"/>
      <c r="AQ90" s="252"/>
      <c r="AR90" s="252"/>
      <c r="AS90" s="881">
        <f>IFERROR(__xludf.DUMMYFUNCTION("""COMPUTED_VALUE"""),44927.0)</f>
        <v>44927</v>
      </c>
      <c r="AT90" s="881">
        <f>IFERROR(__xludf.DUMMYFUNCTION("""COMPUTED_VALUE"""),44927.0)</f>
        <v>44927</v>
      </c>
      <c r="AU90" s="252"/>
      <c r="AV90" s="252"/>
      <c r="AW90" s="252"/>
      <c r="AX90" s="252"/>
      <c r="AY90" s="252"/>
      <c r="AZ90" s="252"/>
    </row>
    <row r="91">
      <c r="A91" s="252" t="str">
        <f>IFERROR(__xludf.DUMMYFUNCTION("""COMPUTED_VALUE"""),"cdbfcdb7")</f>
        <v>cdbfcdb7</v>
      </c>
      <c r="B91" s="252" t="str">
        <f>IFERROR(__xludf.DUMMYFUNCTION("""COMPUTED_VALUE"""),"EM-02 betonera 400 lts")</f>
        <v>EM-02 betonera 400 lts</v>
      </c>
      <c r="C91" s="252" t="str">
        <f>IFERROR(__xludf.DUMMYFUNCTION("""COMPUTED_VALUE"""),"EQUIPO MENOR")</f>
        <v>EQUIPO MENOR</v>
      </c>
      <c r="D91" s="252" t="str">
        <f>IFERROR(__xludf.DUMMYFUNCTION("""COMPUTED_VALUE"""),"EQUIPO MENOR")</f>
        <v>EQUIPO MENOR</v>
      </c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  <c r="AA91" s="252"/>
      <c r="AB91" s="252" t="str">
        <f>IFERROR(__xludf.DUMMYFUNCTION("""COMPUTED_VALUE"""),"En producción")</f>
        <v>En producción</v>
      </c>
      <c r="AC91" s="252"/>
      <c r="AD91" s="252"/>
      <c r="AE91" s="252" t="str">
        <f>IFERROR(__xludf.DUMMYFUNCTION("""COMPUTED_VALUE"""),"Sin incidentes")</f>
        <v>Sin incidentes</v>
      </c>
      <c r="AF91" s="252"/>
      <c r="AG91" s="252" t="str">
        <f>IFERROR(__xludf.DUMMYFUNCTION("""COMPUTED_VALUE"""),"[EM-02 betonera 400 lts] -  ")</f>
        <v>[EM-02 betonera 400 lts] -  </v>
      </c>
      <c r="AH91" s="252"/>
      <c r="AI91" s="252"/>
      <c r="AJ91" s="252"/>
      <c r="AK91" s="252"/>
      <c r="AL91" s="880" t="str">
        <f>IFERROR(__xludf.DUMMYFUNCTION("""COMPUTED_VALUE"""),"")</f>
        <v/>
      </c>
      <c r="AM91" s="880" t="str">
        <f>IFERROR(__xludf.DUMMYFUNCTION("""COMPUTED_VALUE"""),"")</f>
        <v/>
      </c>
      <c r="AN91" s="252"/>
      <c r="AO91" s="252" t="str">
        <f>IFERROR(__xludf.DUMMYFUNCTION("""COMPUTED_VALUE"""),"N/A")</f>
        <v>N/A</v>
      </c>
      <c r="AP91" s="252"/>
      <c r="AQ91" s="252"/>
      <c r="AR91" s="252"/>
      <c r="AS91" s="881">
        <f>IFERROR(__xludf.DUMMYFUNCTION("""COMPUTED_VALUE"""),44927.0)</f>
        <v>44927</v>
      </c>
      <c r="AT91" s="881">
        <f>IFERROR(__xludf.DUMMYFUNCTION("""COMPUTED_VALUE"""),44927.0)</f>
        <v>44927</v>
      </c>
      <c r="AU91" s="252"/>
      <c r="AV91" s="252"/>
      <c r="AW91" s="252"/>
      <c r="AX91" s="252"/>
      <c r="AY91" s="252"/>
      <c r="AZ91" s="252"/>
    </row>
    <row r="92">
      <c r="A92" s="252" t="str">
        <f>IFERROR(__xludf.DUMMYFUNCTION("""COMPUTED_VALUE"""),"cf8acb7e")</f>
        <v>cf8acb7e</v>
      </c>
      <c r="B92" s="252" t="str">
        <f>IFERROR(__xludf.DUMMYFUNCTION("""COMPUTED_VALUE"""),"TALLER")</f>
        <v>TALLER</v>
      </c>
      <c r="C92" s="252" t="str">
        <f>IFERROR(__xludf.DUMMYFUNCTION("""COMPUTED_VALUE"""),"NO APLICA")</f>
        <v>NO APLICA</v>
      </c>
      <c r="D92" s="252" t="str">
        <f>IFERROR(__xludf.DUMMYFUNCTION("""COMPUTED_VALUE"""),"NO APLICA")</f>
        <v>NO APLICA</v>
      </c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  <c r="AA92" s="252"/>
      <c r="AB92" s="252"/>
      <c r="AC92" s="252"/>
      <c r="AD92" s="252"/>
      <c r="AE92" s="252" t="str">
        <f>IFERROR(__xludf.DUMMYFUNCTION("""COMPUTED_VALUE"""),"Sin incidentes")</f>
        <v>Sin incidentes</v>
      </c>
      <c r="AF92" s="252"/>
      <c r="AG92" s="252" t="str">
        <f>IFERROR(__xludf.DUMMYFUNCTION("""COMPUTED_VALUE"""),"[TALLER] -  ")</f>
        <v>[TALLER] -  </v>
      </c>
      <c r="AH92" s="252">
        <f>IFERROR(__xludf.DUMMYFUNCTION("""COMPUTED_VALUE"""),107284.0)</f>
        <v>107284</v>
      </c>
      <c r="AI92" s="252">
        <f>IFERROR(__xludf.DUMMYFUNCTION("""COMPUTED_VALUE"""),316785.0)</f>
        <v>316785</v>
      </c>
      <c r="AJ92" s="882">
        <f>IFERROR(__xludf.DUMMYFUNCTION("""COMPUTED_VALUE"""),46097.26392361111)</f>
        <v>46097.26392</v>
      </c>
      <c r="AK92" s="882">
        <f>IFERROR(__xludf.DUMMYFUNCTION("""COMPUTED_VALUE"""),46097.26399305555)</f>
        <v>46097.26399</v>
      </c>
      <c r="AL92" s="252"/>
      <c r="AM92" s="252"/>
      <c r="AN92" s="252"/>
      <c r="AO92" s="252" t="str">
        <f>IFERROR(__xludf.DUMMYFUNCTION("""COMPUTED_VALUE"""),"N/A")</f>
        <v>N/A</v>
      </c>
      <c r="AP92" s="252"/>
      <c r="AQ92" s="252"/>
      <c r="AR92" s="252"/>
      <c r="AS92" s="881">
        <f>IFERROR(__xludf.DUMMYFUNCTION("""COMPUTED_VALUE"""),45789.0)</f>
        <v>45789</v>
      </c>
      <c r="AT92" s="881">
        <f>IFERROR(__xludf.DUMMYFUNCTION("""COMPUTED_VALUE"""),45789.0)</f>
        <v>45789</v>
      </c>
      <c r="AU92" s="252"/>
      <c r="AV92" s="252" t="str">
        <f>IFERROR(__xludf.DUMMYFUNCTION("""COMPUTED_VALUE"""),"RCO260316081501")</f>
        <v>RCO260316081501</v>
      </c>
      <c r="AW92" s="252">
        <f>IFERROR(__xludf.DUMMYFUNCTION("""COMPUTED_VALUE"""),30.0)</f>
        <v>30</v>
      </c>
      <c r="AX92" s="252">
        <f>IFERROR(__xludf.DUMMYFUNCTION("""COMPUTED_VALUE"""),0.0)</f>
        <v>0</v>
      </c>
      <c r="AY92" s="252">
        <f>IFERROR(__xludf.DUMMYFUNCTION("""COMPUTED_VALUE"""),0.0)</f>
        <v>0</v>
      </c>
      <c r="AZ92" s="883">
        <f>IFERROR(__xludf.DUMMYFUNCTION("""COMPUTED_VALUE"""),46097.0)</f>
        <v>46097</v>
      </c>
    </row>
    <row r="93">
      <c r="A93" s="252" t="str">
        <f>IFERROR(__xludf.DUMMYFUNCTION("""COMPUTED_VALUE"""),"d4634a09")</f>
        <v>d4634a09</v>
      </c>
      <c r="B93" s="252" t="str">
        <f>IFERROR(__xludf.DUMMYFUNCTION("""COMPUTED_VALUE"""),"RL-01 VHRZ35")</f>
        <v>RL-01 VHRZ35</v>
      </c>
      <c r="C93" s="252" t="str">
        <f>IFERROR(__xludf.DUMMYFUNCTION("""COMPUTED_VALUE"""),"RODILLO")</f>
        <v>RODILLO</v>
      </c>
      <c r="D93" s="252" t="str">
        <f>IFERROR(__xludf.DUMMYFUNCTION("""COMPUTED_VALUE"""),"RODILLO LISO")</f>
        <v>RODILLO LISO</v>
      </c>
      <c r="E93" s="252" t="str">
        <f>IFERROR(__xludf.DUMMYFUNCTION("""COMPUTED_VALUE"""),"AMMANN")</f>
        <v>AMMANN</v>
      </c>
      <c r="F93" s="252" t="str">
        <f>IFERROR(__xludf.DUMMYFUNCTION("""COMPUTED_VALUE"""),"AV 70X")</f>
        <v>AV 70X</v>
      </c>
      <c r="G93" s="252"/>
      <c r="H93" s="252"/>
      <c r="I93" s="252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  <c r="AA93" s="252"/>
      <c r="AB93" s="252" t="str">
        <f>IFERROR(__xludf.DUMMYFUNCTION("""COMPUTED_VALUE"""),"Patio LL")</f>
        <v>Patio LL</v>
      </c>
      <c r="AC93" s="252" t="str">
        <f>IFERROR(__xludf.DUMMYFUNCTION("""COMPUTED_VALUE"""),"MAQUINAS_Images/d4634a09.FOTO1.200136.jpg")</f>
        <v>MAQUINAS_Images/d4634a09.FOTO1.200136.jpg</v>
      </c>
      <c r="AD93" s="252">
        <f>IFERROR(__xludf.DUMMYFUNCTION("""COMPUTED_VALUE"""),1076.0)</f>
        <v>1076</v>
      </c>
      <c r="AE93" s="252" t="str">
        <f>IFERROR(__xludf.DUMMYFUNCTION("""COMPUTED_VALUE"""),"Sin incidentes")</f>
        <v>Sin incidentes</v>
      </c>
      <c r="AF93" s="252"/>
      <c r="AG93" s="252" t="str">
        <f>IFERROR(__xludf.DUMMYFUNCTION("""COMPUTED_VALUE"""),"[RL-01 VHRZ35] - AMMANN AV 70X")</f>
        <v>[RL-01 VHRZ35] - AMMANN AV 70X</v>
      </c>
      <c r="AH93" s="252">
        <f>IFERROR(__xludf.DUMMYFUNCTION("""COMPUTED_VALUE"""),2249.0)</f>
        <v>2249</v>
      </c>
      <c r="AI93" s="252">
        <f>IFERROR(__xludf.DUMMYFUNCTION("""COMPUTED_VALUE"""),1.0)</f>
        <v>1</v>
      </c>
      <c r="AJ93" s="882">
        <f>IFERROR(__xludf.DUMMYFUNCTION("""COMPUTED_VALUE"""),46094.263287037036)</f>
        <v>46094.26329</v>
      </c>
      <c r="AK93" s="882">
        <f>IFERROR(__xludf.DUMMYFUNCTION("""COMPUTED_VALUE"""),46092.52946759259)</f>
        <v>46092.52947</v>
      </c>
      <c r="AL93" s="880">
        <f>IFERROR(__xludf.DUMMYFUNCTION("""COMPUTED_VALUE"""),2297.0)</f>
        <v>2297</v>
      </c>
      <c r="AM93" s="880" t="str">
        <f>IFERROR(__xludf.DUMMYFUNCTION("""COMPUTED_VALUE"""),"")</f>
        <v/>
      </c>
      <c r="AN93" s="252"/>
      <c r="AO93" s="252" t="str">
        <f>IFERROR(__xludf.DUMMYFUNCTION("""COMPUTED_VALUE"""),"Hr")</f>
        <v>Hr</v>
      </c>
      <c r="AP93" s="252"/>
      <c r="AQ93" s="252">
        <f>IFERROR(__xludf.DUMMYFUNCTION("""COMPUTED_VALUE"""),2081.0)</f>
        <v>2081</v>
      </c>
      <c r="AR93" s="252"/>
      <c r="AS93" s="881">
        <f>IFERROR(__xludf.DUMMYFUNCTION("""COMPUTED_VALUE"""),44927.0)</f>
        <v>44927</v>
      </c>
      <c r="AT93" s="881">
        <f>IFERROR(__xludf.DUMMYFUNCTION("""COMPUTED_VALUE"""),44927.0)</f>
        <v>44927</v>
      </c>
      <c r="AU93" s="252" t="str">
        <f>IFERROR(__xludf.DUMMYFUNCTION("""COMPUTED_VALUE"""),"RDC260313081654")</f>
        <v>RDC260313081654</v>
      </c>
      <c r="AV93" s="252" t="str">
        <f>IFERROR(__xludf.DUMMYFUNCTION("""COMPUTED_VALUE"""),"RCO260311143550")</f>
        <v>RCO260311143550</v>
      </c>
      <c r="AW93" s="252">
        <f>IFERROR(__xludf.DUMMYFUNCTION("""COMPUTED_VALUE"""),60.0)</f>
        <v>60</v>
      </c>
      <c r="AX93" s="252">
        <f>IFERROR(__xludf.DUMMYFUNCTION("""COMPUTED_VALUE"""),11.0)</f>
        <v>11</v>
      </c>
      <c r="AY93" s="252">
        <f>IFERROR(__xludf.DUMMYFUNCTION("""COMPUTED_VALUE"""),0.0)</f>
        <v>0</v>
      </c>
      <c r="AZ93" s="883">
        <f>IFERROR(__xludf.DUMMYFUNCTION("""COMPUTED_VALUE"""),46092.0)</f>
        <v>46092</v>
      </c>
    </row>
    <row r="94">
      <c r="A94" s="252" t="str">
        <f>IFERROR(__xludf.DUMMYFUNCTION("""COMPUTED_VALUE"""),"d5cac6e0")</f>
        <v>d5cac6e0</v>
      </c>
      <c r="B94" s="252" t="str">
        <f>IFERROR(__xludf.DUMMYFUNCTION("""COMPUTED_VALUE"""),"EXT-09 RETROEXCAVADORA SPPP")</f>
        <v>EXT-09 RETROEXCAVADORA SPPP</v>
      </c>
      <c r="C94" s="252" t="str">
        <f>IFERROR(__xludf.DUMMYFUNCTION("""COMPUTED_VALUE"""),"RETROEXCAVADORA")</f>
        <v>RETROEXCAVADORA</v>
      </c>
      <c r="D94" s="252" t="str">
        <f>IFERROR(__xludf.DUMMYFUNCTION("""COMPUTED_VALUE"""),"EXTERNO")</f>
        <v>EXTERNO</v>
      </c>
      <c r="E94" s="252"/>
      <c r="F94" s="252"/>
      <c r="G94" s="252"/>
      <c r="H94" s="252"/>
      <c r="I94" s="252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  <c r="AA94" s="252"/>
      <c r="AB94" s="252" t="str">
        <f>IFERROR(__xludf.DUMMYFUNCTION("""COMPUTED_VALUE"""),"En producción")</f>
        <v>En producción</v>
      </c>
      <c r="AC94" s="252"/>
      <c r="AD94" s="252">
        <f>IFERROR(__xludf.DUMMYFUNCTION("""COMPUTED_VALUE"""),369.0)</f>
        <v>369</v>
      </c>
      <c r="AE94" s="252" t="str">
        <f>IFERROR(__xludf.DUMMYFUNCTION("""COMPUTED_VALUE"""),"Sin incidentes")</f>
        <v>Sin incidentes</v>
      </c>
      <c r="AF94" s="252"/>
      <c r="AG94" s="252" t="str">
        <f>IFERROR(__xludf.DUMMYFUNCTION("""COMPUTED_VALUE"""),"[EXT-09 RETROEXCAVADORA SPPP] -  ")</f>
        <v>[EXT-09 RETROEXCAVADORA SPPP] -  </v>
      </c>
      <c r="AH94" s="252">
        <f>IFERROR(__xludf.DUMMYFUNCTION("""COMPUTED_VALUE"""),2525.0)</f>
        <v>2525</v>
      </c>
      <c r="AI94" s="252"/>
      <c r="AJ94" s="882">
        <f>IFERROR(__xludf.DUMMYFUNCTION("""COMPUTED_VALUE"""),45723.56267361111)</f>
        <v>45723.56267</v>
      </c>
      <c r="AK94" s="252"/>
      <c r="AL94" s="880">
        <f>IFERROR(__xludf.DUMMYFUNCTION("""COMPUTED_VALUE"""),2700.0)</f>
        <v>2700</v>
      </c>
      <c r="AM94" s="880" t="str">
        <f>IFERROR(__xludf.DUMMYFUNCTION("""COMPUTED_VALUE"""),"")</f>
        <v/>
      </c>
      <c r="AN94" s="252"/>
      <c r="AO94" s="252" t="str">
        <f>IFERROR(__xludf.DUMMYFUNCTION("""COMPUTED_VALUE"""),"Hr")</f>
        <v>Hr</v>
      </c>
      <c r="AP94" s="252"/>
      <c r="AQ94" s="252">
        <f>IFERROR(__xludf.DUMMYFUNCTION("""COMPUTED_VALUE"""),2525.0)</f>
        <v>2525</v>
      </c>
      <c r="AR94" s="252"/>
      <c r="AS94" s="881">
        <f>IFERROR(__xludf.DUMMYFUNCTION("""COMPUTED_VALUE"""),44927.0)</f>
        <v>44927</v>
      </c>
      <c r="AT94" s="881">
        <f>IFERROR(__xludf.DUMMYFUNCTION("""COMPUTED_VALUE"""),44927.0)</f>
        <v>44927</v>
      </c>
      <c r="AU94" s="252" t="str">
        <f>IFERROR(__xludf.DUMMYFUNCTION("""COMPUTED_VALUE"""),"RDC241213154949")</f>
        <v>RDC241213154949</v>
      </c>
      <c r="AV94" s="252"/>
      <c r="AW94" s="252"/>
      <c r="AX94" s="252"/>
      <c r="AY94" s="252"/>
      <c r="AZ94" s="252"/>
    </row>
    <row r="95">
      <c r="A95" s="252" t="str">
        <f>IFERROR(__xludf.DUMMYFUNCTION("""COMPUTED_VALUE"""),"d6a975fe")</f>
        <v>d6a975fe</v>
      </c>
      <c r="B95" s="252" t="str">
        <f>IFERROR(__xludf.DUMMYFUNCTION("""COMPUTED_VALUE"""),"CT-35 VJGH99")</f>
        <v>CT-35 VJGH99</v>
      </c>
      <c r="C95" s="252" t="str">
        <f>IFERROR(__xludf.DUMMYFUNCTION("""COMPUTED_VALUE"""),"CAMION TOLVA")</f>
        <v>CAMION TOLVA</v>
      </c>
      <c r="D95" s="252" t="str">
        <f>IFERROR(__xludf.DUMMYFUNCTION("""COMPUTED_VALUE"""),"CAMION TOLVA")</f>
        <v>CAMION TOLVA</v>
      </c>
      <c r="E95" s="252" t="str">
        <f>IFERROR(__xludf.DUMMYFUNCTION("""COMPUTED_VALUE"""),"IVECO")</f>
        <v>IVECO</v>
      </c>
      <c r="F95" s="252" t="str">
        <f>IFERROR(__xludf.DUMMYFUNCTION("""COMPUTED_VALUE"""),"TRAKKER 410")</f>
        <v>TRAKKER 410</v>
      </c>
      <c r="G95" s="252">
        <f>IFERROR(__xludf.DUMMYFUNCTION("""COMPUTED_VALUE"""),2024.0)</f>
        <v>2024</v>
      </c>
      <c r="H95" s="252" t="str">
        <f>IFERROR(__xludf.DUMMYFUNCTION("""COMPUTED_VALUE"""),"281898")</f>
        <v>281898</v>
      </c>
      <c r="I95" s="252" t="str">
        <f>IFERROR(__xludf.DUMMYFUNCTION("""COMPUTED_VALUE"""),"WJME3TSD9PC482147")</f>
        <v>WJME3TSD9PC482147</v>
      </c>
      <c r="J95" s="252" t="str">
        <f>IFERROR(__xludf.DUMMYFUNCTION("""COMPUTED_VALUE"""),"VJGH99")</f>
        <v>VJGH99</v>
      </c>
      <c r="K95" s="252"/>
      <c r="L95" s="252" t="str">
        <f>IFERROR(__xludf.DUMMYFUNCTION("""COMPUTED_VALUE"""),"411")</f>
        <v>411</v>
      </c>
      <c r="M95" s="252"/>
      <c r="N95" s="252"/>
      <c r="O95" s="252"/>
      <c r="P95" s="252"/>
      <c r="Q95" s="252"/>
      <c r="R95" s="252"/>
      <c r="S95" s="252" t="str">
        <f>IFERROR(__xludf.DUMMYFUNCTION("""COMPUTED_VALUE"""),"15")</f>
        <v>15</v>
      </c>
      <c r="T95" s="252"/>
      <c r="U95" s="252"/>
      <c r="V95" s="252"/>
      <c r="W95" s="252"/>
      <c r="X95" s="252"/>
      <c r="Y95" s="252"/>
      <c r="Z95" s="252"/>
      <c r="AA95" s="252"/>
      <c r="AB95" s="252" t="str">
        <f>IFERROR(__xludf.DUMMYFUNCTION("""COMPUTED_VALUE"""),"En producción")</f>
        <v>En producción</v>
      </c>
      <c r="AC95" s="252"/>
      <c r="AD95" s="252">
        <f>IFERROR(__xludf.DUMMYFUNCTION("""COMPUTED_VALUE"""),931.0)</f>
        <v>931</v>
      </c>
      <c r="AE95" s="252" t="str">
        <f>IFERROR(__xludf.DUMMYFUNCTION("""COMPUTED_VALUE"""),"Sin incidentes")</f>
        <v>Sin incidentes</v>
      </c>
      <c r="AF95" s="252"/>
      <c r="AG95" s="252" t="str">
        <f>IFERROR(__xludf.DUMMYFUNCTION("""COMPUTED_VALUE"""),"[CT-35 VJGH99] - IVECO TRAKKER 410")</f>
        <v>[CT-35 VJGH99] - IVECO TRAKKER 410</v>
      </c>
      <c r="AH95" s="252">
        <f>IFERROR(__xludf.DUMMYFUNCTION("""COMPUTED_VALUE"""),906.0)</f>
        <v>906</v>
      </c>
      <c r="AI95" s="252">
        <f>IFERROR(__xludf.DUMMYFUNCTION("""COMPUTED_VALUE"""),10520.0)</f>
        <v>10520</v>
      </c>
      <c r="AJ95" s="882">
        <f>IFERROR(__xludf.DUMMYFUNCTION("""COMPUTED_VALUE"""),46096.814305555556)</f>
        <v>46096.81431</v>
      </c>
      <c r="AK95" s="882">
        <f>IFERROR(__xludf.DUMMYFUNCTION("""COMPUTED_VALUE"""),46096.81434027778)</f>
        <v>46096.81434</v>
      </c>
      <c r="AL95" s="880">
        <f>IFERROR(__xludf.DUMMYFUNCTION("""COMPUTED_VALUE"""),600.0)</f>
        <v>600</v>
      </c>
      <c r="AM95" s="252"/>
      <c r="AN95" s="252"/>
      <c r="AO95" s="252" t="str">
        <f>IFERROR(__xludf.DUMMYFUNCTION("""COMPUTED_VALUE"""),"Hr")</f>
        <v>Hr</v>
      </c>
      <c r="AP95" s="252" t="str">
        <f>IFERROR(__xludf.DUMMYFUNCTION("""COMPUTED_VALUE"""),"IS250929165207")</f>
        <v>IS250929165207</v>
      </c>
      <c r="AQ95" s="252"/>
      <c r="AR95" s="252"/>
      <c r="AS95" s="881">
        <f>IFERROR(__xludf.DUMMYFUNCTION("""COMPUTED_VALUE"""),45924.0)</f>
        <v>45924</v>
      </c>
      <c r="AT95" s="881">
        <f>IFERROR(__xludf.DUMMYFUNCTION("""COMPUTED_VALUE"""),45924.0)</f>
        <v>45924</v>
      </c>
      <c r="AU95" s="252" t="str">
        <f>IFERROR(__xludf.DUMMYFUNCTION("""COMPUTED_VALUE"""),"RDC260315213006")</f>
        <v>RDC260315213006</v>
      </c>
      <c r="AV95" s="252" t="str">
        <f>IFERROR(__xludf.DUMMYFUNCTION("""COMPUTED_VALUE"""),"RCO260314105050")</f>
        <v>RCO260314105050</v>
      </c>
      <c r="AW95" s="252">
        <f>IFERROR(__xludf.DUMMYFUNCTION("""COMPUTED_VALUE"""),200.0)</f>
        <v>200</v>
      </c>
      <c r="AX95" s="252">
        <f>IFERROR(__xludf.DUMMYFUNCTION("""COMPUTED_VALUE"""),18.0)</f>
        <v>18</v>
      </c>
      <c r="AY95" s="252">
        <f>IFERROR(__xludf.DUMMYFUNCTION("""COMPUTED_VALUE"""),0.0)</f>
        <v>0</v>
      </c>
      <c r="AZ95" s="883">
        <f>IFERROR(__xludf.DUMMYFUNCTION("""COMPUTED_VALUE"""),46095.0)</f>
        <v>46095</v>
      </c>
    </row>
    <row r="96">
      <c r="A96" s="252" t="str">
        <f>IFERROR(__xludf.DUMMYFUNCTION("""COMPUTED_VALUE"""),"d6c1f5ae")</f>
        <v>d6c1f5ae</v>
      </c>
      <c r="B96" s="252" t="str">
        <f>IFERROR(__xludf.DUMMYFUNCTION("""COMPUTED_VALUE"""),"TL_01 Tower Light")</f>
        <v>TL_01 Tower Light</v>
      </c>
      <c r="C96" s="252" t="str">
        <f>IFERROR(__xludf.DUMMYFUNCTION("""COMPUTED_VALUE"""),"EQUIPO MOVIL")</f>
        <v>EQUIPO MOVIL</v>
      </c>
      <c r="D96" s="252" t="str">
        <f>IFERROR(__xludf.DUMMYFUNCTION("""COMPUTED_VALUE"""),"Iluminación")</f>
        <v>Iluminación</v>
      </c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  <c r="AA96" s="252"/>
      <c r="AB96" s="252" t="str">
        <f>IFERROR(__xludf.DUMMYFUNCTION("""COMPUTED_VALUE"""),"Patio LL")</f>
        <v>Patio LL</v>
      </c>
      <c r="AC96" s="252" t="str">
        <f>IFERROR(__xludf.DUMMYFUNCTION("""COMPUTED_VALUE"""),"MAQUINAS_Images/d6c1f5ae.FOTO1.150819.jpg")</f>
        <v>MAQUINAS_Images/d6c1f5ae.FOTO1.150819.jpg</v>
      </c>
      <c r="AD96" s="252"/>
      <c r="AE96" s="252" t="str">
        <f>IFERROR(__xludf.DUMMYFUNCTION("""COMPUTED_VALUE"""),"Sin incidentes")</f>
        <v>Sin incidentes</v>
      </c>
      <c r="AF96" s="252"/>
      <c r="AG96" s="252" t="str">
        <f>IFERROR(__xludf.DUMMYFUNCTION("""COMPUTED_VALUE"""),"[TL_01 Tower Light] -  ")</f>
        <v>[TL_01 Tower Light] -  </v>
      </c>
      <c r="AH96" s="252">
        <f>IFERROR(__xludf.DUMMYFUNCTION("""COMPUTED_VALUE"""),6641.0)</f>
        <v>6641</v>
      </c>
      <c r="AI96" s="252"/>
      <c r="AJ96" s="882">
        <f>IFERROR(__xludf.DUMMYFUNCTION("""COMPUTED_VALUE"""),45723.56171296296)</f>
        <v>45723.56171</v>
      </c>
      <c r="AK96" s="252"/>
      <c r="AL96" s="880">
        <f>IFERROR(__xludf.DUMMYFUNCTION("""COMPUTED_VALUE"""),6700.0)</f>
        <v>6700</v>
      </c>
      <c r="AM96" s="880" t="str">
        <f>IFERROR(__xludf.DUMMYFUNCTION("""COMPUTED_VALUE"""),"")</f>
        <v/>
      </c>
      <c r="AN96" s="252"/>
      <c r="AO96" s="252" t="str">
        <f>IFERROR(__xludf.DUMMYFUNCTION("""COMPUTED_VALUE"""),"N/A")</f>
        <v>N/A</v>
      </c>
      <c r="AP96" s="252"/>
      <c r="AQ96" s="252">
        <f>IFERROR(__xludf.DUMMYFUNCTION("""COMPUTED_VALUE"""),6641.0)</f>
        <v>6641</v>
      </c>
      <c r="AR96" s="252"/>
      <c r="AS96" s="881">
        <f>IFERROR(__xludf.DUMMYFUNCTION("""COMPUTED_VALUE"""),44927.0)</f>
        <v>44927</v>
      </c>
      <c r="AT96" s="881">
        <f>IFERROR(__xludf.DUMMYFUNCTION("""COMPUTED_VALUE"""),44927.0)</f>
        <v>44927</v>
      </c>
      <c r="AU96" s="252"/>
      <c r="AV96" s="252"/>
      <c r="AW96" s="252"/>
      <c r="AX96" s="252"/>
      <c r="AY96" s="252"/>
      <c r="AZ96" s="252"/>
    </row>
    <row r="97">
      <c r="A97" s="252" t="str">
        <f>IFERROR(__xludf.DUMMYFUNCTION("""COMPUTED_VALUE"""),"d80ca627")</f>
        <v>d80ca627</v>
      </c>
      <c r="B97" s="252" t="str">
        <f>IFERROR(__xludf.DUMMYFUNCTION("""COMPUTED_VALUE"""),"VH-01")</f>
        <v>VH-01</v>
      </c>
      <c r="C97" s="252" t="str">
        <f>IFERROR(__xludf.DUMMYFUNCTION("""COMPUTED_VALUE"""),"MAQUINARIA")</f>
        <v>MAQUINARIA</v>
      </c>
      <c r="D97" s="252" t="str">
        <f>IFERROR(__xludf.DUMMYFUNCTION("""COMPUTED_VALUE"""),"MARTILLO")</f>
        <v>MARTILLO</v>
      </c>
      <c r="E97" s="252"/>
      <c r="F97" s="252" t="str">
        <f>IFERROR(__xludf.DUMMYFUNCTION("""COMPUTED_VALUE"""),"VBROHINCADOR")</f>
        <v>VBROHINCADOR</v>
      </c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  <c r="AA97" s="252"/>
      <c r="AB97" s="252" t="str">
        <f>IFERROR(__xludf.DUMMYFUNCTION("""COMPUTED_VALUE"""),"En producción")</f>
        <v>En producción</v>
      </c>
      <c r="AC97" s="252"/>
      <c r="AD97" s="252">
        <f>IFERROR(__xludf.DUMMYFUNCTION("""COMPUTED_VALUE"""),427.0)</f>
        <v>427</v>
      </c>
      <c r="AE97" s="252" t="str">
        <f>IFERROR(__xludf.DUMMYFUNCTION("""COMPUTED_VALUE"""),"Sin incidentes")</f>
        <v>Sin incidentes</v>
      </c>
      <c r="AF97" s="252"/>
      <c r="AG97" s="252" t="str">
        <f>IFERROR(__xludf.DUMMYFUNCTION("""COMPUTED_VALUE"""),"[VH-01] -  VBROHINCADOR")</f>
        <v>[VH-01] -  VBROHINCADOR</v>
      </c>
      <c r="AH97" s="252">
        <f>IFERROR(__xludf.DUMMYFUNCTION("""COMPUTED_VALUE"""),8529.0)</f>
        <v>8529</v>
      </c>
      <c r="AI97" s="252"/>
      <c r="AJ97" s="882">
        <f>IFERROR(__xludf.DUMMYFUNCTION("""COMPUTED_VALUE"""),46066.3890625)</f>
        <v>46066.38906</v>
      </c>
      <c r="AK97" s="252"/>
      <c r="AL97" s="880">
        <f>IFERROR(__xludf.DUMMYFUNCTION("""COMPUTED_VALUE"""),350.0)</f>
        <v>350</v>
      </c>
      <c r="AM97" s="880" t="str">
        <f>IFERROR(__xludf.DUMMYFUNCTION("""COMPUTED_VALUE"""),"")</f>
        <v/>
      </c>
      <c r="AN97" s="252"/>
      <c r="AO97" s="252" t="str">
        <f>IFERROR(__xludf.DUMMYFUNCTION("""COMPUTED_VALUE"""),"Hr")</f>
        <v>Hr</v>
      </c>
      <c r="AP97" s="252"/>
      <c r="AQ97" s="252">
        <f>IFERROR(__xludf.DUMMYFUNCTION("""COMPUTED_VALUE"""),222.0)</f>
        <v>222</v>
      </c>
      <c r="AR97" s="252"/>
      <c r="AS97" s="881">
        <f>IFERROR(__xludf.DUMMYFUNCTION("""COMPUTED_VALUE"""),44927.0)</f>
        <v>44927</v>
      </c>
      <c r="AT97" s="881">
        <f>IFERROR(__xludf.DUMMYFUNCTION("""COMPUTED_VALUE"""),44927.0)</f>
        <v>44927</v>
      </c>
      <c r="AU97" s="252"/>
      <c r="AV97" s="252"/>
      <c r="AW97" s="252"/>
      <c r="AX97" s="252"/>
      <c r="AY97" s="252"/>
      <c r="AZ97" s="252"/>
    </row>
    <row r="98">
      <c r="A98" s="252" t="str">
        <f>IFERROR(__xludf.DUMMYFUNCTION("""COMPUTED_VALUE"""),"dc4e3ec4")</f>
        <v>dc4e3ec4</v>
      </c>
      <c r="B98" s="252" t="str">
        <f>IFERROR(__xludf.DUMMYFUNCTION("""COMPUTED_VALUE"""),"EM-03 BETONERA ABONERA")</f>
        <v>EM-03 BETONERA ABONERA</v>
      </c>
      <c r="C98" s="252" t="str">
        <f>IFERROR(__xludf.DUMMYFUNCTION("""COMPUTED_VALUE"""),"EQUIPO MENOR")</f>
        <v>EQUIPO MENOR</v>
      </c>
      <c r="D98" s="252" t="str">
        <f>IFERROR(__xludf.DUMMYFUNCTION("""COMPUTED_VALUE"""),"EQUIPO MENOR")</f>
        <v>EQUIPO MENOR</v>
      </c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  <c r="AA98" s="252"/>
      <c r="AB98" s="252" t="str">
        <f>IFERROR(__xludf.DUMMYFUNCTION("""COMPUTED_VALUE"""),"En producción")</f>
        <v>En producción</v>
      </c>
      <c r="AC98" s="252"/>
      <c r="AD98" s="252"/>
      <c r="AE98" s="252" t="str">
        <f>IFERROR(__xludf.DUMMYFUNCTION("""COMPUTED_VALUE"""),"Sin incidentes")</f>
        <v>Sin incidentes</v>
      </c>
      <c r="AF98" s="252"/>
      <c r="AG98" s="252" t="str">
        <f>IFERROR(__xludf.DUMMYFUNCTION("""COMPUTED_VALUE"""),"[EM-03 BETONERA ABONERA] -  ")</f>
        <v>[EM-03 BETONERA ABONERA] -  </v>
      </c>
      <c r="AH98" s="252"/>
      <c r="AI98" s="252"/>
      <c r="AJ98" s="252"/>
      <c r="AK98" s="252"/>
      <c r="AL98" s="880" t="str">
        <f>IFERROR(__xludf.DUMMYFUNCTION("""COMPUTED_VALUE"""),"")</f>
        <v/>
      </c>
      <c r="AM98" s="880" t="str">
        <f>IFERROR(__xludf.DUMMYFUNCTION("""COMPUTED_VALUE"""),"")</f>
        <v/>
      </c>
      <c r="AN98" s="252"/>
      <c r="AO98" s="252" t="str">
        <f>IFERROR(__xludf.DUMMYFUNCTION("""COMPUTED_VALUE"""),"N/A")</f>
        <v>N/A</v>
      </c>
      <c r="AP98" s="252"/>
      <c r="AQ98" s="252"/>
      <c r="AR98" s="252"/>
      <c r="AS98" s="881">
        <f>IFERROR(__xludf.DUMMYFUNCTION("""COMPUTED_VALUE"""),44927.0)</f>
        <v>44927</v>
      </c>
      <c r="AT98" s="881">
        <f>IFERROR(__xludf.DUMMYFUNCTION("""COMPUTED_VALUE"""),44927.0)</f>
        <v>44927</v>
      </c>
      <c r="AU98" s="252"/>
      <c r="AV98" s="252"/>
      <c r="AW98" s="252"/>
      <c r="AX98" s="252"/>
      <c r="AY98" s="252"/>
      <c r="AZ98" s="252"/>
    </row>
    <row r="99">
      <c r="A99" s="252" t="str">
        <f>IFERROR(__xludf.DUMMYFUNCTION("""COMPUTED_VALUE"""),"dece6299")</f>
        <v>dece6299</v>
      </c>
      <c r="B99" s="252" t="str">
        <f>IFERROR(__xludf.DUMMYFUNCTION("""COMPUTED_VALUE"""),"C-49 JRPT44")</f>
        <v>C-49 JRPT44</v>
      </c>
      <c r="C99" s="252" t="str">
        <f>IFERROR(__xludf.DUMMYFUNCTION("""COMPUTED_VALUE"""),"CAMIONETA")</f>
        <v>CAMIONETA</v>
      </c>
      <c r="D99" s="252" t="str">
        <f>IFERROR(__xludf.DUMMYFUNCTION("""COMPUTED_VALUE"""),"CAMIONETA")</f>
        <v>CAMIONETA</v>
      </c>
      <c r="E99" s="252" t="str">
        <f>IFERROR(__xludf.DUMMYFUNCTION("""COMPUTED_VALUE"""),"NISSAN")</f>
        <v>NISSAN</v>
      </c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  <c r="AA99" s="252"/>
      <c r="AB99" s="252" t="str">
        <f>IFERROR(__xludf.DUMMYFUNCTION("""COMPUTED_VALUE"""),"En producción")</f>
        <v>En producción</v>
      </c>
      <c r="AC99" s="252"/>
      <c r="AD99" s="252">
        <f>IFERROR(__xludf.DUMMYFUNCTION("""COMPUTED_VALUE"""),1063.0)</f>
        <v>1063</v>
      </c>
      <c r="AE99" s="252" t="str">
        <f>IFERROR(__xludf.DUMMYFUNCTION("""COMPUTED_VALUE"""),"Sin incidentes")</f>
        <v>Sin incidentes</v>
      </c>
      <c r="AF99" s="252"/>
      <c r="AG99" s="252" t="str">
        <f>IFERROR(__xludf.DUMMYFUNCTION("""COMPUTED_VALUE"""),"[C-49 JRPT44] - NISSAN ")</f>
        <v>[C-49 JRPT44] - NISSAN </v>
      </c>
      <c r="AH99" s="252"/>
      <c r="AI99" s="252">
        <f>IFERROR(__xludf.DUMMYFUNCTION("""COMPUTED_VALUE"""),338443.0)</f>
        <v>338443</v>
      </c>
      <c r="AJ99" s="252"/>
      <c r="AK99" s="882">
        <f>IFERROR(__xludf.DUMMYFUNCTION("""COMPUTED_VALUE"""),46094.55710648148)</f>
        <v>46094.55711</v>
      </c>
      <c r="AL99" s="880" t="str">
        <f>IFERROR(__xludf.DUMMYFUNCTION("""COMPUTED_VALUE"""),"")</f>
        <v/>
      </c>
      <c r="AM99" s="880">
        <f>IFERROR(__xludf.DUMMYFUNCTION("""COMPUTED_VALUE"""),342355.0)</f>
        <v>342355</v>
      </c>
      <c r="AN99" s="252" t="str">
        <f>IFERROR(__xludf.DUMMYFUNCTION("""COMPUTED_VALUE"""),"OT260211164046")</f>
        <v>OT260211164046</v>
      </c>
      <c r="AO99" s="252" t="str">
        <f>IFERROR(__xludf.DUMMYFUNCTION("""COMPUTED_VALUE"""),"Km")</f>
        <v>Km</v>
      </c>
      <c r="AP99" s="252" t="str">
        <f>IFERROR(__xludf.DUMMYFUNCTION("""COMPUTED_VALUE"""),"IS260312085642")</f>
        <v>IS260312085642</v>
      </c>
      <c r="AQ99" s="252"/>
      <c r="AR99" s="252">
        <f>IFERROR(__xludf.DUMMYFUNCTION("""COMPUTED_VALUE"""),283139.0)</f>
        <v>283139</v>
      </c>
      <c r="AS99" s="881">
        <f>IFERROR(__xludf.DUMMYFUNCTION("""COMPUTED_VALUE"""),44927.0)</f>
        <v>44927</v>
      </c>
      <c r="AT99" s="881">
        <f>IFERROR(__xludf.DUMMYFUNCTION("""COMPUTED_VALUE"""),44927.0)</f>
        <v>44927</v>
      </c>
      <c r="AU99" s="252" t="str">
        <f>IFERROR(__xludf.DUMMYFUNCTION("""COMPUTED_VALUE"""),"RDC260210105502")</f>
        <v>RDC260210105502</v>
      </c>
      <c r="AV99" s="252" t="str">
        <f>IFERROR(__xludf.DUMMYFUNCTION("""COMPUTED_VALUE"""),"RCO260313151516")</f>
        <v>RCO260313151516</v>
      </c>
      <c r="AW99" s="252">
        <f>IFERROR(__xludf.DUMMYFUNCTION("""COMPUTED_VALUE"""),45.0)</f>
        <v>45</v>
      </c>
      <c r="AX99" s="252"/>
      <c r="AY99" s="252">
        <f>IFERROR(__xludf.DUMMYFUNCTION("""COMPUTED_VALUE"""),446.0)</f>
        <v>446</v>
      </c>
      <c r="AZ99" s="881">
        <f>IFERROR(__xludf.DUMMYFUNCTION("""COMPUTED_VALUE"""),46094.0)</f>
        <v>46094</v>
      </c>
    </row>
    <row r="100">
      <c r="A100" s="252" t="str">
        <f>IFERROR(__xludf.DUMMYFUNCTION("""COMPUTED_VALUE"""),"e56407a0")</f>
        <v>e56407a0</v>
      </c>
      <c r="B100" s="252" t="str">
        <f>IFERROR(__xludf.DUMMYFUNCTION("""COMPUTED_VALUE"""),"EXT-13 RODILLO CATERPILLAR CS533E")</f>
        <v>EXT-13 RODILLO CATERPILLAR CS533E</v>
      </c>
      <c r="C100" s="252" t="str">
        <f>IFERROR(__xludf.DUMMYFUNCTION("""COMPUTED_VALUE"""),"MAQUINARIA")</f>
        <v>MAQUINARIA</v>
      </c>
      <c r="D100" s="252" t="str">
        <f>IFERROR(__xludf.DUMMYFUNCTION("""COMPUTED_VALUE"""),"EXTERNO")</f>
        <v>EXTERNO</v>
      </c>
      <c r="E100" s="252" t="str">
        <f>IFERROR(__xludf.DUMMYFUNCTION("""COMPUTED_VALUE"""),"CATERPILLAR")</f>
        <v>CATERPILLAR</v>
      </c>
      <c r="F100" s="252" t="str">
        <f>IFERROR(__xludf.DUMMYFUNCTION("""COMPUTED_VALUE"""),"CS533E")</f>
        <v>CS533E</v>
      </c>
      <c r="G100" s="252"/>
      <c r="H100" s="252"/>
      <c r="I100" s="252"/>
      <c r="J100" s="252" t="str">
        <f>IFERROR(__xludf.DUMMYFUNCTION("""COMPUTED_VALUE"""),"CRDD62")</f>
        <v>CRDD62</v>
      </c>
      <c r="K100" s="252" t="str">
        <f>IFERROR(__xludf.DUMMYFUNCTION("""COMPUTED_VALUE"""),"EXTERNA")</f>
        <v>EXTERNA</v>
      </c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  <c r="AA100" s="252"/>
      <c r="AB100" s="252" t="str">
        <f>IFERROR(__xludf.DUMMYFUNCTION("""COMPUTED_VALUE"""),"En producción")</f>
        <v>En producción</v>
      </c>
      <c r="AC100" s="252"/>
      <c r="AD100" s="252">
        <f>IFERROR(__xludf.DUMMYFUNCTION("""COMPUTED_VALUE"""),632.0)</f>
        <v>632</v>
      </c>
      <c r="AE100" s="252" t="str">
        <f>IFERROR(__xludf.DUMMYFUNCTION("""COMPUTED_VALUE"""),"Sin incidentes")</f>
        <v>Sin incidentes</v>
      </c>
      <c r="AF100" s="252"/>
      <c r="AG100" s="252" t="str">
        <f>IFERROR(__xludf.DUMMYFUNCTION("""COMPUTED_VALUE"""),"[EXT-13 RODILLO CATERPILLAR CS533E] - CATERPILLAR CS533E")</f>
        <v>[EXT-13 RODILLO CATERPILLAR CS533E] - CATERPILLAR CS533E</v>
      </c>
      <c r="AH100" s="252">
        <f>IFERROR(__xludf.DUMMYFUNCTION("""COMPUTED_VALUE"""),7772.0)</f>
        <v>7772</v>
      </c>
      <c r="AI100" s="252"/>
      <c r="AJ100" s="882">
        <f>IFERROR(__xludf.DUMMYFUNCTION("""COMPUTED_VALUE"""),45795.915821759256)</f>
        <v>45795.91582</v>
      </c>
      <c r="AK100" s="252"/>
      <c r="AL100" s="880">
        <f>IFERROR(__xludf.DUMMYFUNCTION("""COMPUTED_VALUE"""),11581.0)</f>
        <v>11581</v>
      </c>
      <c r="AM100" s="252"/>
      <c r="AN100" s="252"/>
      <c r="AO100" s="252" t="str">
        <f>IFERROR(__xludf.DUMMYFUNCTION("""COMPUTED_VALUE"""),"Hr")</f>
        <v>Hr</v>
      </c>
      <c r="AP100" s="252"/>
      <c r="AQ100" s="252">
        <f>IFERROR(__xludf.DUMMYFUNCTION("""COMPUTED_VALUE"""),11376.0)</f>
        <v>11376</v>
      </c>
      <c r="AR100" s="252"/>
      <c r="AS100" s="881">
        <f>IFERROR(__xludf.DUMMYFUNCTION("""COMPUTED_VALUE"""),44927.0)</f>
        <v>44927</v>
      </c>
      <c r="AT100" s="881">
        <f>IFERROR(__xludf.DUMMYFUNCTION("""COMPUTED_VALUE"""),44927.0)</f>
        <v>44927</v>
      </c>
      <c r="AU100" s="252" t="str">
        <f>IFERROR(__xludf.DUMMYFUNCTION("""COMPUTED_VALUE"""),"RDC250502082234")</f>
        <v>RDC250502082234</v>
      </c>
      <c r="AV100" s="252" t="str">
        <f>IFERROR(__xludf.DUMMYFUNCTION("""COMPUTED_VALUE"""),"RCO250502110230")</f>
        <v>RCO250502110230</v>
      </c>
      <c r="AW100" s="252">
        <f>IFERROR(__xludf.DUMMYFUNCTION("""COMPUTED_VALUE"""),54.0)</f>
        <v>54</v>
      </c>
      <c r="AX100" s="252">
        <f>IFERROR(__xludf.DUMMYFUNCTION("""COMPUTED_VALUE"""),7.0)</f>
        <v>7</v>
      </c>
      <c r="AY100" s="252"/>
      <c r="AZ100" s="884">
        <f>IFERROR(__xludf.DUMMYFUNCTION("""COMPUTED_VALUE"""),45779.0)</f>
        <v>45779</v>
      </c>
    </row>
    <row r="101">
      <c r="A101" s="252" t="str">
        <f>IFERROR(__xludf.DUMMYFUNCTION("""COMPUTED_VALUE"""),"e758af11")</f>
        <v>e758af11</v>
      </c>
      <c r="B101" s="252" t="str">
        <f>IFERROR(__xludf.DUMMYFUNCTION("""COMPUTED_VALUE"""),"RC-02 RSRK53")</f>
        <v>RC-02 RSRK53</v>
      </c>
      <c r="C101" s="252" t="str">
        <f>IFERROR(__xludf.DUMMYFUNCTION("""COMPUTED_VALUE"""),"RODILLO")</f>
        <v>RODILLO</v>
      </c>
      <c r="D101" s="252" t="str">
        <f>IFERROR(__xludf.DUMMYFUNCTION("""COMPUTED_VALUE"""),"RODILLO COMPACTADOR")</f>
        <v>RODILLO COMPACTADOR</v>
      </c>
      <c r="E101" s="252" t="str">
        <f>IFERROR(__xludf.DUMMYFUNCTION("""COMPUTED_VALUE"""),"HAMM")</f>
        <v>HAMM</v>
      </c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  <c r="AA101" s="252"/>
      <c r="AB101" s="252" t="str">
        <f>IFERROR(__xludf.DUMMYFUNCTION("""COMPUTED_VALUE"""),"En producción")</f>
        <v>En producción</v>
      </c>
      <c r="AC101" s="252"/>
      <c r="AD101" s="252">
        <f>IFERROR(__xludf.DUMMYFUNCTION("""COMPUTED_VALUE"""),1047.0)</f>
        <v>1047</v>
      </c>
      <c r="AE101" s="252" t="str">
        <f>IFERROR(__xludf.DUMMYFUNCTION("""COMPUTED_VALUE"""),"Sin incidentes")</f>
        <v>Sin incidentes</v>
      </c>
      <c r="AF101" s="252"/>
      <c r="AG101" s="252" t="str">
        <f>IFERROR(__xludf.DUMMYFUNCTION("""COMPUTED_VALUE"""),"[RC-02 RSRK53] - HAMM ")</f>
        <v>[RC-02 RSRK53] - HAMM </v>
      </c>
      <c r="AH101" s="252">
        <f>IFERROR(__xludf.DUMMYFUNCTION("""COMPUTED_VALUE"""),2092.0)</f>
        <v>2092</v>
      </c>
      <c r="AI101" s="252">
        <f>IFERROR(__xludf.DUMMYFUNCTION("""COMPUTED_VALUE"""),1.0)</f>
        <v>1</v>
      </c>
      <c r="AJ101" s="882">
        <f>IFERROR(__xludf.DUMMYFUNCTION("""COMPUTED_VALUE"""),46094.69315972222)</f>
        <v>46094.69316</v>
      </c>
      <c r="AK101" s="882">
        <f>IFERROR(__xludf.DUMMYFUNCTION("""COMPUTED_VALUE"""),46094.693194444444)</f>
        <v>46094.69319</v>
      </c>
      <c r="AL101" s="880">
        <f>IFERROR(__xludf.DUMMYFUNCTION("""COMPUTED_VALUE"""),2096.0)</f>
        <v>2096</v>
      </c>
      <c r="AM101" s="880" t="str">
        <f>IFERROR(__xludf.DUMMYFUNCTION("""COMPUTED_VALUE"""),"")</f>
        <v/>
      </c>
      <c r="AN101" s="252" t="str">
        <f>IFERROR(__xludf.DUMMYFUNCTION("""COMPUTED_VALUE"""),"OT251119151728")</f>
        <v>OT251119151728</v>
      </c>
      <c r="AO101" s="252" t="str">
        <f>IFERROR(__xludf.DUMMYFUNCTION("""COMPUTED_VALUE"""),"Hr")</f>
        <v>Hr</v>
      </c>
      <c r="AP101" s="252" t="str">
        <f>IFERROR(__xludf.DUMMYFUNCTION("""COMPUTED_VALUE"""),"IS250827111054")</f>
        <v>IS250827111054</v>
      </c>
      <c r="AQ101" s="252">
        <f>IFERROR(__xludf.DUMMYFUNCTION("""COMPUTED_VALUE"""),1316.0)</f>
        <v>1316</v>
      </c>
      <c r="AR101" s="252"/>
      <c r="AS101" s="881">
        <f>IFERROR(__xludf.DUMMYFUNCTION("""COMPUTED_VALUE"""),44927.0)</f>
        <v>44927</v>
      </c>
      <c r="AT101" s="881">
        <f>IFERROR(__xludf.DUMMYFUNCTION("""COMPUTED_VALUE"""),44927.0)</f>
        <v>44927</v>
      </c>
      <c r="AU101" s="252" t="str">
        <f>IFERROR(__xludf.DUMMYFUNCTION("""COMPUTED_VALUE"""),"RDC260311125250")</f>
        <v>RDC260311125250</v>
      </c>
      <c r="AV101" s="252" t="str">
        <f>IFERROR(__xludf.DUMMYFUNCTION("""COMPUTED_VALUE"""),"RCO260313183712")</f>
        <v>RCO260313183712</v>
      </c>
      <c r="AW101" s="252">
        <f>IFERROR(__xludf.DUMMYFUNCTION("""COMPUTED_VALUE"""),190.0)</f>
        <v>190</v>
      </c>
      <c r="AX101" s="252">
        <f>IFERROR(__xludf.DUMMYFUNCTION("""COMPUTED_VALUE"""),40.0)</f>
        <v>40</v>
      </c>
      <c r="AY101" s="252">
        <f>IFERROR(__xludf.DUMMYFUNCTION("""COMPUTED_VALUE"""),0.0)</f>
        <v>0</v>
      </c>
      <c r="AZ101" s="883">
        <f>IFERROR(__xludf.DUMMYFUNCTION("""COMPUTED_VALUE"""),46094.0)</f>
        <v>46094</v>
      </c>
    </row>
    <row r="102">
      <c r="A102" s="252" t="str">
        <f>IFERROR(__xludf.DUMMYFUNCTION("""COMPUTED_VALUE"""),"fa2fdc36")</f>
        <v>fa2fdc36</v>
      </c>
      <c r="B102" s="252" t="str">
        <f>IFERROR(__xludf.DUMMYFUNCTION("""COMPUTED_VALUE"""),"Batea 01")</f>
        <v>Batea 01</v>
      </c>
      <c r="C102" s="252" t="str">
        <f>IFERROR(__xludf.DUMMYFUNCTION("""COMPUTED_VALUE"""),"SEMIREMOLQUE")</f>
        <v>SEMIREMOLQUE</v>
      </c>
      <c r="D102" s="252" t="str">
        <f>IFERROR(__xludf.DUMMYFUNCTION("""COMPUTED_VALUE"""),"BATEA")</f>
        <v>BATEA</v>
      </c>
      <c r="E102" s="252" t="str">
        <f>IFERROR(__xludf.DUMMYFUNCTION("""COMPUTED_VALUE"""),"RANDON")</f>
        <v>RANDON</v>
      </c>
      <c r="F102" s="252" t="str">
        <f>IFERROR(__xludf.DUMMYFUNCTION("""COMPUTED_VALUE"""),"Quiero informar novedades de esta batea .piso roto.portalon cae material.bujes portalón desgastado.botella hidráulica con fuga")</f>
        <v>Quiero informar novedades de esta batea .piso roto.portalon cae material.bujes portalón desgastado.botella hidráulica con fuga</v>
      </c>
      <c r="G102" s="252"/>
      <c r="H102" s="252"/>
      <c r="I102" s="252"/>
      <c r="J102" s="252" t="str">
        <f>IFERROR(__xludf.DUMMYFUNCTION("""COMPUTED_VALUE"""),"Jb3026")</f>
        <v>Jb3026</v>
      </c>
      <c r="K102" s="252" t="str">
        <f>IFERROR(__xludf.DUMMYFUNCTION("""COMPUTED_VALUE"""),"Ecma")</f>
        <v>Ecma</v>
      </c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  <c r="AA102" s="252"/>
      <c r="AB102" s="252" t="str">
        <f>IFERROR(__xludf.DUMMYFUNCTION("""COMPUTED_VALUE"""),"En producción")</f>
        <v>En producción</v>
      </c>
      <c r="AC102" s="252"/>
      <c r="AD102" s="252"/>
      <c r="AE102" s="252" t="str">
        <f>IFERROR(__xludf.DUMMYFUNCTION("""COMPUTED_VALUE"""),"Sin incidentes")</f>
        <v>Sin incidentes</v>
      </c>
      <c r="AF102" s="252"/>
      <c r="AG102" s="252" t="str">
        <f>IFERROR(__xludf.DUMMYFUNCTION("""COMPUTED_VALUE"""),"[Batea 01] - RANDON Quiero informar novedades de esta batea .piso roto.portalon cae material.bujes portalón desgastado.botella hidráulica con fuga")</f>
        <v>[Batea 01] - RANDON Quiero informar novedades de esta batea .piso roto.portalon cae material.bujes portalón desgastado.botella hidráulica con fuga</v>
      </c>
      <c r="AH102" s="252"/>
      <c r="AI102" s="252"/>
      <c r="AJ102" s="252"/>
      <c r="AK102" s="252"/>
      <c r="AL102" s="880" t="str">
        <f>IFERROR(__xludf.DUMMYFUNCTION("""COMPUTED_VALUE"""),"")</f>
        <v/>
      </c>
      <c r="AM102" s="880" t="str">
        <f>IFERROR(__xludf.DUMMYFUNCTION("""COMPUTED_VALUE"""),"")</f>
        <v/>
      </c>
      <c r="AN102" s="252"/>
      <c r="AO102" s="252" t="str">
        <f>IFERROR(__xludf.DUMMYFUNCTION("""COMPUTED_VALUE"""),"N/A")</f>
        <v>N/A</v>
      </c>
      <c r="AP102" s="252"/>
      <c r="AQ102" s="252"/>
      <c r="AR102" s="252"/>
      <c r="AS102" s="881">
        <f>IFERROR(__xludf.DUMMYFUNCTION("""COMPUTED_VALUE"""),44927.0)</f>
        <v>44927</v>
      </c>
      <c r="AT102" s="881">
        <f>IFERROR(__xludf.DUMMYFUNCTION("""COMPUTED_VALUE"""),44927.0)</f>
        <v>44927</v>
      </c>
      <c r="AU102" s="252"/>
      <c r="AV102" s="252"/>
      <c r="AW102" s="252"/>
      <c r="AX102" s="252"/>
      <c r="AY102" s="252"/>
      <c r="AZ102" s="252"/>
    </row>
    <row r="103">
      <c r="A103" s="252" t="str">
        <f>IFERROR(__xludf.DUMMYFUNCTION("""COMPUTED_VALUE"""),"fb6a41c0")</f>
        <v>fb6a41c0</v>
      </c>
      <c r="B103" s="252" t="str">
        <f>IFERROR(__xludf.DUMMYFUNCTION("""COMPUTED_VALUE"""),"GM-03")</f>
        <v>GM-03</v>
      </c>
      <c r="C103" s="252" t="str">
        <f>IFERROR(__xludf.DUMMYFUNCTION("""COMPUTED_VALUE"""),"GRUA MOVIL")</f>
        <v>GRUA MOVIL</v>
      </c>
      <c r="D103" s="252" t="str">
        <f>IFERROR(__xludf.DUMMYFUNCTION("""COMPUTED_VALUE"""),"GRUA MOVIL")</f>
        <v>GRUA MOVIL</v>
      </c>
      <c r="E103" s="252" t="str">
        <f>IFERROR(__xludf.DUMMYFUNCTION("""COMPUTED_VALUE"""),"TEREX")</f>
        <v>TEREX</v>
      </c>
      <c r="F103" s="252" t="str">
        <f>IFERROR(__xludf.DUMMYFUNCTION("""COMPUTED_VALUE"""),"HC-110")</f>
        <v>HC-110</v>
      </c>
      <c r="G103" s="252"/>
      <c r="H103" s="252"/>
      <c r="I103" s="252"/>
      <c r="J103" s="252"/>
      <c r="K103" s="252" t="str">
        <f>IFERROR(__xludf.DUMMYFUNCTION("""COMPUTED_VALUE"""),"HARCHA MAQUINARIA")</f>
        <v>HARCHA MAQUINARIA</v>
      </c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  <c r="AA103" s="252"/>
      <c r="AB103" s="252" t="str">
        <f>IFERROR(__xludf.DUMMYFUNCTION("""COMPUTED_VALUE"""),"En producción")</f>
        <v>En producción</v>
      </c>
      <c r="AC103" s="252"/>
      <c r="AD103" s="252">
        <f>IFERROR(__xludf.DUMMYFUNCTION("""COMPUTED_VALUE"""),1049.0)</f>
        <v>1049</v>
      </c>
      <c r="AE103" s="252" t="str">
        <f>IFERROR(__xludf.DUMMYFUNCTION("""COMPUTED_VALUE"""),"Sin incidentes")</f>
        <v>Sin incidentes</v>
      </c>
      <c r="AF103" s="252"/>
      <c r="AG103" s="252" t="str">
        <f>IFERROR(__xludf.DUMMYFUNCTION("""COMPUTED_VALUE"""),"[GM-03] - TEREX HC-110")</f>
        <v>[GM-03] - TEREX HC-110</v>
      </c>
      <c r="AH103" s="252">
        <f>IFERROR(__xludf.DUMMYFUNCTION("""COMPUTED_VALUE"""),4864.0)</f>
        <v>4864</v>
      </c>
      <c r="AI103" s="252">
        <f>IFERROR(__xludf.DUMMYFUNCTION("""COMPUTED_VALUE"""),1.0)</f>
        <v>1</v>
      </c>
      <c r="AJ103" s="882">
        <f>IFERROR(__xludf.DUMMYFUNCTION("""COMPUTED_VALUE"""),46093.55019675926)</f>
        <v>46093.5502</v>
      </c>
      <c r="AK103" s="882">
        <f>IFERROR(__xludf.DUMMYFUNCTION("""COMPUTED_VALUE"""),46093.550578703704)</f>
        <v>46093.55058</v>
      </c>
      <c r="AL103" s="880">
        <f>IFERROR(__xludf.DUMMYFUNCTION("""COMPUTED_VALUE"""),5130.0)</f>
        <v>5130</v>
      </c>
      <c r="AM103" s="252"/>
      <c r="AN103" s="252" t="str">
        <f>IFERROR(__xludf.DUMMYFUNCTION("""COMPUTED_VALUE"""),"OT260213104516")</f>
        <v>OT260213104516</v>
      </c>
      <c r="AO103" s="252"/>
      <c r="AP103" s="252"/>
      <c r="AQ103" s="252"/>
      <c r="AR103" s="252"/>
      <c r="AS103" s="881">
        <f>IFERROR(__xludf.DUMMYFUNCTION("""COMPUTED_VALUE"""),45762.0)</f>
        <v>45762</v>
      </c>
      <c r="AT103" s="881">
        <f>IFERROR(__xludf.DUMMYFUNCTION("""COMPUTED_VALUE"""),45762.0)</f>
        <v>45762</v>
      </c>
      <c r="AU103" s="252" t="str">
        <f>IFERROR(__xludf.DUMMYFUNCTION("""COMPUTED_VALUE"""),"RDC260304104340")</f>
        <v>RDC260304104340</v>
      </c>
      <c r="AV103" s="252" t="str">
        <f>IFERROR(__xludf.DUMMYFUNCTION("""COMPUTED_VALUE"""),"RCO260224181845")</f>
        <v>RCO260224181845</v>
      </c>
      <c r="AW103" s="252">
        <f>IFERROR(__xludf.DUMMYFUNCTION("""COMPUTED_VALUE"""),280.0)</f>
        <v>280</v>
      </c>
      <c r="AX103" s="252">
        <f>IFERROR(__xludf.DUMMYFUNCTION("""COMPUTED_VALUE"""),4823.0)</f>
        <v>4823</v>
      </c>
      <c r="AY103" s="252">
        <f>IFERROR(__xludf.DUMMYFUNCTION("""COMPUTED_VALUE"""),0.0)</f>
        <v>0</v>
      </c>
      <c r="AZ103" s="883">
        <f>IFERROR(__xludf.DUMMYFUNCTION("""COMPUTED_VALUE"""),46077.0)</f>
        <v>46077</v>
      </c>
    </row>
    <row r="104">
      <c r="A104" s="252" t="str">
        <f>IFERROR(__xludf.DUMMYFUNCTION("""COMPUTED_VALUE"""),"m000001")</f>
        <v>m000001</v>
      </c>
      <c r="B104" s="252" t="str">
        <f>IFERROR(__xludf.DUMMYFUNCTION("""COMPUTED_VALUE"""),"CP-05 RKYD89")</f>
        <v>CP-05 RKYD89</v>
      </c>
      <c r="C104" s="252" t="str">
        <f>IFERROR(__xludf.DUMMYFUNCTION("""COMPUTED_VALUE"""),"CAMION PLANO")</f>
        <v>CAMION PLANO</v>
      </c>
      <c r="D104" s="252" t="str">
        <f>IFERROR(__xludf.DUMMYFUNCTION("""COMPUTED_VALUE"""),"CAMION PLANO")</f>
        <v>CAMION PLANO</v>
      </c>
      <c r="E104" s="252" t="str">
        <f>IFERROR(__xludf.DUMMYFUNCTION("""COMPUTED_VALUE"""),"MITSUBISHI FUSO")</f>
        <v>MITSUBISHI FUSO</v>
      </c>
      <c r="F104" s="252" t="str">
        <f>IFERROR(__xludf.DUMMYFUNCTION("""COMPUTED_VALUE"""),"CANTER 815")</f>
        <v>CANTER 815</v>
      </c>
      <c r="G104" s="252">
        <f>IFERROR(__xludf.DUMMYFUNCTION("""COMPUTED_VALUE"""),2022.0)</f>
        <v>2022</v>
      </c>
      <c r="H104" s="252" t="str">
        <f>IFERROR(__xludf.DUMMYFUNCTION("""COMPUTED_VALUE"""),"4P10F04054")</f>
        <v>4P10F04054</v>
      </c>
      <c r="I104" s="252" t="str">
        <f>IFERROR(__xludf.DUMMYFUNCTION("""COMPUTED_VALUE"""),"JL6CJH6A4NK003107")</f>
        <v>JL6CJH6A4NK003107</v>
      </c>
      <c r="J104" s="252" t="str">
        <f>IFERROR(__xludf.DUMMYFUNCTION("""COMPUTED_VALUE"""),"RKYD89")</f>
        <v>RKYD89</v>
      </c>
      <c r="K104" s="252" t="str">
        <f>IFERROR(__xludf.DUMMYFUNCTION("""COMPUTED_VALUE"""),"ITAU")</f>
        <v>ITAU</v>
      </c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>
        <f>IFERROR(__xludf.DUMMYFUNCTION("""COMPUTED_VALUE"""),4.0)</f>
        <v>4</v>
      </c>
      <c r="W104" s="252">
        <f>IFERROR(__xludf.DUMMYFUNCTION("""COMPUTED_VALUE"""),4.0)</f>
        <v>4</v>
      </c>
      <c r="X104" s="252">
        <f>IFERROR(__xludf.DUMMYFUNCTION("""COMPUTED_VALUE"""),4.0)</f>
        <v>4</v>
      </c>
      <c r="Y104" s="252">
        <f>IFERROR(__xludf.DUMMYFUNCTION("""COMPUTED_VALUE"""),0.0)</f>
        <v>0</v>
      </c>
      <c r="Z104" s="252">
        <f>IFERROR(__xludf.DUMMYFUNCTION("""COMPUTED_VALUE"""),8.0)</f>
        <v>8</v>
      </c>
      <c r="AA104" s="252">
        <f>IFERROR(__xludf.DUMMYFUNCTION("""COMPUTED_VALUE"""),8.0)</f>
        <v>8</v>
      </c>
      <c r="AB104" s="252" t="str">
        <f>IFERROR(__xludf.DUMMYFUNCTION("""COMPUTED_VALUE"""),"En producción")</f>
        <v>En producción</v>
      </c>
      <c r="AC104" s="252"/>
      <c r="AD104" s="252">
        <f>IFERROR(__xludf.DUMMYFUNCTION("""COMPUTED_VALUE"""),162.0)</f>
        <v>162</v>
      </c>
      <c r="AE104" s="252" t="str">
        <f>IFERROR(__xludf.DUMMYFUNCTION("""COMPUTED_VALUE"""),"Alerta incidente")</f>
        <v>Alerta incidente</v>
      </c>
      <c r="AF104" s="252">
        <f>IFERROR(__xludf.DUMMYFUNCTION("""COMPUTED_VALUE"""),3.0)</f>
        <v>3</v>
      </c>
      <c r="AG104" s="252" t="str">
        <f>IFERROR(__xludf.DUMMYFUNCTION("""COMPUTED_VALUE"""),"[CP-05 RKYD89] - MITSUBISHI FUSO CANTER 815")</f>
        <v>[CP-05 RKYD89] - MITSUBISHI FUSO CANTER 815</v>
      </c>
      <c r="AH104" s="252">
        <f>IFERROR(__xludf.DUMMYFUNCTION("""COMPUTED_VALUE"""),1.0)</f>
        <v>1</v>
      </c>
      <c r="AI104" s="252">
        <f>IFERROR(__xludf.DUMMYFUNCTION("""COMPUTED_VALUE"""),209398.0)</f>
        <v>209398</v>
      </c>
      <c r="AJ104" s="882">
        <f>IFERROR(__xludf.DUMMYFUNCTION("""COMPUTED_VALUE"""),46092.32848379629)</f>
        <v>46092.32848</v>
      </c>
      <c r="AK104" s="882">
        <f>IFERROR(__xludf.DUMMYFUNCTION("""COMPUTED_VALUE"""),46094.236597222225)</f>
        <v>46094.2366</v>
      </c>
      <c r="AL104" s="252"/>
      <c r="AM104" s="880">
        <f>IFERROR(__xludf.DUMMYFUNCTION("""COMPUTED_VALUE"""),212073.0)</f>
        <v>212073</v>
      </c>
      <c r="AN104" s="252" t="str">
        <f>IFERROR(__xludf.DUMMYFUNCTION("""COMPUTED_VALUE"""),"OT260210160952")</f>
        <v>OT260210160952</v>
      </c>
      <c r="AO104" s="252" t="str">
        <f>IFERROR(__xludf.DUMMYFUNCTION("""COMPUTED_VALUE"""),"Km")</f>
        <v>Km</v>
      </c>
      <c r="AP104" s="252" t="str">
        <f>IFERROR(__xludf.DUMMYFUNCTION("""COMPUTED_VALUE"""),"IS260312165400")</f>
        <v>IS260312165400</v>
      </c>
      <c r="AQ104" s="252"/>
      <c r="AR104" s="252">
        <f>IFERROR(__xludf.DUMMYFUNCTION("""COMPUTED_VALUE"""),162651.0)</f>
        <v>162651</v>
      </c>
      <c r="AS104" s="881">
        <f>IFERROR(__xludf.DUMMYFUNCTION("""COMPUTED_VALUE"""),44927.0)</f>
        <v>44927</v>
      </c>
      <c r="AT104" s="881">
        <f>IFERROR(__xludf.DUMMYFUNCTION("""COMPUTED_VALUE"""),44927.0)</f>
        <v>44927</v>
      </c>
      <c r="AU104" s="252" t="str">
        <f>IFERROR(__xludf.DUMMYFUNCTION("""COMPUTED_VALUE"""),"RDC260313073132")</f>
        <v>RDC260313073132</v>
      </c>
      <c r="AV104" s="252" t="str">
        <f>IFERROR(__xludf.DUMMYFUNCTION("""COMPUTED_VALUE"""),"RCO260311095149")</f>
        <v>RCO260311095149</v>
      </c>
      <c r="AW104" s="252">
        <f>IFERROR(__xludf.DUMMYFUNCTION("""COMPUTED_VALUE"""),103.0)</f>
        <v>103</v>
      </c>
      <c r="AX104" s="252">
        <f>IFERROR(__xludf.DUMMYFUNCTION("""COMPUTED_VALUE"""),0.0)</f>
        <v>0</v>
      </c>
      <c r="AY104" s="252">
        <f>IFERROR(__xludf.DUMMYFUNCTION("""COMPUTED_VALUE"""),1214.0)</f>
        <v>1214</v>
      </c>
      <c r="AZ104" s="884">
        <f>IFERROR(__xludf.DUMMYFUNCTION("""COMPUTED_VALUE"""),46092.0)</f>
        <v>46092</v>
      </c>
    </row>
    <row r="105">
      <c r="A105" s="252" t="str">
        <f>IFERROR(__xludf.DUMMYFUNCTION("""COMPUTED_VALUE"""),"m000002")</f>
        <v>m000002</v>
      </c>
      <c r="B105" s="252" t="str">
        <f>IFERROR(__xludf.DUMMYFUNCTION("""COMPUTED_VALUE"""),"GM-02")</f>
        <v>GM-02</v>
      </c>
      <c r="C105" s="252" t="str">
        <f>IFERROR(__xludf.DUMMYFUNCTION("""COMPUTED_VALUE"""),"GRUA MOVIL")</f>
        <v>GRUA MOVIL</v>
      </c>
      <c r="D105" s="252" t="str">
        <f>IFERROR(__xludf.DUMMYFUNCTION("""COMPUTED_VALUE"""),"GRUA MOVIL")</f>
        <v>GRUA MOVIL</v>
      </c>
      <c r="E105" s="252" t="str">
        <f>IFERROR(__xludf.DUMMYFUNCTION("""COMPUTED_VALUE"""),"TEREX")</f>
        <v>TEREX</v>
      </c>
      <c r="F105" s="252" t="str">
        <f>IFERROR(__xludf.DUMMYFUNCTION("""COMPUTED_VALUE"""),"GRUA ESTRUCTURAL TEREX 2001")</f>
        <v>GRUA ESTRUCTURAL TEREX 2001</v>
      </c>
      <c r="G105" s="252"/>
      <c r="H105" s="252"/>
      <c r="I105" s="252"/>
      <c r="J105" s="252"/>
      <c r="K105" s="252"/>
      <c r="L105" s="252"/>
      <c r="M105" s="252"/>
      <c r="N105" s="252"/>
      <c r="O105" s="252"/>
      <c r="P105" s="252" t="str">
        <f>IFERROR(__xludf.DUMMYFUNCTION("""COMPUTED_VALUE"""),"54 TONELADAS")</f>
        <v>54 TONELADAS</v>
      </c>
      <c r="Q105" s="252"/>
      <c r="R105" s="252" t="str">
        <f>IFERROR(__xludf.DUMMYFUNCTION("""COMPUTED_VALUE"""),"398 LT")</f>
        <v>398 LT</v>
      </c>
      <c r="S105" s="252"/>
      <c r="T105" s="252"/>
      <c r="U105" s="252"/>
      <c r="V105" s="252"/>
      <c r="W105" s="252">
        <f>IFERROR(__xludf.DUMMYFUNCTION("""COMPUTED_VALUE"""),5.0)</f>
        <v>5</v>
      </c>
      <c r="X105" s="252">
        <f>IFERROR(__xludf.DUMMYFUNCTION("""COMPUTED_VALUE"""),5.0)</f>
        <v>5</v>
      </c>
      <c r="Y105" s="252">
        <f>IFERROR(__xludf.DUMMYFUNCTION("""COMPUTED_VALUE"""),5.0)</f>
        <v>5</v>
      </c>
      <c r="Z105" s="252">
        <f>IFERROR(__xludf.DUMMYFUNCTION("""COMPUTED_VALUE"""),8.0)</f>
        <v>8</v>
      </c>
      <c r="AA105" s="252">
        <f>IFERROR(__xludf.DUMMYFUNCTION("""COMPUTED_VALUE"""),8.0)</f>
        <v>8</v>
      </c>
      <c r="AB105" s="252" t="str">
        <f>IFERROR(__xludf.DUMMYFUNCTION("""COMPUTED_VALUE"""),"En producción")</f>
        <v>En producción</v>
      </c>
      <c r="AC105" s="252"/>
      <c r="AD105" s="252">
        <f>IFERROR(__xludf.DUMMYFUNCTION("""COMPUTED_VALUE"""),1012.0)</f>
        <v>1012</v>
      </c>
      <c r="AE105" s="252" t="str">
        <f>IFERROR(__xludf.DUMMYFUNCTION("""COMPUTED_VALUE"""),"Sin incidentes")</f>
        <v>Sin incidentes</v>
      </c>
      <c r="AF105" s="252">
        <f>IFERROR(__xludf.DUMMYFUNCTION("""COMPUTED_VALUE"""),1.0)</f>
        <v>1</v>
      </c>
      <c r="AG105" s="252" t="str">
        <f>IFERROR(__xludf.DUMMYFUNCTION("""COMPUTED_VALUE"""),"[GM-02] - TEREX GRUA ESTRUCTURAL TEREX 2001")</f>
        <v>[GM-02] - TEREX GRUA ESTRUCTURAL TEREX 2001</v>
      </c>
      <c r="AH105" s="252">
        <f>IFERROR(__xludf.DUMMYFUNCTION("""COMPUTED_VALUE"""),22330.0)</f>
        <v>22330</v>
      </c>
      <c r="AI105" s="252">
        <f>IFERROR(__xludf.DUMMYFUNCTION("""COMPUTED_VALUE"""),21591.0)</f>
        <v>21591</v>
      </c>
      <c r="AJ105" s="882">
        <f>IFERROR(__xludf.DUMMYFUNCTION("""COMPUTED_VALUE"""),46091.611550925925)</f>
        <v>46091.61155</v>
      </c>
      <c r="AK105" s="882">
        <f>IFERROR(__xludf.DUMMYFUNCTION("""COMPUTED_VALUE"""),46085.30763888889)</f>
        <v>46085.30764</v>
      </c>
      <c r="AL105" s="880">
        <f>IFERROR(__xludf.DUMMYFUNCTION("""COMPUTED_VALUE"""),22377.0)</f>
        <v>22377</v>
      </c>
      <c r="AM105" s="880">
        <f>IFERROR(__xludf.DUMMYFUNCTION("""COMPUTED_VALUE"""),30000.0)</f>
        <v>30000</v>
      </c>
      <c r="AN105" s="252" t="str">
        <f>IFERROR(__xludf.DUMMYFUNCTION("""COMPUTED_VALUE"""),"OT251017140220")</f>
        <v>OT251017140220</v>
      </c>
      <c r="AO105" s="252" t="str">
        <f>IFERROR(__xludf.DUMMYFUNCTION("""COMPUTED_VALUE"""),"Hr")</f>
        <v>Hr</v>
      </c>
      <c r="AP105" s="252" t="str">
        <f>IFERROR(__xludf.DUMMYFUNCTION("""COMPUTED_VALUE"""),"IS250312124425")</f>
        <v>IS250312124425</v>
      </c>
      <c r="AQ105" s="252">
        <f>IFERROR(__xludf.DUMMYFUNCTION("""COMPUTED_VALUE"""),21608.0)</f>
        <v>21608</v>
      </c>
      <c r="AR105" s="252">
        <f>IFERROR(__xludf.DUMMYFUNCTION("""COMPUTED_VALUE"""),21591.0)</f>
        <v>21591</v>
      </c>
      <c r="AS105" s="881">
        <f>IFERROR(__xludf.DUMMYFUNCTION("""COMPUTED_VALUE"""),44927.0)</f>
        <v>44927</v>
      </c>
      <c r="AT105" s="881">
        <f>IFERROR(__xludf.DUMMYFUNCTION("""COMPUTED_VALUE"""),44927.0)</f>
        <v>44927</v>
      </c>
      <c r="AU105" s="252" t="str">
        <f>IFERROR(__xludf.DUMMYFUNCTION("""COMPUTED_VALUE"""),"RDC260310135047")</f>
        <v>RDC260310135047</v>
      </c>
      <c r="AV105" s="252" t="str">
        <f>IFERROR(__xludf.DUMMYFUNCTION("""COMPUTED_VALUE"""),"RCO260304092143")</f>
        <v>RCO260304092143</v>
      </c>
      <c r="AW105" s="252">
        <f>IFERROR(__xludf.DUMMYFUNCTION("""COMPUTED_VALUE"""),200.0)</f>
        <v>200</v>
      </c>
      <c r="AX105" s="252">
        <f>IFERROR(__xludf.DUMMYFUNCTION("""COMPUTED_VALUE"""),62.0)</f>
        <v>62</v>
      </c>
      <c r="AY105" s="252">
        <f>IFERROR(__xludf.DUMMYFUNCTION("""COMPUTED_VALUE"""),0.0)</f>
        <v>0</v>
      </c>
      <c r="AZ105" s="884">
        <f>IFERROR(__xludf.DUMMYFUNCTION("""COMPUTED_VALUE"""),46085.0)</f>
        <v>46085</v>
      </c>
    </row>
    <row r="106">
      <c r="A106" s="252" t="str">
        <f>IFERROR(__xludf.DUMMYFUNCTION("""COMPUTED_VALUE"""),"m000003")</f>
        <v>m000003</v>
      </c>
      <c r="B106" s="252" t="str">
        <f>IFERROR(__xludf.DUMMYFUNCTION("""COMPUTED_VALUE"""),"TC-01 ZW5118")</f>
        <v>TC-01 ZW5118</v>
      </c>
      <c r="C106" s="252" t="str">
        <f>IFERROR(__xludf.DUMMYFUNCTION("""COMPUTED_VALUE"""),"TRACTO CAMION")</f>
        <v>TRACTO CAMION</v>
      </c>
      <c r="D106" s="252" t="str">
        <f>IFERROR(__xludf.DUMMYFUNCTION("""COMPUTED_VALUE"""),"TRACTO CAMION")</f>
        <v>TRACTO CAMION</v>
      </c>
      <c r="E106" s="252" t="str">
        <f>IFERROR(__xludf.DUMMYFUNCTION("""COMPUTED_VALUE"""),"IVECO")</f>
        <v>IVECO</v>
      </c>
      <c r="F106" s="252" t="str">
        <f>IFERROR(__xludf.DUMMYFUNCTION("""COMPUTED_VALUE"""),"STRALIS 740S42")</f>
        <v>STRALIS 740S42</v>
      </c>
      <c r="G106" s="252">
        <f>IFERROR(__xludf.DUMMYFUNCTION("""COMPUTED_VALUE"""),2007.0)</f>
        <v>2007</v>
      </c>
      <c r="H106" s="252" t="str">
        <f>IFERROR(__xludf.DUMMYFUNCTION("""COMPUTED_VALUE"""),"IVECO SL0000758")</f>
        <v>IVECO SL0000758</v>
      </c>
      <c r="I106" s="252" t="str">
        <f>IFERROR(__xludf.DUMMYFUNCTION("""COMPUTED_VALUE"""),"8ATS2SSH07X056273")</f>
        <v>8ATS2SSH07X056273</v>
      </c>
      <c r="J106" s="252" t="str">
        <f>IFERROR(__xludf.DUMMYFUNCTION("""COMPUTED_VALUE"""),"ZW5118-6")</f>
        <v>ZW5118-6</v>
      </c>
      <c r="K106" s="252" t="str">
        <f>IFERROR(__xludf.DUMMYFUNCTION("""COMPUTED_VALUE"""),"JHL")</f>
        <v>JHL</v>
      </c>
      <c r="L106" s="252"/>
      <c r="M106" s="252"/>
      <c r="N106" s="252"/>
      <c r="O106" s="252"/>
      <c r="P106" s="252"/>
      <c r="Q106" s="252"/>
      <c r="R106" s="252"/>
      <c r="S106" s="252" t="str">
        <f>IFERROR(__xludf.DUMMYFUNCTION("""COMPUTED_VALUE"""),"0")</f>
        <v>0</v>
      </c>
      <c r="T106" s="252"/>
      <c r="U106" s="252"/>
      <c r="V106" s="252">
        <f>IFERROR(__xludf.DUMMYFUNCTION("""COMPUTED_VALUE"""),0.0)</f>
        <v>0</v>
      </c>
      <c r="W106" s="252">
        <f>IFERROR(__xludf.DUMMYFUNCTION("""COMPUTED_VALUE"""),5.0)</f>
        <v>5</v>
      </c>
      <c r="X106" s="252">
        <f>IFERROR(__xludf.DUMMYFUNCTION("""COMPUTED_VALUE"""),6.0)</f>
        <v>6</v>
      </c>
      <c r="Y106" s="252">
        <f>IFERROR(__xludf.DUMMYFUNCTION("""COMPUTED_VALUE"""),5.0)</f>
        <v>5</v>
      </c>
      <c r="Z106" s="252">
        <f>IFERROR(__xludf.DUMMYFUNCTION("""COMPUTED_VALUE"""),9.0)</f>
        <v>9</v>
      </c>
      <c r="AA106" s="252">
        <f>IFERROR(__xludf.DUMMYFUNCTION("""COMPUTED_VALUE"""),9.0)</f>
        <v>9</v>
      </c>
      <c r="AB106" s="252" t="str">
        <f>IFERROR(__xludf.DUMMYFUNCTION("""COMPUTED_VALUE"""),"En producción")</f>
        <v>En producción</v>
      </c>
      <c r="AC106" s="252" t="str">
        <f>IFERROR(__xludf.DUMMYFUNCTION("""COMPUTED_VALUE"""),"MAQUINAS_Images/m000003.FOTO1.191750.jpg")</f>
        <v>MAQUINAS_Images/m000003.FOTO1.191750.jpg</v>
      </c>
      <c r="AD106" s="252">
        <f>IFERROR(__xludf.DUMMYFUNCTION("""COMPUTED_VALUE"""),84.0)</f>
        <v>84</v>
      </c>
      <c r="AE106" s="252" t="str">
        <f>IFERROR(__xludf.DUMMYFUNCTION("""COMPUTED_VALUE"""),"Sin incidentes")</f>
        <v>Sin incidentes</v>
      </c>
      <c r="AF106" s="252">
        <f>IFERROR(__xludf.DUMMYFUNCTION("""COMPUTED_VALUE"""),1.0)</f>
        <v>1</v>
      </c>
      <c r="AG106" s="252" t="str">
        <f>IFERROR(__xludf.DUMMYFUNCTION("""COMPUTED_VALUE"""),"[TC-01 ZW5118] - IVECO STRALIS 740S42")</f>
        <v>[TC-01 ZW5118] - IVECO STRALIS 740S42</v>
      </c>
      <c r="AH106" s="252">
        <f>IFERROR(__xludf.DUMMYFUNCTION("""COMPUTED_VALUE"""),2107.0)</f>
        <v>2107</v>
      </c>
      <c r="AI106" s="252">
        <f>IFERROR(__xludf.DUMMYFUNCTION("""COMPUTED_VALUE"""),598125.0)</f>
        <v>598125</v>
      </c>
      <c r="AJ106" s="882">
        <f>IFERROR(__xludf.DUMMYFUNCTION("""COMPUTED_VALUE"""),46093.42400462963)</f>
        <v>46093.424</v>
      </c>
      <c r="AK106" s="882">
        <f>IFERROR(__xludf.DUMMYFUNCTION("""COMPUTED_VALUE"""),46093.42413194444)</f>
        <v>46093.42413</v>
      </c>
      <c r="AL106" s="880">
        <f>IFERROR(__xludf.DUMMYFUNCTION("""COMPUTED_VALUE"""),2350.0)</f>
        <v>2350</v>
      </c>
      <c r="AM106" s="252"/>
      <c r="AN106" s="252" t="str">
        <f>IFERROR(__xludf.DUMMYFUNCTION("""COMPUTED_VALUE"""),"OT251110112100")</f>
        <v>OT251110112100</v>
      </c>
      <c r="AO106" s="252" t="str">
        <f>IFERROR(__xludf.DUMMYFUNCTION("""COMPUTED_VALUE"""),"Hr")</f>
        <v>Hr</v>
      </c>
      <c r="AP106" s="252" t="str">
        <f>IFERROR(__xludf.DUMMYFUNCTION("""COMPUTED_VALUE"""),"IS260311173132")</f>
        <v>IS260311173132</v>
      </c>
      <c r="AQ106" s="252">
        <f>IFERROR(__xludf.DUMMYFUNCTION("""COMPUTED_VALUE"""),1212.0)</f>
        <v>1212</v>
      </c>
      <c r="AR106" s="252">
        <f>IFERROR(__xludf.DUMMYFUNCTION("""COMPUTED_VALUE"""),584743.0)</f>
        <v>584743</v>
      </c>
      <c r="AS106" s="881">
        <f>IFERROR(__xludf.DUMMYFUNCTION("""COMPUTED_VALUE"""),44927.0)</f>
        <v>44927</v>
      </c>
      <c r="AT106" s="881">
        <f>IFERROR(__xludf.DUMMYFUNCTION("""COMPUTED_VALUE"""),44927.0)</f>
        <v>44927</v>
      </c>
      <c r="AU106" s="252" t="str">
        <f>IFERROR(__xludf.DUMMYFUNCTION("""COMPUTED_VALUE"""),"RDC260311185310")</f>
        <v>RDC260311185310</v>
      </c>
      <c r="AV106" s="252" t="str">
        <f>IFERROR(__xludf.DUMMYFUNCTION("""COMPUTED_VALUE"""),"RCO260311084136")</f>
        <v>RCO260311084136</v>
      </c>
      <c r="AW106" s="252">
        <f>IFERROR(__xludf.DUMMYFUNCTION("""COMPUTED_VALUE"""),240.0)</f>
        <v>240</v>
      </c>
      <c r="AX106" s="252">
        <f>IFERROR(__xludf.DUMMYFUNCTION("""COMPUTED_VALUE"""),17.0)</f>
        <v>17</v>
      </c>
      <c r="AY106" s="252">
        <f>IFERROR(__xludf.DUMMYFUNCTION("""COMPUTED_VALUE"""),398.0)</f>
        <v>398</v>
      </c>
      <c r="AZ106" s="884">
        <f>IFERROR(__xludf.DUMMYFUNCTION("""COMPUTED_VALUE"""),46092.0)</f>
        <v>46092</v>
      </c>
    </row>
    <row r="107">
      <c r="A107" s="252" t="str">
        <f>IFERROR(__xludf.DUMMYFUNCTION("""COMPUTED_VALUE"""),"m000004")</f>
        <v>m000004</v>
      </c>
      <c r="B107" s="252" t="str">
        <f>IFERROR(__xludf.DUMMYFUNCTION("""COMPUTED_VALUE"""),"TC-03 RKYD79")</f>
        <v>TC-03 RKYD79</v>
      </c>
      <c r="C107" s="252" t="str">
        <f>IFERROR(__xludf.DUMMYFUNCTION("""COMPUTED_VALUE"""),"TRACTO CAMION")</f>
        <v>TRACTO CAMION</v>
      </c>
      <c r="D107" s="252" t="str">
        <f>IFERROR(__xludf.DUMMYFUNCTION("""COMPUTED_VALUE"""),"TRACTO CAMION")</f>
        <v>TRACTO CAMION</v>
      </c>
      <c r="E107" s="252" t="str">
        <f>IFERROR(__xludf.DUMMYFUNCTION("""COMPUTED_VALUE"""),"MERCEDEZ BENZ")</f>
        <v>MERCEDEZ BENZ</v>
      </c>
      <c r="F107" s="252" t="str">
        <f>IFERROR(__xludf.DUMMYFUNCTION("""COMPUTED_VALUE"""),"NEW ACTROS 3351")</f>
        <v>NEW ACTROS 3351</v>
      </c>
      <c r="G107" s="252">
        <f>IFERROR(__xludf.DUMMYFUNCTION("""COMPUTED_VALUE"""),2022.0)</f>
        <v>2022</v>
      </c>
      <c r="H107" s="252" t="str">
        <f>IFERROR(__xludf.DUMMYFUNCTION("""COMPUTED_VALUE"""),"471922C0645662")</f>
        <v>471922C0645662</v>
      </c>
      <c r="I107" s="252" t="str">
        <f>IFERROR(__xludf.DUMMYFUNCTION("""COMPUTED_VALUE"""),"W1T964416N0530014")</f>
        <v>W1T964416N0530014</v>
      </c>
      <c r="J107" s="252" t="str">
        <f>IFERROR(__xludf.DUMMYFUNCTION("""COMPUTED_VALUE"""),"RKYD79")</f>
        <v>RKYD79</v>
      </c>
      <c r="K107" s="252" t="str">
        <f>IFERROR(__xludf.DUMMYFUNCTION("""COMPUTED_VALUE"""),"ITAU")</f>
        <v>ITAU</v>
      </c>
      <c r="L107" s="252"/>
      <c r="M107" s="252"/>
      <c r="N107" s="252"/>
      <c r="O107" s="252"/>
      <c r="P107" s="252"/>
      <c r="Q107" s="252"/>
      <c r="R107" s="252"/>
      <c r="S107" s="252" t="str">
        <f>IFERROR(__xludf.DUMMYFUNCTION("""COMPUTED_VALUE"""),"20")</f>
        <v>20</v>
      </c>
      <c r="T107" s="252"/>
      <c r="U107" s="252"/>
      <c r="V107" s="252">
        <f>IFERROR(__xludf.DUMMYFUNCTION("""COMPUTED_VALUE"""),0.0)</f>
        <v>0</v>
      </c>
      <c r="W107" s="252">
        <f>IFERROR(__xludf.DUMMYFUNCTION("""COMPUTED_VALUE"""),5.0)</f>
        <v>5</v>
      </c>
      <c r="X107" s="252">
        <f>IFERROR(__xludf.DUMMYFUNCTION("""COMPUTED_VALUE"""),6.0)</f>
        <v>6</v>
      </c>
      <c r="Y107" s="252">
        <f>IFERROR(__xludf.DUMMYFUNCTION("""COMPUTED_VALUE"""),5.0)</f>
        <v>5</v>
      </c>
      <c r="Z107" s="252">
        <f>IFERROR(__xludf.DUMMYFUNCTION("""COMPUTED_VALUE"""),9.0)</f>
        <v>9</v>
      </c>
      <c r="AA107" s="252">
        <f>IFERROR(__xludf.DUMMYFUNCTION("""COMPUTED_VALUE"""),9.0)</f>
        <v>9</v>
      </c>
      <c r="AB107" s="252" t="str">
        <f>IFERROR(__xludf.DUMMYFUNCTION("""COMPUTED_VALUE"""),"En producción")</f>
        <v>En producción</v>
      </c>
      <c r="AC107" s="252"/>
      <c r="AD107" s="252">
        <f>IFERROR(__xludf.DUMMYFUNCTION("""COMPUTED_VALUE"""),38.0)</f>
        <v>38</v>
      </c>
      <c r="AE107" s="252" t="str">
        <f>IFERROR(__xludf.DUMMYFUNCTION("""COMPUTED_VALUE"""),"Alerta incidente")</f>
        <v>Alerta incidente</v>
      </c>
      <c r="AF107" s="252">
        <f>IFERROR(__xludf.DUMMYFUNCTION("""COMPUTED_VALUE"""),11.0)</f>
        <v>11</v>
      </c>
      <c r="AG107" s="252" t="str">
        <f>IFERROR(__xludf.DUMMYFUNCTION("""COMPUTED_VALUE"""),"[TC-03 RKYD79] - MERCEDEZ BENZ NEW ACTROS 3351")</f>
        <v>[TC-03 RKYD79] - MERCEDEZ BENZ NEW ACTROS 3351</v>
      </c>
      <c r="AH107" s="252">
        <f>IFERROR(__xludf.DUMMYFUNCTION("""COMPUTED_VALUE"""),6268.0)</f>
        <v>6268</v>
      </c>
      <c r="AI107" s="252">
        <f>IFERROR(__xludf.DUMMYFUNCTION("""COMPUTED_VALUE"""),245597.0)</f>
        <v>245597</v>
      </c>
      <c r="AJ107" s="882">
        <f>IFERROR(__xludf.DUMMYFUNCTION("""COMPUTED_VALUE"""),46097.27018518518)</f>
        <v>46097.27019</v>
      </c>
      <c r="AK107" s="882">
        <f>IFERROR(__xludf.DUMMYFUNCTION("""COMPUTED_VALUE"""),46097.27023148148)</f>
        <v>46097.27023</v>
      </c>
      <c r="AL107" s="880">
        <f>IFERROR(__xludf.DUMMYFUNCTION("""COMPUTED_VALUE"""),5995.0)</f>
        <v>5995</v>
      </c>
      <c r="AM107" s="880">
        <f>IFERROR(__xludf.DUMMYFUNCTION("""COMPUTED_VALUE"""),195990.0)</f>
        <v>195990</v>
      </c>
      <c r="AN107" s="252" t="str">
        <f>IFERROR(__xludf.DUMMYFUNCTION("""COMPUTED_VALUE"""),"OT260209111335")</f>
        <v>OT260209111335</v>
      </c>
      <c r="AO107" s="252" t="str">
        <f>IFERROR(__xludf.DUMMYFUNCTION("""COMPUTED_VALUE"""),"Hr")</f>
        <v>Hr</v>
      </c>
      <c r="AP107" s="252" t="str">
        <f>IFERROR(__xludf.DUMMYFUNCTION("""COMPUTED_VALUE"""),"IS260312093654")</f>
        <v>IS260312093654</v>
      </c>
      <c r="AQ107" s="252">
        <f>IFERROR(__xludf.DUMMYFUNCTION("""COMPUTED_VALUE"""),4592.0)</f>
        <v>4592</v>
      </c>
      <c r="AR107" s="252">
        <f>IFERROR(__xludf.DUMMYFUNCTION("""COMPUTED_VALUE"""),188255.0)</f>
        <v>188255</v>
      </c>
      <c r="AS107" s="881">
        <f>IFERROR(__xludf.DUMMYFUNCTION("""COMPUTED_VALUE"""),44927.0)</f>
        <v>44927</v>
      </c>
      <c r="AT107" s="881">
        <f>IFERROR(__xludf.DUMMYFUNCTION("""COMPUTED_VALUE"""),44927.0)</f>
        <v>44927</v>
      </c>
      <c r="AU107" s="252" t="str">
        <f>IFERROR(__xludf.DUMMYFUNCTION("""COMPUTED_VALUE"""),"RDC260313131941")</f>
        <v>RDC260313131941</v>
      </c>
      <c r="AV107" s="252" t="str">
        <f>IFERROR(__xludf.DUMMYFUNCTION("""COMPUTED_VALUE"""),"RCO260313131911")</f>
        <v>RCO260313131911</v>
      </c>
      <c r="AW107" s="252">
        <f>IFERROR(__xludf.DUMMYFUNCTION("""COMPUTED_VALUE"""),146.0)</f>
        <v>146</v>
      </c>
      <c r="AX107" s="252">
        <f>IFERROR(__xludf.DUMMYFUNCTION("""COMPUTED_VALUE"""),13.0)</f>
        <v>13</v>
      </c>
      <c r="AY107" s="252">
        <f>IFERROR(__xludf.DUMMYFUNCTION("""COMPUTED_VALUE"""),896.0)</f>
        <v>896</v>
      </c>
      <c r="AZ107" s="884">
        <f>IFERROR(__xludf.DUMMYFUNCTION("""COMPUTED_VALUE"""),46094.0)</f>
        <v>46094</v>
      </c>
    </row>
    <row r="108">
      <c r="A108" s="252" t="str">
        <f>IFERROR(__xludf.DUMMYFUNCTION("""COMPUTED_VALUE"""),"m000005")</f>
        <v>m000005</v>
      </c>
      <c r="B108" s="252" t="str">
        <f>IFERROR(__xludf.DUMMYFUNCTION("""COMPUTED_VALUE"""),"CA-01 KJ9233")</f>
        <v>CA-01 KJ9233</v>
      </c>
      <c r="C108" s="252" t="str">
        <f>IFERROR(__xludf.DUMMYFUNCTION("""COMPUTED_VALUE"""),"CAMION ")</f>
        <v>CAMION </v>
      </c>
      <c r="D108" s="252" t="str">
        <f>IFERROR(__xludf.DUMMYFUNCTION("""COMPUTED_VALUE"""),"CAMION ALGIBE")</f>
        <v>CAMION ALGIBE</v>
      </c>
      <c r="E108" s="252" t="str">
        <f>IFERROR(__xludf.DUMMYFUNCTION("""COMPUTED_VALUE"""),"MACK")</f>
        <v>MACK</v>
      </c>
      <c r="F108" s="252"/>
      <c r="G108" s="252">
        <f>IFERROR(__xludf.DUMMYFUNCTION("""COMPUTED_VALUE"""),1993.0)</f>
        <v>1993</v>
      </c>
      <c r="H108" s="252" t="str">
        <f>IFERROR(__xludf.DUMMYFUNCTION("""COMPUTED_VALUE"""),"EM7-250-2P0320")</f>
        <v>EM7-250-2P0320</v>
      </c>
      <c r="I108" s="252" t="str">
        <f>IFERROR(__xludf.DUMMYFUNCTION("""COMPUTED_VALUE"""),"1M2B206C5PM010784")</f>
        <v>1M2B206C5PM010784</v>
      </c>
      <c r="J108" s="252" t="str">
        <f>IFERROR(__xludf.DUMMYFUNCTION("""COMPUTED_VALUE"""),"KJ9233-K")</f>
        <v>KJ9233-K</v>
      </c>
      <c r="K108" s="252" t="str">
        <f>IFERROR(__xludf.DUMMYFUNCTION("""COMPUTED_VALUE"""),"ECMA")</f>
        <v>ECMA</v>
      </c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>
        <f>IFERROR(__xludf.DUMMYFUNCTION("""COMPUTED_VALUE"""),0.0)</f>
        <v>0</v>
      </c>
      <c r="W108" s="252">
        <f>IFERROR(__xludf.DUMMYFUNCTION("""COMPUTED_VALUE"""),6.0)</f>
        <v>6</v>
      </c>
      <c r="X108" s="252">
        <f>IFERROR(__xludf.DUMMYFUNCTION("""COMPUTED_VALUE"""),8.0)</f>
        <v>8</v>
      </c>
      <c r="Y108" s="252">
        <f>IFERROR(__xludf.DUMMYFUNCTION("""COMPUTED_VALUE"""),6.0)</f>
        <v>6</v>
      </c>
      <c r="Z108" s="252">
        <f>IFERROR(__xludf.DUMMYFUNCTION("""COMPUTED_VALUE"""),9.0)</f>
        <v>9</v>
      </c>
      <c r="AA108" s="252">
        <f>IFERROR(__xludf.DUMMYFUNCTION("""COMPUTED_VALUE"""),12.0)</f>
        <v>12</v>
      </c>
      <c r="AB108" s="252" t="str">
        <f>IFERROR(__xludf.DUMMYFUNCTION("""COMPUTED_VALUE"""),"Patio LL")</f>
        <v>Patio LL</v>
      </c>
      <c r="AC108" s="252" t="str">
        <f>IFERROR(__xludf.DUMMYFUNCTION("""COMPUTED_VALUE"""),"MAQUINAS_Images/m000005.FOTO1.163144.png")</f>
        <v>MAQUINAS_Images/m000005.FOTO1.163144.png</v>
      </c>
      <c r="AD108" s="252">
        <f>IFERROR(__xludf.DUMMYFUNCTION("""COMPUTED_VALUE"""),917.0)</f>
        <v>917</v>
      </c>
      <c r="AE108" s="252" t="str">
        <f>IFERROR(__xludf.DUMMYFUNCTION("""COMPUTED_VALUE"""),"Alerta incidente")</f>
        <v>Alerta incidente</v>
      </c>
      <c r="AF108" s="252">
        <f>IFERROR(__xludf.DUMMYFUNCTION("""COMPUTED_VALUE"""),5.0)</f>
        <v>5</v>
      </c>
      <c r="AG108" s="252" t="str">
        <f>IFERROR(__xludf.DUMMYFUNCTION("""COMPUTED_VALUE"""),"[CA-01 KJ9233] - MACK ")</f>
        <v>[CA-01 KJ9233] - MACK </v>
      </c>
      <c r="AH108" s="252">
        <f>IFERROR(__xludf.DUMMYFUNCTION("""COMPUTED_VALUE"""),1807.0)</f>
        <v>1807</v>
      </c>
      <c r="AI108" s="252">
        <f>IFERROR(__xludf.DUMMYFUNCTION("""COMPUTED_VALUE"""),8764.0)</f>
        <v>8764</v>
      </c>
      <c r="AJ108" s="882">
        <f>IFERROR(__xludf.DUMMYFUNCTION("""COMPUTED_VALUE"""),46097.27543981482)</f>
        <v>46097.27544</v>
      </c>
      <c r="AK108" s="882">
        <f>IFERROR(__xludf.DUMMYFUNCTION("""COMPUTED_VALUE"""),46066.98292824074)</f>
        <v>46066.98293</v>
      </c>
      <c r="AL108" s="880">
        <f>IFERROR(__xludf.DUMMYFUNCTION("""COMPUTED_VALUE"""),22326.0)</f>
        <v>22326</v>
      </c>
      <c r="AM108" s="252"/>
      <c r="AN108" s="252" t="str">
        <f>IFERROR(__xludf.DUMMYFUNCTION("""COMPUTED_VALUE"""),"OT260201161244")</f>
        <v>OT260201161244</v>
      </c>
      <c r="AO108" s="252" t="str">
        <f>IFERROR(__xludf.DUMMYFUNCTION("""COMPUTED_VALUE"""),"Hr")</f>
        <v>Hr</v>
      </c>
      <c r="AP108" s="252" t="str">
        <f>IFERROR(__xludf.DUMMYFUNCTION("""COMPUTED_VALUE"""),"IS250826121356")</f>
        <v>IS250826121356</v>
      </c>
      <c r="AQ108" s="252">
        <f>IFERROR(__xludf.DUMMYFUNCTION("""COMPUTED_VALUE"""),927.0)</f>
        <v>927</v>
      </c>
      <c r="AR108" s="252"/>
      <c r="AS108" s="881">
        <f>IFERROR(__xludf.DUMMYFUNCTION("""COMPUTED_VALUE"""),44927.0)</f>
        <v>44927</v>
      </c>
      <c r="AT108" s="881">
        <f>IFERROR(__xludf.DUMMYFUNCTION("""COMPUTED_VALUE"""),44927.0)</f>
        <v>44927</v>
      </c>
      <c r="AU108" s="252" t="str">
        <f>IFERROR(__xludf.DUMMYFUNCTION("""COMPUTED_VALUE"""),"RDC260316083542")</f>
        <v>RDC260316083542</v>
      </c>
      <c r="AV108" s="252" t="str">
        <f>IFERROR(__xludf.DUMMYFUNCTION("""COMPUTED_VALUE"""),"RCO260214013431")</f>
        <v>RCO260214013431</v>
      </c>
      <c r="AW108" s="252">
        <f>IFERROR(__xludf.DUMMYFUNCTION("""COMPUTED_VALUE"""),92.0)</f>
        <v>92</v>
      </c>
      <c r="AX108" s="252">
        <f>IFERROR(__xludf.DUMMYFUNCTION("""COMPUTED_VALUE"""),29.0)</f>
        <v>29</v>
      </c>
      <c r="AY108" s="252">
        <f>IFERROR(__xludf.DUMMYFUNCTION("""COMPUTED_VALUE"""),0.0)</f>
        <v>0</v>
      </c>
      <c r="AZ108" s="884">
        <f>IFERROR(__xludf.DUMMYFUNCTION("""COMPUTED_VALUE"""),46067.0)</f>
        <v>46067</v>
      </c>
    </row>
    <row r="109">
      <c r="A109" s="252" t="str">
        <f>IFERROR(__xludf.DUMMYFUNCTION("""COMPUTED_VALUE"""),"m000006")</f>
        <v>m000006</v>
      </c>
      <c r="B109" s="252" t="str">
        <f>IFERROR(__xludf.DUMMYFUNCTION("""COMPUTED_VALUE"""),"CG-01  YX4975")</f>
        <v>CG-01  YX4975</v>
      </c>
      <c r="C109" s="252" t="str">
        <f>IFERROR(__xludf.DUMMYFUNCTION("""COMPUTED_VALUE"""),"CAMION GANADERO")</f>
        <v>CAMION GANADERO</v>
      </c>
      <c r="D109" s="252" t="str">
        <f>IFERROR(__xludf.DUMMYFUNCTION("""COMPUTED_VALUE"""),"CAMION GANADERO")</f>
        <v>CAMION GANADERO</v>
      </c>
      <c r="E109" s="252" t="str">
        <f>IFERROR(__xludf.DUMMYFUNCTION("""COMPUTED_VALUE"""),"MITSUBUSHI")</f>
        <v>MITSUBUSHI</v>
      </c>
      <c r="F109" s="252" t="str">
        <f>IFERROR(__xludf.DUMMYFUNCTION("""COMPUTED_VALUE"""),"CANTER 3.9")</f>
        <v>CANTER 3.9</v>
      </c>
      <c r="G109" s="252">
        <f>IFERROR(__xludf.DUMMYFUNCTION("""COMPUTED_VALUE"""),2006.0)</f>
        <v>2006</v>
      </c>
      <c r="H109" s="252" t="str">
        <f>IFERROR(__xludf.DUMMYFUNCTION("""COMPUTED_VALUE"""),"4D34J52561")</f>
        <v>4D34J52561</v>
      </c>
      <c r="I109" s="252" t="str">
        <f>IFERROR(__xludf.DUMMYFUNCTION("""COMPUTED_VALUE"""),"FE519BA40784")</f>
        <v>FE519BA40784</v>
      </c>
      <c r="J109" s="252" t="str">
        <f>IFERROR(__xludf.DUMMYFUNCTION("""COMPUTED_VALUE"""),"YX4975-6")</f>
        <v>YX4975-6</v>
      </c>
      <c r="K109" s="252" t="str">
        <f>IFERROR(__xludf.DUMMYFUNCTION("""COMPUTED_VALUE"""),"MANCHIHUE")</f>
        <v>MANCHIHUE</v>
      </c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>
        <f>IFERROR(__xludf.DUMMYFUNCTION("""COMPUTED_VALUE"""),0.0)</f>
        <v>0</v>
      </c>
      <c r="W109" s="252">
        <f>IFERROR(__xludf.DUMMYFUNCTION("""COMPUTED_VALUE"""),5.0)</f>
        <v>5</v>
      </c>
      <c r="X109" s="252">
        <f>IFERROR(__xludf.DUMMYFUNCTION("""COMPUTED_VALUE"""),5.0)</f>
        <v>5</v>
      </c>
      <c r="Y109" s="252">
        <f>IFERROR(__xludf.DUMMYFUNCTION("""COMPUTED_VALUE"""),5.0)</f>
        <v>5</v>
      </c>
      <c r="Z109" s="252">
        <f>IFERROR(__xludf.DUMMYFUNCTION("""COMPUTED_VALUE"""),6.0)</f>
        <v>6</v>
      </c>
      <c r="AA109" s="252">
        <f>IFERROR(__xludf.DUMMYFUNCTION("""COMPUTED_VALUE"""),6.0)</f>
        <v>6</v>
      </c>
      <c r="AB109" s="252" t="str">
        <f>IFERROR(__xludf.DUMMYFUNCTION("""COMPUTED_VALUE"""),"Discontinuado")</f>
        <v>Discontinuado</v>
      </c>
      <c r="AC109" s="252" t="str">
        <f>IFERROR(__xludf.DUMMYFUNCTION("""COMPUTED_VALUE"""),"MAQUINAS_Images/m000006.FOTO1.145706.jpg")</f>
        <v>MAQUINAS_Images/m000006.FOTO1.145706.jpg</v>
      </c>
      <c r="AD109" s="252"/>
      <c r="AE109" s="252" t="str">
        <f>IFERROR(__xludf.DUMMYFUNCTION("""COMPUTED_VALUE"""),"Sin incidentes")</f>
        <v>Sin incidentes</v>
      </c>
      <c r="AF109" s="252">
        <f>IFERROR(__xludf.DUMMYFUNCTION("""COMPUTED_VALUE"""),1.0)</f>
        <v>1</v>
      </c>
      <c r="AG109" s="252" t="str">
        <f>IFERROR(__xludf.DUMMYFUNCTION("""COMPUTED_VALUE"""),"[CG-01  YX4975] - MITSUBUSHI CANTER 3.9")</f>
        <v>[CG-01  YX4975] - MITSUBUSHI CANTER 3.9</v>
      </c>
      <c r="AH109" s="252"/>
      <c r="AI109" s="252"/>
      <c r="AJ109" s="252"/>
      <c r="AK109" s="252"/>
      <c r="AL109" s="252"/>
      <c r="AM109" s="252"/>
      <c r="AN109" s="252"/>
      <c r="AO109" s="252" t="str">
        <f>IFERROR(__xludf.DUMMYFUNCTION("""COMPUTED_VALUE"""),"N/A")</f>
        <v>N/A</v>
      </c>
      <c r="AP109" s="252" t="str">
        <f>IFERROR(__xludf.DUMMYFUNCTION("""COMPUTED_VALUE"""),"IS250312121918")</f>
        <v>IS250312121918</v>
      </c>
      <c r="AQ109" s="252"/>
      <c r="AR109" s="252"/>
      <c r="AS109" s="881">
        <f>IFERROR(__xludf.DUMMYFUNCTION("""COMPUTED_VALUE"""),44927.0)</f>
        <v>44927</v>
      </c>
      <c r="AT109" s="881">
        <f>IFERROR(__xludf.DUMMYFUNCTION("""COMPUTED_VALUE"""),44927.0)</f>
        <v>44927</v>
      </c>
      <c r="AU109" s="252"/>
      <c r="AV109" s="252" t="str">
        <f>IFERROR(__xludf.DUMMYFUNCTION("""COMPUTED_VALUE"""),"RCO260224122724")</f>
        <v>RCO260224122724</v>
      </c>
      <c r="AW109" s="252">
        <f>IFERROR(__xludf.DUMMYFUNCTION("""COMPUTED_VALUE"""),88.0)</f>
        <v>88</v>
      </c>
      <c r="AX109" s="252"/>
      <c r="AY109" s="252"/>
      <c r="AZ109" s="881">
        <f>IFERROR(__xludf.DUMMYFUNCTION("""COMPUTED_VALUE"""),46077.0)</f>
        <v>46077</v>
      </c>
    </row>
    <row r="110">
      <c r="A110" s="252" t="str">
        <f>IFERROR(__xludf.DUMMYFUNCTION("""COMPUTED_VALUE"""),"m000007")</f>
        <v>m000007</v>
      </c>
      <c r="B110" s="252" t="str">
        <f>IFERROR(__xludf.DUMMYFUNCTION("""COMPUTED_VALUE"""),"CG-02 GGBJ29")</f>
        <v>CG-02 GGBJ29</v>
      </c>
      <c r="C110" s="252" t="str">
        <f>IFERROR(__xludf.DUMMYFUNCTION("""COMPUTED_VALUE"""),"CAMION GANADERO")</f>
        <v>CAMION GANADERO</v>
      </c>
      <c r="D110" s="252" t="str">
        <f>IFERROR(__xludf.DUMMYFUNCTION("""COMPUTED_VALUE"""),"CAMION GANADERO")</f>
        <v>CAMION GANADERO</v>
      </c>
      <c r="E110" s="252" t="str">
        <f>IFERROR(__xludf.DUMMYFUNCTION("""COMPUTED_VALUE"""),"FOTON")</f>
        <v>FOTON</v>
      </c>
      <c r="F110" s="252" t="str">
        <f>IFERROR(__xludf.DUMMYFUNCTION("""COMPUTED_VALUE"""),"AUMARK 1117")</f>
        <v>AUMARK 1117</v>
      </c>
      <c r="G110" s="252">
        <f>IFERROR(__xludf.DUMMYFUNCTION("""COMPUTED_VALUE"""),2014.0)</f>
        <v>2014</v>
      </c>
      <c r="H110" s="252">
        <f>IFERROR(__xludf.DUMMYFUNCTION("""COMPUTED_VALUE"""),8.9121872E7)</f>
        <v>89121872</v>
      </c>
      <c r="I110" s="252" t="str">
        <f>IFERROR(__xludf.DUMMYFUNCTION("""COMPUTED_VALUE"""),"LVBV4PBB4EJ002405")</f>
        <v>LVBV4PBB4EJ002405</v>
      </c>
      <c r="J110" s="252" t="str">
        <f>IFERROR(__xludf.DUMMYFUNCTION("""COMPUTED_VALUE"""),"GGBJ29-K")</f>
        <v>GGBJ29-K</v>
      </c>
      <c r="K110" s="252" t="str">
        <f>IFERROR(__xludf.DUMMYFUNCTION("""COMPUTED_VALUE"""),"JHL")</f>
        <v>JHL</v>
      </c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>
        <f>IFERROR(__xludf.DUMMYFUNCTION("""COMPUTED_VALUE"""),0.0)</f>
        <v>0</v>
      </c>
      <c r="W110" s="252">
        <f>IFERROR(__xludf.DUMMYFUNCTION("""COMPUTED_VALUE"""),5.0)</f>
        <v>5</v>
      </c>
      <c r="X110" s="252">
        <f>IFERROR(__xludf.DUMMYFUNCTION("""COMPUTED_VALUE"""),5.0)</f>
        <v>5</v>
      </c>
      <c r="Y110" s="252">
        <f>IFERROR(__xludf.DUMMYFUNCTION("""COMPUTED_VALUE"""),5.0)</f>
        <v>5</v>
      </c>
      <c r="Z110" s="252">
        <f>IFERROR(__xludf.DUMMYFUNCTION("""COMPUTED_VALUE"""),6.0)</f>
        <v>6</v>
      </c>
      <c r="AA110" s="252">
        <f>IFERROR(__xludf.DUMMYFUNCTION("""COMPUTED_VALUE"""),6.0)</f>
        <v>6</v>
      </c>
      <c r="AB110" s="252" t="str">
        <f>IFERROR(__xludf.DUMMYFUNCTION("""COMPUTED_VALUE"""),"En producción")</f>
        <v>En producción</v>
      </c>
      <c r="AC110" s="252"/>
      <c r="AD110" s="252">
        <f>IFERROR(__xludf.DUMMYFUNCTION("""COMPUTED_VALUE"""),486.0)</f>
        <v>486</v>
      </c>
      <c r="AE110" s="252" t="str">
        <f>IFERROR(__xludf.DUMMYFUNCTION("""COMPUTED_VALUE"""),"Sin incidentes")</f>
        <v>Sin incidentes</v>
      </c>
      <c r="AF110" s="252">
        <f>IFERROR(__xludf.DUMMYFUNCTION("""COMPUTED_VALUE"""),2.0)</f>
        <v>2</v>
      </c>
      <c r="AG110" s="252" t="str">
        <f>IFERROR(__xludf.DUMMYFUNCTION("""COMPUTED_VALUE"""),"[CG-02 GGBJ29] - FOTON AUMARK 1117")</f>
        <v>[CG-02 GGBJ29] - FOTON AUMARK 1117</v>
      </c>
      <c r="AH110" s="252">
        <f>IFERROR(__xludf.DUMMYFUNCTION("""COMPUTED_VALUE"""),112.0)</f>
        <v>112</v>
      </c>
      <c r="AI110" s="252">
        <f>IFERROR(__xludf.DUMMYFUNCTION("""COMPUTED_VALUE"""),343113.0)</f>
        <v>343113</v>
      </c>
      <c r="AJ110" s="882">
        <f>IFERROR(__xludf.DUMMYFUNCTION("""COMPUTED_VALUE"""),46087.39387731482)</f>
        <v>46087.39388</v>
      </c>
      <c r="AK110" s="882">
        <f>IFERROR(__xludf.DUMMYFUNCTION("""COMPUTED_VALUE"""),46087.39392361111)</f>
        <v>46087.39392</v>
      </c>
      <c r="AL110" s="880">
        <f>IFERROR(__xludf.DUMMYFUNCTION("""COMPUTED_VALUE"""),351.0)</f>
        <v>351</v>
      </c>
      <c r="AM110" s="880">
        <f>IFERROR(__xludf.DUMMYFUNCTION("""COMPUTED_VALUE"""),350864.0)</f>
        <v>350864</v>
      </c>
      <c r="AN110" s="252" t="str">
        <f>IFERROR(__xludf.DUMMYFUNCTION("""COMPUTED_VALUE"""),"OT260121105613")</f>
        <v>OT260121105613</v>
      </c>
      <c r="AO110" s="252" t="str">
        <f>IFERROR(__xludf.DUMMYFUNCTION("""COMPUTED_VALUE"""),"Hr")</f>
        <v>Hr</v>
      </c>
      <c r="AP110" s="252" t="str">
        <f>IFERROR(__xludf.DUMMYFUNCTION("""COMPUTED_VALUE"""),"IS250902143640")</f>
        <v>IS250902143640</v>
      </c>
      <c r="AQ110" s="252"/>
      <c r="AR110" s="252">
        <f>IFERROR(__xludf.DUMMYFUNCTION("""COMPUTED_VALUE"""),342989.0)</f>
        <v>342989</v>
      </c>
      <c r="AS110" s="881">
        <f>IFERROR(__xludf.DUMMYFUNCTION("""COMPUTED_VALUE"""),44947.0)</f>
        <v>44947</v>
      </c>
      <c r="AT110" s="881">
        <f>IFERROR(__xludf.DUMMYFUNCTION("""COMPUTED_VALUE"""),44927.0)</f>
        <v>44927</v>
      </c>
      <c r="AU110" s="252" t="str">
        <f>IFERROR(__xludf.DUMMYFUNCTION("""COMPUTED_VALUE"""),"RDC260210110318")</f>
        <v>RDC260210110318</v>
      </c>
      <c r="AV110" s="252" t="str">
        <f>IFERROR(__xludf.DUMMYFUNCTION("""COMPUTED_VALUE"""),"RCO260306111905")</f>
        <v>RCO260306111905</v>
      </c>
      <c r="AW110" s="252">
        <f>IFERROR(__xludf.DUMMYFUNCTION("""COMPUTED_VALUE"""),134.0)</f>
        <v>134</v>
      </c>
      <c r="AX110" s="252"/>
      <c r="AY110" s="252">
        <f>IFERROR(__xludf.DUMMYFUNCTION("""COMPUTED_VALUE"""),126.0)</f>
        <v>126</v>
      </c>
      <c r="AZ110" s="883">
        <f>IFERROR(__xludf.DUMMYFUNCTION("""COMPUTED_VALUE"""),46087.0)</f>
        <v>46087</v>
      </c>
    </row>
    <row r="111">
      <c r="A111" s="252" t="str">
        <f>IFERROR(__xludf.DUMMYFUNCTION("""COMPUTED_VALUE"""),"m000008")</f>
        <v>m000008</v>
      </c>
      <c r="B111" s="252" t="str">
        <f>IFERROR(__xludf.DUMMYFUNCTION("""COMPUTED_VALUE"""),"CM-01 YZ6869")</f>
        <v>CM-01 YZ6869</v>
      </c>
      <c r="C111" s="252" t="str">
        <f>IFERROR(__xludf.DUMMYFUNCTION("""COMPUTED_VALUE"""),"CAMION IMPRIMADOR Y MIXER")</f>
        <v>CAMION IMPRIMADOR Y MIXER</v>
      </c>
      <c r="D111" s="252" t="str">
        <f>IFERROR(__xludf.DUMMYFUNCTION("""COMPUTED_VALUE"""),"CAMION MIXER")</f>
        <v>CAMION MIXER</v>
      </c>
      <c r="E111" s="252" t="str">
        <f>IFERROR(__xludf.DUMMYFUNCTION("""COMPUTED_VALUE"""),"INTERNACIONAL")</f>
        <v>INTERNACIONAL</v>
      </c>
      <c r="F111" s="252">
        <f>IFERROR(__xludf.DUMMYFUNCTION("""COMPUTED_VALUE"""),7600.0)</f>
        <v>7600</v>
      </c>
      <c r="G111" s="252">
        <f>IFERROR(__xludf.DUMMYFUNCTION("""COMPUTED_VALUE"""),2005.0)</f>
        <v>2005</v>
      </c>
      <c r="H111" s="252">
        <f>IFERROR(__xludf.DUMMYFUNCTION("""COMPUTED_VALUE"""),3.5117383E7)</f>
        <v>35117383</v>
      </c>
      <c r="I111" s="252" t="str">
        <f>IFERROR(__xludf.DUMMYFUNCTION("""COMPUTED_VALUE"""),"1HTWYAHT05J178213")</f>
        <v>1HTWYAHT05J178213</v>
      </c>
      <c r="J111" s="252" t="str">
        <f>IFERROR(__xludf.DUMMYFUNCTION("""COMPUTED_VALUE"""),"YZ6869-5")</f>
        <v>YZ6869-5</v>
      </c>
      <c r="K111" s="252" t="str">
        <f>IFERROR(__xludf.DUMMYFUNCTION("""COMPUTED_VALUE"""),"ECMA")</f>
        <v>ECMA</v>
      </c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>
        <f>IFERROR(__xludf.DUMMYFUNCTION("""COMPUTED_VALUE"""),0.0)</f>
        <v>0</v>
      </c>
      <c r="W111" s="252">
        <f>IFERROR(__xludf.DUMMYFUNCTION("""COMPUTED_VALUE"""),8.0)</f>
        <v>8</v>
      </c>
      <c r="X111" s="252">
        <f>IFERROR(__xludf.DUMMYFUNCTION("""COMPUTED_VALUE"""),8.0)</f>
        <v>8</v>
      </c>
      <c r="Y111" s="252">
        <f>IFERROR(__xludf.DUMMYFUNCTION("""COMPUTED_VALUE"""),8.0)</f>
        <v>8</v>
      </c>
      <c r="Z111" s="252">
        <f>IFERROR(__xludf.DUMMYFUNCTION("""COMPUTED_VALUE"""),9.0)</f>
        <v>9</v>
      </c>
      <c r="AA111" s="252">
        <f>IFERROR(__xludf.DUMMYFUNCTION("""COMPUTED_VALUE"""),9.0)</f>
        <v>9</v>
      </c>
      <c r="AB111" s="252" t="str">
        <f>IFERROR(__xludf.DUMMYFUNCTION("""COMPUTED_VALUE"""),"En producción")</f>
        <v>En producción</v>
      </c>
      <c r="AC111" s="252"/>
      <c r="AD111" s="252">
        <f>IFERROR(__xludf.DUMMYFUNCTION("""COMPUTED_VALUE"""),970.0)</f>
        <v>970</v>
      </c>
      <c r="AE111" s="252" t="str">
        <f>IFERROR(__xludf.DUMMYFUNCTION("""COMPUTED_VALUE"""),"Sin incidentes")</f>
        <v>Sin incidentes</v>
      </c>
      <c r="AF111" s="252">
        <f>IFERROR(__xludf.DUMMYFUNCTION("""COMPUTED_VALUE"""),7.0)</f>
        <v>7</v>
      </c>
      <c r="AG111" s="252" t="str">
        <f>IFERROR(__xludf.DUMMYFUNCTION("""COMPUTED_VALUE"""),"[CM-01 YZ6869] - INTERNACIONAL 7600")</f>
        <v>[CM-01 YZ6869] - INTERNACIONAL 7600</v>
      </c>
      <c r="AH111" s="252">
        <f>IFERROR(__xludf.DUMMYFUNCTION("""COMPUTED_VALUE"""),25691.0)</f>
        <v>25691</v>
      </c>
      <c r="AI111" s="252">
        <f>IFERROR(__xludf.DUMMYFUNCTION("""COMPUTED_VALUE"""),372672.0)</f>
        <v>372672</v>
      </c>
      <c r="AJ111" s="882">
        <f>IFERROR(__xludf.DUMMYFUNCTION("""COMPUTED_VALUE"""),46096.293344907404)</f>
        <v>46096.29334</v>
      </c>
      <c r="AK111" s="882">
        <f>IFERROR(__xludf.DUMMYFUNCTION("""COMPUTED_VALUE"""),46096.695231481484)</f>
        <v>46096.69523</v>
      </c>
      <c r="AL111" s="252"/>
      <c r="AM111" s="880">
        <f>IFERROR(__xludf.DUMMYFUNCTION("""COMPUTED_VALUE"""),376134.0)</f>
        <v>376134</v>
      </c>
      <c r="AN111" s="252" t="str">
        <f>IFERROR(__xludf.DUMMYFUNCTION("""COMPUTED_VALUE"""),"OT250331142238")</f>
        <v>OT250331142238</v>
      </c>
      <c r="AO111" s="252" t="str">
        <f>IFERROR(__xludf.DUMMYFUNCTION("""COMPUTED_VALUE"""),"Km")</f>
        <v>Km</v>
      </c>
      <c r="AP111" s="252" t="str">
        <f>IFERROR(__xludf.DUMMYFUNCTION("""COMPUTED_VALUE"""),"IS251201141649")</f>
        <v>IS251201141649</v>
      </c>
      <c r="AQ111" s="252"/>
      <c r="AR111" s="252">
        <f>IFERROR(__xludf.DUMMYFUNCTION("""COMPUTED_VALUE"""),366761.0)</f>
        <v>366761</v>
      </c>
      <c r="AS111" s="881">
        <f>IFERROR(__xludf.DUMMYFUNCTION("""COMPUTED_VALUE"""),44927.0)</f>
        <v>44927</v>
      </c>
      <c r="AT111" s="881">
        <f>IFERROR(__xludf.DUMMYFUNCTION("""COMPUTED_VALUE"""),44927.0)</f>
        <v>44927</v>
      </c>
      <c r="AU111" s="252" t="str">
        <f>IFERROR(__xludf.DUMMYFUNCTION("""COMPUTED_VALUE"""),"RDC260315183457")</f>
        <v>RDC260315183457</v>
      </c>
      <c r="AV111" s="252" t="str">
        <f>IFERROR(__xludf.DUMMYFUNCTION("""COMPUTED_VALUE"""),"RCO260315090012")</f>
        <v>RCO260315090012</v>
      </c>
      <c r="AW111" s="252">
        <f>IFERROR(__xludf.DUMMYFUNCTION("""COMPUTED_VALUE"""),64.0)</f>
        <v>64</v>
      </c>
      <c r="AX111" s="252">
        <f>IFERROR(__xludf.DUMMYFUNCTION("""COMPUTED_VALUE"""),0.0)</f>
        <v>0</v>
      </c>
      <c r="AY111" s="252">
        <f>IFERROR(__xludf.DUMMYFUNCTION("""COMPUTED_VALUE"""),26.0)</f>
        <v>26</v>
      </c>
      <c r="AZ111" s="884">
        <f>IFERROR(__xludf.DUMMYFUNCTION("""COMPUTED_VALUE"""),46096.0)</f>
        <v>46096</v>
      </c>
    </row>
    <row r="112">
      <c r="A112" s="252" t="str">
        <f>IFERROR(__xludf.DUMMYFUNCTION("""COMPUTED_VALUE"""),"m000009")</f>
        <v>m000009</v>
      </c>
      <c r="B112" s="252" t="str">
        <f>IFERROR(__xludf.DUMMYFUNCTION("""COMPUTED_VALUE"""),"CP-01 GKYL34")</f>
        <v>CP-01 GKYL34</v>
      </c>
      <c r="C112" s="252" t="str">
        <f>IFERROR(__xludf.DUMMYFUNCTION("""COMPUTED_VALUE"""),"CAMION PLANO")</f>
        <v>CAMION PLANO</v>
      </c>
      <c r="D112" s="252" t="str">
        <f>IFERROR(__xludf.DUMMYFUNCTION("""COMPUTED_VALUE"""),"CAMION PLANO")</f>
        <v>CAMION PLANO</v>
      </c>
      <c r="E112" s="252" t="str">
        <f>IFERROR(__xludf.DUMMYFUNCTION("""COMPUTED_VALUE"""),"JMC")</f>
        <v>JMC</v>
      </c>
      <c r="F112" s="252" t="str">
        <f>IFERROR(__xludf.DUMMYFUNCTION("""COMPUTED_VALUE"""),"MOBILE WORSHOP TRUCK")</f>
        <v>MOBILE WORSHOP TRUCK</v>
      </c>
      <c r="G112" s="252">
        <f>IFERROR(__xludf.DUMMYFUNCTION("""COMPUTED_VALUE"""),2014.0)</f>
        <v>2014</v>
      </c>
      <c r="H112" s="252" t="str">
        <f>IFERROR(__xludf.DUMMYFUNCTION("""COMPUTED_VALUE"""),"D4064759")</f>
        <v>D4064759</v>
      </c>
      <c r="I112" s="252" t="str">
        <f>IFERROR(__xludf.DUMMYFUNCTION("""COMPUTED_VALUE"""),"LEFYFCG26DHN45073")</f>
        <v>LEFYFCG26DHN45073</v>
      </c>
      <c r="J112" s="252" t="str">
        <f>IFERROR(__xludf.DUMMYFUNCTION("""COMPUTED_VALUE"""),"GKYL34-0")</f>
        <v>GKYL34-0</v>
      </c>
      <c r="K112" s="252" t="str">
        <f>IFERROR(__xludf.DUMMYFUNCTION("""COMPUTED_VALUE"""),"ECMA")</f>
        <v>ECMA</v>
      </c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>
        <f>IFERROR(__xludf.DUMMYFUNCTION("""COMPUTED_VALUE"""),0.0)</f>
        <v>0</v>
      </c>
      <c r="W112" s="252">
        <f>IFERROR(__xludf.DUMMYFUNCTION("""COMPUTED_VALUE"""),7.0)</f>
        <v>7</v>
      </c>
      <c r="X112" s="252">
        <f>IFERROR(__xludf.DUMMYFUNCTION("""COMPUTED_VALUE"""),7.0)</f>
        <v>7</v>
      </c>
      <c r="Y112" s="252">
        <f>IFERROR(__xludf.DUMMYFUNCTION("""COMPUTED_VALUE"""),7.0)</f>
        <v>7</v>
      </c>
      <c r="Z112" s="252">
        <f>IFERROR(__xludf.DUMMYFUNCTION("""COMPUTED_VALUE"""),9.0)</f>
        <v>9</v>
      </c>
      <c r="AA112" s="252">
        <f>IFERROR(__xludf.DUMMYFUNCTION("""COMPUTED_VALUE"""),11.0)</f>
        <v>11</v>
      </c>
      <c r="AB112" s="252" t="str">
        <f>IFERROR(__xludf.DUMMYFUNCTION("""COMPUTED_VALUE"""),"Discontinuado")</f>
        <v>Discontinuado</v>
      </c>
      <c r="AC112" s="252"/>
      <c r="AD112" s="252"/>
      <c r="AE112" s="252" t="str">
        <f>IFERROR(__xludf.DUMMYFUNCTION("""COMPUTED_VALUE"""),"Sin incidentes")</f>
        <v>Sin incidentes</v>
      </c>
      <c r="AF112" s="252">
        <f>IFERROR(__xludf.DUMMYFUNCTION("""COMPUTED_VALUE"""),1.0)</f>
        <v>1</v>
      </c>
      <c r="AG112" s="252" t="str">
        <f>IFERROR(__xludf.DUMMYFUNCTION("""COMPUTED_VALUE"""),"[CP-01 GKYL34] - JMC MOBILE WORSHOP TRUCK")</f>
        <v>[CP-01 GKYL34] - JMC MOBILE WORSHOP TRUCK</v>
      </c>
      <c r="AH112" s="252"/>
      <c r="AI112" s="252"/>
      <c r="AJ112" s="252"/>
      <c r="AK112" s="252"/>
      <c r="AL112" s="880" t="str">
        <f>IFERROR(__xludf.DUMMYFUNCTION("""COMPUTED_VALUE"""),"")</f>
        <v/>
      </c>
      <c r="AM112" s="880" t="str">
        <f>IFERROR(__xludf.DUMMYFUNCTION("""COMPUTED_VALUE"""),"")</f>
        <v/>
      </c>
      <c r="AN112" s="252"/>
      <c r="AO112" s="252" t="str">
        <f>IFERROR(__xludf.DUMMYFUNCTION("""COMPUTED_VALUE"""),"Km")</f>
        <v>Km</v>
      </c>
      <c r="AP112" s="252"/>
      <c r="AQ112" s="252"/>
      <c r="AR112" s="252"/>
      <c r="AS112" s="881">
        <f>IFERROR(__xludf.DUMMYFUNCTION("""COMPUTED_VALUE"""),44927.0)</f>
        <v>44927</v>
      </c>
      <c r="AT112" s="881">
        <f>IFERROR(__xludf.DUMMYFUNCTION("""COMPUTED_VALUE"""),44927.0)</f>
        <v>44927</v>
      </c>
      <c r="AU112" s="252"/>
      <c r="AV112" s="252"/>
      <c r="AW112" s="252"/>
      <c r="AX112" s="252"/>
      <c r="AY112" s="252"/>
      <c r="AZ112" s="252"/>
    </row>
    <row r="113">
      <c r="A113" s="252" t="str">
        <f>IFERROR(__xludf.DUMMYFUNCTION("""COMPUTED_VALUE"""),"m000010")</f>
        <v>m000010</v>
      </c>
      <c r="B113" s="252" t="str">
        <f>IFERROR(__xludf.DUMMYFUNCTION("""COMPUTED_VALUE"""),"CP-02 HKST11")</f>
        <v>CP-02 HKST11</v>
      </c>
      <c r="C113" s="252" t="str">
        <f>IFERROR(__xludf.DUMMYFUNCTION("""COMPUTED_VALUE"""),"CAMION PLANO")</f>
        <v>CAMION PLANO</v>
      </c>
      <c r="D113" s="252" t="str">
        <f>IFERROR(__xludf.DUMMYFUNCTION("""COMPUTED_VALUE"""),"CAMION PLANO")</f>
        <v>CAMION PLANO</v>
      </c>
      <c r="E113" s="252" t="str">
        <f>IFERROR(__xludf.DUMMYFUNCTION("""COMPUTED_VALUE"""),"FOTON")</f>
        <v>FOTON</v>
      </c>
      <c r="F113" s="252" t="str">
        <f>IFERROR(__xludf.DUMMYFUNCTION("""COMPUTED_VALUE"""),"AUMARK 613 CS")</f>
        <v>AUMARK 613 CS</v>
      </c>
      <c r="G113" s="252">
        <f>IFERROR(__xludf.DUMMYFUNCTION("""COMPUTED_VALUE"""),2016.0)</f>
        <v>2016</v>
      </c>
      <c r="H113" s="252">
        <f>IFERROR(__xludf.DUMMYFUNCTION("""COMPUTED_VALUE"""),8.96422151E8)</f>
        <v>896422151</v>
      </c>
      <c r="I113" s="252" t="str">
        <f>IFERROR(__xludf.DUMMYFUNCTION("""COMPUTED_VALUE"""),"LVBV4JBB6FJ002601")</f>
        <v>LVBV4JBB6FJ002601</v>
      </c>
      <c r="J113" s="252" t="str">
        <f>IFERROR(__xludf.DUMMYFUNCTION("""COMPUTED_VALUE"""),"HKST11-6")</f>
        <v>HKST11-6</v>
      </c>
      <c r="K113" s="252" t="str">
        <f>IFERROR(__xludf.DUMMYFUNCTION("""COMPUTED_VALUE"""),"JHL")</f>
        <v>JHL</v>
      </c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>
        <f>IFERROR(__xludf.DUMMYFUNCTION("""COMPUTED_VALUE"""),0.0)</f>
        <v>0</v>
      </c>
      <c r="W113" s="252">
        <f>IFERROR(__xludf.DUMMYFUNCTION("""COMPUTED_VALUE"""),4.0)</f>
        <v>4</v>
      </c>
      <c r="X113" s="252">
        <f>IFERROR(__xludf.DUMMYFUNCTION("""COMPUTED_VALUE"""),5.0)</f>
        <v>5</v>
      </c>
      <c r="Y113" s="252">
        <f>IFERROR(__xludf.DUMMYFUNCTION("""COMPUTED_VALUE"""),0.0)</f>
        <v>0</v>
      </c>
      <c r="Z113" s="252">
        <f>IFERROR(__xludf.DUMMYFUNCTION("""COMPUTED_VALUE"""),8.0)</f>
        <v>8</v>
      </c>
      <c r="AA113" s="252">
        <f>IFERROR(__xludf.DUMMYFUNCTION("""COMPUTED_VALUE"""),8.0)</f>
        <v>8</v>
      </c>
      <c r="AB113" s="252" t="str">
        <f>IFERROR(__xludf.DUMMYFUNCTION("""COMPUTED_VALUE"""),"Reparando en taller")</f>
        <v>Reparando en taller</v>
      </c>
      <c r="AC113" s="252" t="str">
        <f>IFERROR(__xludf.DUMMYFUNCTION("""COMPUTED_VALUE"""),"MAQUINAS_Images/m000010.FOTO1.145722.jpg")</f>
        <v>MAQUINAS_Images/m000010.FOTO1.145722.jpg</v>
      </c>
      <c r="AD113" s="252">
        <f>IFERROR(__xludf.DUMMYFUNCTION("""COMPUTED_VALUE"""),455.0)</f>
        <v>455</v>
      </c>
      <c r="AE113" s="252" t="str">
        <f>IFERROR(__xludf.DUMMYFUNCTION("""COMPUTED_VALUE"""),"Sin incidentes")</f>
        <v>Sin incidentes</v>
      </c>
      <c r="AF113" s="252">
        <f>IFERROR(__xludf.DUMMYFUNCTION("""COMPUTED_VALUE"""),1.0)</f>
        <v>1</v>
      </c>
      <c r="AG113" s="252" t="str">
        <f>IFERROR(__xludf.DUMMYFUNCTION("""COMPUTED_VALUE"""),"[CP-02 HKST11] - FOTON AUMARK 613 CS")</f>
        <v>[CP-02 HKST11] - FOTON AUMARK 613 CS</v>
      </c>
      <c r="AH113" s="252">
        <f>IFERROR(__xludf.DUMMYFUNCTION("""COMPUTED_VALUE"""),0.0)</f>
        <v>0</v>
      </c>
      <c r="AI113" s="252">
        <f>IFERROR(__xludf.DUMMYFUNCTION("""COMPUTED_VALUE"""),317475.0)</f>
        <v>317475</v>
      </c>
      <c r="AJ113" s="882">
        <f>IFERROR(__xludf.DUMMYFUNCTION("""COMPUTED_VALUE"""),45723.53184027778)</f>
        <v>45723.53184</v>
      </c>
      <c r="AK113" s="882">
        <f>IFERROR(__xludf.DUMMYFUNCTION("""COMPUTED_VALUE"""),46093.79409722222)</f>
        <v>46093.7941</v>
      </c>
      <c r="AL113" s="880">
        <f>IFERROR(__xludf.DUMMYFUNCTION("""COMPUTED_VALUE"""),0.0)</f>
        <v>0</v>
      </c>
      <c r="AM113" s="880">
        <f>IFERROR(__xludf.DUMMYFUNCTION("""COMPUTED_VALUE"""),319365.0)</f>
        <v>319365</v>
      </c>
      <c r="AN113" s="252" t="str">
        <f>IFERROR(__xludf.DUMMYFUNCTION("""COMPUTED_VALUE"""),"OT251112092801")</f>
        <v>OT251112092801</v>
      </c>
      <c r="AO113" s="252" t="str">
        <f>IFERROR(__xludf.DUMMYFUNCTION("""COMPUTED_VALUE"""),"Km")</f>
        <v>Km</v>
      </c>
      <c r="AP113" s="252" t="str">
        <f>IFERROR(__xludf.DUMMYFUNCTION("""COMPUTED_VALUE"""),"IS260309160028")</f>
        <v>IS260309160028</v>
      </c>
      <c r="AQ113" s="252"/>
      <c r="AR113" s="252">
        <f>IFERROR(__xludf.DUMMYFUNCTION("""COMPUTED_VALUE"""),300989.0)</f>
        <v>300989</v>
      </c>
      <c r="AS113" s="881">
        <f>IFERROR(__xludf.DUMMYFUNCTION("""COMPUTED_VALUE"""),44927.0)</f>
        <v>44927</v>
      </c>
      <c r="AT113" s="881">
        <f>IFERROR(__xludf.DUMMYFUNCTION("""COMPUTED_VALUE"""),44927.0)</f>
        <v>44927</v>
      </c>
      <c r="AU113" s="252" t="str">
        <f>IFERROR(__xludf.DUMMYFUNCTION("""COMPUTED_VALUE"""),"RDC260312205526")</f>
        <v>RDC260312205526</v>
      </c>
      <c r="AV113" s="252" t="str">
        <f>IFERROR(__xludf.DUMMYFUNCTION("""COMPUTED_VALUE"""),"RCO260305083746")</f>
        <v>RCO260305083746</v>
      </c>
      <c r="AW113" s="252">
        <f>IFERROR(__xludf.DUMMYFUNCTION("""COMPUTED_VALUE"""),50.0)</f>
        <v>50</v>
      </c>
      <c r="AX113" s="252"/>
      <c r="AY113" s="252">
        <f>IFERROR(__xludf.DUMMYFUNCTION("""COMPUTED_VALUE"""),375.0)</f>
        <v>375</v>
      </c>
      <c r="AZ113" s="883">
        <f>IFERROR(__xludf.DUMMYFUNCTION("""COMPUTED_VALUE"""),46086.0)</f>
        <v>46086</v>
      </c>
    </row>
    <row r="114">
      <c r="A114" s="252" t="str">
        <f>IFERROR(__xludf.DUMMYFUNCTION("""COMPUTED_VALUE"""),"m000011")</f>
        <v>m000011</v>
      </c>
      <c r="B114" s="252" t="str">
        <f>IFERROR(__xludf.DUMMYFUNCTION("""COMPUTED_VALUE"""),"CP-03 HKFG20")</f>
        <v>CP-03 HKFG20</v>
      </c>
      <c r="C114" s="252" t="str">
        <f>IFERROR(__xludf.DUMMYFUNCTION("""COMPUTED_VALUE"""),"CAMION PLANO")</f>
        <v>CAMION PLANO</v>
      </c>
      <c r="D114" s="252" t="str">
        <f>IFERROR(__xludf.DUMMYFUNCTION("""COMPUTED_VALUE"""),"CAMION PLANO")</f>
        <v>CAMION PLANO</v>
      </c>
      <c r="E114" s="252" t="str">
        <f>IFERROR(__xludf.DUMMYFUNCTION("""COMPUTED_VALUE"""),"FOTON")</f>
        <v>FOTON</v>
      </c>
      <c r="F114" s="252" t="str">
        <f>IFERROR(__xludf.DUMMYFUNCTION("""COMPUTED_VALUE"""),"AUMARK 613E")</f>
        <v>AUMARK 613E</v>
      </c>
      <c r="G114" s="252">
        <f>IFERROR(__xludf.DUMMYFUNCTION("""COMPUTED_VALUE"""),2016.0)</f>
        <v>2016</v>
      </c>
      <c r="H114" s="252">
        <f>IFERROR(__xludf.DUMMYFUNCTION("""COMPUTED_VALUE"""),8.9680294E7)</f>
        <v>89680294</v>
      </c>
      <c r="I114" s="252" t="str">
        <f>IFERROR(__xludf.DUMMYFUNCTION("""COMPUTED_VALUE"""),"LVBV4ABB0GJ001932")</f>
        <v>LVBV4ABB0GJ001932</v>
      </c>
      <c r="J114" s="252" t="str">
        <f>IFERROR(__xludf.DUMMYFUNCTION("""COMPUTED_VALUE"""),"HKFG20-7")</f>
        <v>HKFG20-7</v>
      </c>
      <c r="K114" s="252" t="str">
        <f>IFERROR(__xludf.DUMMYFUNCTION("""COMPUTED_VALUE"""),"ECMA")</f>
        <v>ECMA</v>
      </c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>
        <f>IFERROR(__xludf.DUMMYFUNCTION("""COMPUTED_VALUE"""),0.0)</f>
        <v>0</v>
      </c>
      <c r="W114" s="252">
        <f>IFERROR(__xludf.DUMMYFUNCTION("""COMPUTED_VALUE"""),4.0)</f>
        <v>4</v>
      </c>
      <c r="X114" s="252">
        <f>IFERROR(__xludf.DUMMYFUNCTION("""COMPUTED_VALUE"""),5.0)</f>
        <v>5</v>
      </c>
      <c r="Y114" s="252">
        <f>IFERROR(__xludf.DUMMYFUNCTION("""COMPUTED_VALUE"""),0.0)</f>
        <v>0</v>
      </c>
      <c r="Z114" s="252">
        <f>IFERROR(__xludf.DUMMYFUNCTION("""COMPUTED_VALUE"""),8.0)</f>
        <v>8</v>
      </c>
      <c r="AA114" s="252">
        <f>IFERROR(__xludf.DUMMYFUNCTION("""COMPUTED_VALUE"""),8.0)</f>
        <v>8</v>
      </c>
      <c r="AB114" s="252" t="str">
        <f>IFERROR(__xludf.DUMMYFUNCTION("""COMPUTED_VALUE"""),"Patio LL")</f>
        <v>Patio LL</v>
      </c>
      <c r="AC114" s="252" t="str">
        <f>IFERROR(__xludf.DUMMYFUNCTION("""COMPUTED_VALUE"""),"MAQUINAS_Images/m000011.FOTO1.145731.jpg")</f>
        <v>MAQUINAS_Images/m000011.FOTO1.145731.jpg</v>
      </c>
      <c r="AD114" s="252">
        <f>IFERROR(__xludf.DUMMYFUNCTION("""COMPUTED_VALUE"""),924.0)</f>
        <v>924</v>
      </c>
      <c r="AE114" s="252" t="str">
        <f>IFERROR(__xludf.DUMMYFUNCTION("""COMPUTED_VALUE"""),"Alerta incidente")</f>
        <v>Alerta incidente</v>
      </c>
      <c r="AF114" s="252">
        <f>IFERROR(__xludf.DUMMYFUNCTION("""COMPUTED_VALUE"""),2.0)</f>
        <v>2</v>
      </c>
      <c r="AG114" s="252" t="str">
        <f>IFERROR(__xludf.DUMMYFUNCTION("""COMPUTED_VALUE"""),"[CP-03 HKFG20] - FOTON AUMARK 613E")</f>
        <v>[CP-03 HKFG20] - FOTON AUMARK 613E</v>
      </c>
      <c r="AH114" s="252">
        <f>IFERROR(__xludf.DUMMYFUNCTION("""COMPUTED_VALUE"""),1.0)</f>
        <v>1</v>
      </c>
      <c r="AI114" s="252">
        <f>IFERROR(__xludf.DUMMYFUNCTION("""COMPUTED_VALUE"""),216887.0)</f>
        <v>216887</v>
      </c>
      <c r="AJ114" s="882">
        <f>IFERROR(__xludf.DUMMYFUNCTION("""COMPUTED_VALUE"""),46083.63324074074)</f>
        <v>46083.63324</v>
      </c>
      <c r="AK114" s="882">
        <f>IFERROR(__xludf.DUMMYFUNCTION("""COMPUTED_VALUE"""),46095.625543981485)</f>
        <v>46095.62554</v>
      </c>
      <c r="AL114" s="252"/>
      <c r="AM114" s="880">
        <f>IFERROR(__xludf.DUMMYFUNCTION("""COMPUTED_VALUE"""),221902.0)</f>
        <v>221902</v>
      </c>
      <c r="AN114" s="252" t="str">
        <f>IFERROR(__xludf.DUMMYFUNCTION("""COMPUTED_VALUE"""),"OT251203091328")</f>
        <v>OT251203091328</v>
      </c>
      <c r="AO114" s="252" t="str">
        <f>IFERROR(__xludf.DUMMYFUNCTION("""COMPUTED_VALUE"""),"Km")</f>
        <v>Km</v>
      </c>
      <c r="AP114" s="252" t="str">
        <f>IFERROR(__xludf.DUMMYFUNCTION("""COMPUTED_VALUE"""),"IS251202105547")</f>
        <v>IS251202105547</v>
      </c>
      <c r="AQ114" s="252"/>
      <c r="AR114" s="252">
        <f>IFERROR(__xludf.DUMMYFUNCTION("""COMPUTED_VALUE"""),200555.0)</f>
        <v>200555</v>
      </c>
      <c r="AS114" s="881">
        <f>IFERROR(__xludf.DUMMYFUNCTION("""COMPUTED_VALUE"""),44927.0)</f>
        <v>44927</v>
      </c>
      <c r="AT114" s="881">
        <f>IFERROR(__xludf.DUMMYFUNCTION("""COMPUTED_VALUE"""),44927.0)</f>
        <v>44927</v>
      </c>
      <c r="AU114" s="252" t="str">
        <f>IFERROR(__xludf.DUMMYFUNCTION("""COMPUTED_VALUE"""),"RDC260314165932")</f>
        <v>RDC260314165932</v>
      </c>
      <c r="AV114" s="252" t="str">
        <f>IFERROR(__xludf.DUMMYFUNCTION("""COMPUTED_VALUE"""),"RCO260302170818")</f>
        <v>RCO260302170818</v>
      </c>
      <c r="AW114" s="252">
        <f>IFERROR(__xludf.DUMMYFUNCTION("""COMPUTED_VALUE"""),19.0)</f>
        <v>19</v>
      </c>
      <c r="AX114" s="252">
        <f>IFERROR(__xludf.DUMMYFUNCTION("""COMPUTED_VALUE"""),0.0)</f>
        <v>0</v>
      </c>
      <c r="AY114" s="252">
        <f>IFERROR(__xludf.DUMMYFUNCTION("""COMPUTED_VALUE"""),700.0)</f>
        <v>700</v>
      </c>
      <c r="AZ114" s="883">
        <f>IFERROR(__xludf.DUMMYFUNCTION("""COMPUTED_VALUE"""),46083.0)</f>
        <v>46083</v>
      </c>
    </row>
    <row r="115">
      <c r="A115" s="252" t="str">
        <f>IFERROR(__xludf.DUMMYFUNCTION("""COMPUTED_VALUE"""),"m000012")</f>
        <v>m000012</v>
      </c>
      <c r="B115" s="252" t="str">
        <f>IFERROR(__xludf.DUMMYFUNCTION("""COMPUTED_VALUE"""),"CP-04 LBLG59")</f>
        <v>CP-04 LBLG59</v>
      </c>
      <c r="C115" s="252" t="str">
        <f>IFERROR(__xludf.DUMMYFUNCTION("""COMPUTED_VALUE"""),"CAMION PLANO")</f>
        <v>CAMION PLANO</v>
      </c>
      <c r="D115" s="252" t="str">
        <f>IFERROR(__xludf.DUMMYFUNCTION("""COMPUTED_VALUE"""),"CAMION PLANO")</f>
        <v>CAMION PLANO</v>
      </c>
      <c r="E115" s="252" t="str">
        <f>IFERROR(__xludf.DUMMYFUNCTION("""COMPUTED_VALUE"""),"MITSUBUSHI")</f>
        <v>MITSUBUSHI</v>
      </c>
      <c r="F115" s="252" t="str">
        <f>IFERROR(__xludf.DUMMYFUNCTION("""COMPUTED_VALUE"""),"CANTER 7.5")</f>
        <v>CANTER 7.5</v>
      </c>
      <c r="G115" s="252">
        <f>IFERROR(__xludf.DUMMYFUNCTION("""COMPUTED_VALUE"""),2019.0)</f>
        <v>2019</v>
      </c>
      <c r="H115" s="252" t="str">
        <f>IFERROR(__xludf.DUMMYFUNCTION("""COMPUTED_VALUE"""),"4P10C93596")</f>
        <v>4P10C93596</v>
      </c>
      <c r="I115" s="252" t="str">
        <f>IFERROR(__xludf.DUMMYFUNCTION("""COMPUTED_VALUE"""),"JL6BHG6AXJK001213")</f>
        <v>JL6BHG6AXJK001213</v>
      </c>
      <c r="J115" s="252" t="str">
        <f>IFERROR(__xludf.DUMMYFUNCTION("""COMPUTED_VALUE"""),"LBLG59-9")</f>
        <v>LBLG59-9</v>
      </c>
      <c r="K115" s="252" t="str">
        <f>IFERROR(__xludf.DUMMYFUNCTION("""COMPUTED_VALUE"""),"ECMA")</f>
        <v>ECMA</v>
      </c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>
        <f>IFERROR(__xludf.DUMMYFUNCTION("""COMPUTED_VALUE"""),4.0)</f>
        <v>4</v>
      </c>
      <c r="W115" s="252">
        <f>IFERROR(__xludf.DUMMYFUNCTION("""COMPUTED_VALUE"""),4.0)</f>
        <v>4</v>
      </c>
      <c r="X115" s="252">
        <f>IFERROR(__xludf.DUMMYFUNCTION("""COMPUTED_VALUE"""),4.0)</f>
        <v>4</v>
      </c>
      <c r="Y115" s="252">
        <f>IFERROR(__xludf.DUMMYFUNCTION("""COMPUTED_VALUE"""),0.0)</f>
        <v>0</v>
      </c>
      <c r="Z115" s="252">
        <f>IFERROR(__xludf.DUMMYFUNCTION("""COMPUTED_VALUE"""),8.0)</f>
        <v>8</v>
      </c>
      <c r="AA115" s="252">
        <f>IFERROR(__xludf.DUMMYFUNCTION("""COMPUTED_VALUE"""),8.0)</f>
        <v>8</v>
      </c>
      <c r="AB115" s="252" t="str">
        <f>IFERROR(__xludf.DUMMYFUNCTION("""COMPUTED_VALUE"""),"Patio LL")</f>
        <v>Patio LL</v>
      </c>
      <c r="AC115" s="252" t="str">
        <f>IFERROR(__xludf.DUMMYFUNCTION("""COMPUTED_VALUE"""),"MAQUINAS_Images/m000012.FOTO1.145727.jpg")</f>
        <v>MAQUINAS_Images/m000012.FOTO1.145727.jpg</v>
      </c>
      <c r="AD115" s="252">
        <f>IFERROR(__xludf.DUMMYFUNCTION("""COMPUTED_VALUE"""),923.0)</f>
        <v>923</v>
      </c>
      <c r="AE115" s="252" t="str">
        <f>IFERROR(__xludf.DUMMYFUNCTION("""COMPUTED_VALUE"""),"Sin incidentes")</f>
        <v>Sin incidentes</v>
      </c>
      <c r="AF115" s="252">
        <f>IFERROR(__xludf.DUMMYFUNCTION("""COMPUTED_VALUE"""),1.0)</f>
        <v>1</v>
      </c>
      <c r="AG115" s="252" t="str">
        <f>IFERROR(__xludf.DUMMYFUNCTION("""COMPUTED_VALUE"""),"[CP-04 LBLG59] - MITSUBUSHI CANTER 7.5")</f>
        <v>[CP-04 LBLG59] - MITSUBUSHI CANTER 7.5</v>
      </c>
      <c r="AH115" s="252">
        <f>IFERROR(__xludf.DUMMYFUNCTION("""COMPUTED_VALUE"""),1.0)</f>
        <v>1</v>
      </c>
      <c r="AI115" s="252">
        <f>IFERROR(__xludf.DUMMYFUNCTION("""COMPUTED_VALUE"""),284014.0)</f>
        <v>284014</v>
      </c>
      <c r="AJ115" s="882">
        <f>IFERROR(__xludf.DUMMYFUNCTION("""COMPUTED_VALUE"""),46094.27006944444)</f>
        <v>46094.27007</v>
      </c>
      <c r="AK115" s="882">
        <f>IFERROR(__xludf.DUMMYFUNCTION("""COMPUTED_VALUE"""),46094.46084490741)</f>
        <v>46094.46084</v>
      </c>
      <c r="AL115" s="252"/>
      <c r="AM115" s="880">
        <f>IFERROR(__xludf.DUMMYFUNCTION("""COMPUTED_VALUE"""),291592.0)</f>
        <v>291592</v>
      </c>
      <c r="AN115" s="252" t="str">
        <f>IFERROR(__xludf.DUMMYFUNCTION("""COMPUTED_VALUE"""),"OT260216161307")</f>
        <v>OT260216161307</v>
      </c>
      <c r="AO115" s="252" t="str">
        <f>IFERROR(__xludf.DUMMYFUNCTION("""COMPUTED_VALUE"""),"Km")</f>
        <v>Km</v>
      </c>
      <c r="AP115" s="252" t="str">
        <f>IFERROR(__xludf.DUMMYFUNCTION("""COMPUTED_VALUE"""),"IS260311163304")</f>
        <v>IS260311163304</v>
      </c>
      <c r="AQ115" s="252"/>
      <c r="AR115" s="252">
        <f>IFERROR(__xludf.DUMMYFUNCTION("""COMPUTED_VALUE"""),241786.0)</f>
        <v>241786</v>
      </c>
      <c r="AS115" s="881">
        <f>IFERROR(__xludf.DUMMYFUNCTION("""COMPUTED_VALUE"""),44927.0)</f>
        <v>44927</v>
      </c>
      <c r="AT115" s="881">
        <f>IFERROR(__xludf.DUMMYFUNCTION("""COMPUTED_VALUE"""),44927.0)</f>
        <v>44927</v>
      </c>
      <c r="AU115" s="252" t="str">
        <f>IFERROR(__xludf.DUMMYFUNCTION("""COMPUTED_VALUE"""),"RDC260313130213")</f>
        <v>RDC260313130213</v>
      </c>
      <c r="AV115" s="252" t="str">
        <f>IFERROR(__xludf.DUMMYFUNCTION("""COMPUTED_VALUE"""),"RCO260313082110")</f>
        <v>RCO260313082110</v>
      </c>
      <c r="AW115" s="252">
        <f>IFERROR(__xludf.DUMMYFUNCTION("""COMPUTED_VALUE"""),66.0)</f>
        <v>66</v>
      </c>
      <c r="AX115" s="252">
        <f>IFERROR(__xludf.DUMMYFUNCTION("""COMPUTED_VALUE"""),0.0)</f>
        <v>0</v>
      </c>
      <c r="AY115" s="252">
        <f>IFERROR(__xludf.DUMMYFUNCTION("""COMPUTED_VALUE"""),487.0)</f>
        <v>487</v>
      </c>
      <c r="AZ115" s="884">
        <f>IFERROR(__xludf.DUMMYFUNCTION("""COMPUTED_VALUE"""),46094.0)</f>
        <v>46094</v>
      </c>
    </row>
    <row r="116">
      <c r="A116" s="252" t="str">
        <f>IFERROR(__xludf.DUMMYFUNCTION("""COMPUTED_VALUE"""),"m000013")</f>
        <v>m000013</v>
      </c>
      <c r="B116" s="252" t="str">
        <f>IFERROR(__xludf.DUMMYFUNCTION("""COMPUTED_VALUE"""),"CP-06 DJBD80")</f>
        <v>CP-06 DJBD80</v>
      </c>
      <c r="C116" s="252" t="str">
        <f>IFERROR(__xludf.DUMMYFUNCTION("""COMPUTED_VALUE"""),"CAMION PLUMA")</f>
        <v>CAMION PLUMA</v>
      </c>
      <c r="D116" s="252" t="str">
        <f>IFERROR(__xludf.DUMMYFUNCTION("""COMPUTED_VALUE"""),"CAMION PLUMA")</f>
        <v>CAMION PLUMA</v>
      </c>
      <c r="E116" s="252" t="str">
        <f>IFERROR(__xludf.DUMMYFUNCTION("""COMPUTED_VALUE"""),"SINOTRUCK")</f>
        <v>SINOTRUCK</v>
      </c>
      <c r="F116" s="252" t="str">
        <f>IFERROR(__xludf.DUMMYFUNCTION("""COMPUTED_VALUE"""),"CG 190")</f>
        <v>CG 190</v>
      </c>
      <c r="G116" s="252">
        <f>IFERROR(__xludf.DUMMYFUNCTION("""COMPUTED_VALUE"""),2012.0)</f>
        <v>2012</v>
      </c>
      <c r="H116" s="252" t="str">
        <f>IFERROR(__xludf.DUMMYFUNCTION("""COMPUTED_VALUE"""),"J6517A00238")</f>
        <v>J6517A00238</v>
      </c>
      <c r="I116" s="252" t="str">
        <f>IFERROR(__xludf.DUMMYFUNCTION("""COMPUTED_VALUE"""),"LZZMBBGJ7AC128158")</f>
        <v>LZZMBBGJ7AC128158</v>
      </c>
      <c r="J116" s="252" t="str">
        <f>IFERROR(__xludf.DUMMYFUNCTION("""COMPUTED_VALUE"""),"DJBD80-6")</f>
        <v>DJBD80-6</v>
      </c>
      <c r="K116" s="252" t="str">
        <f>IFERROR(__xludf.DUMMYFUNCTION("""COMPUTED_VALUE"""),"ECMA")</f>
        <v>ECMA</v>
      </c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>
        <f>IFERROR(__xludf.DUMMYFUNCTION("""COMPUTED_VALUE"""),0.0)</f>
        <v>0</v>
      </c>
      <c r="W116" s="252">
        <f>IFERROR(__xludf.DUMMYFUNCTION("""COMPUTED_VALUE"""),10.0)</f>
        <v>10</v>
      </c>
      <c r="X116" s="252">
        <f>IFERROR(__xludf.DUMMYFUNCTION("""COMPUTED_VALUE"""),10.0)</f>
        <v>10</v>
      </c>
      <c r="Y116" s="252">
        <f>IFERROR(__xludf.DUMMYFUNCTION("""COMPUTED_VALUE"""),0.0)</f>
        <v>0</v>
      </c>
      <c r="Z116" s="252">
        <f>IFERROR(__xludf.DUMMYFUNCTION("""COMPUTED_VALUE"""),14.0)</f>
        <v>14</v>
      </c>
      <c r="AA116" s="252">
        <f>IFERROR(__xludf.DUMMYFUNCTION("""COMPUTED_VALUE"""),14.0)</f>
        <v>14</v>
      </c>
      <c r="AB116" s="252" t="str">
        <f>IFERROR(__xludf.DUMMYFUNCTION("""COMPUTED_VALUE"""),"Patio LL")</f>
        <v>Patio LL</v>
      </c>
      <c r="AC116" s="252" t="str">
        <f>IFERROR(__xludf.DUMMYFUNCTION("""COMPUTED_VALUE"""),"MAQUINAS_Images/m000013.FOTO1.150851.jpg")</f>
        <v>MAQUINAS_Images/m000013.FOTO1.150851.jpg</v>
      </c>
      <c r="AD116" s="252">
        <f>IFERROR(__xludf.DUMMYFUNCTION("""COMPUTED_VALUE"""),290.0)</f>
        <v>290</v>
      </c>
      <c r="AE116" s="252" t="str">
        <f>IFERROR(__xludf.DUMMYFUNCTION("""COMPUTED_VALUE"""),"Sin incidentes")</f>
        <v>Sin incidentes</v>
      </c>
      <c r="AF116" s="252">
        <f>IFERROR(__xludf.DUMMYFUNCTION("""COMPUTED_VALUE"""),1.0)</f>
        <v>1</v>
      </c>
      <c r="AG116" s="252" t="str">
        <f>IFERROR(__xludf.DUMMYFUNCTION("""COMPUTED_VALUE"""),"[CP-06 DJBD80] - SINOTRUCK CG 190")</f>
        <v>[CP-06 DJBD80] - SINOTRUCK CG 190</v>
      </c>
      <c r="AH116" s="252">
        <f>IFERROR(__xludf.DUMMYFUNCTION("""COMPUTED_VALUE"""),10104.0)</f>
        <v>10104</v>
      </c>
      <c r="AI116" s="252">
        <f>IFERROR(__xludf.DUMMYFUNCTION("""COMPUTED_VALUE"""),253164.0)</f>
        <v>253164</v>
      </c>
      <c r="AJ116" s="882">
        <f>IFERROR(__xludf.DUMMYFUNCTION("""COMPUTED_VALUE"""),46055.63482638889)</f>
        <v>46055.63483</v>
      </c>
      <c r="AK116" s="882">
        <f>IFERROR(__xludf.DUMMYFUNCTION("""COMPUTED_VALUE"""),46055.63487268519)</f>
        <v>46055.63487</v>
      </c>
      <c r="AL116" s="880">
        <f>IFERROR(__xludf.DUMMYFUNCTION("""COMPUTED_VALUE"""),10302.0)</f>
        <v>10302</v>
      </c>
      <c r="AM116" s="252"/>
      <c r="AN116" s="252" t="str">
        <f>IFERROR(__xludf.DUMMYFUNCTION("""COMPUTED_VALUE"""),"OT251118171853")</f>
        <v>OT251118171853</v>
      </c>
      <c r="AO116" s="252" t="str">
        <f>IFERROR(__xludf.DUMMYFUNCTION("""COMPUTED_VALUE"""),"Hr")</f>
        <v>Hr</v>
      </c>
      <c r="AP116" s="252" t="str">
        <f>IFERROR(__xludf.DUMMYFUNCTION("""COMPUTED_VALUE"""),"IS260114175701")</f>
        <v>IS260114175701</v>
      </c>
      <c r="AQ116" s="252">
        <f>IFERROR(__xludf.DUMMYFUNCTION("""COMPUTED_VALUE"""),9454.0)</f>
        <v>9454</v>
      </c>
      <c r="AR116" s="252">
        <f>IFERROR(__xludf.DUMMYFUNCTION("""COMPUTED_VALUE"""),251748.0)</f>
        <v>251748</v>
      </c>
      <c r="AS116" s="881">
        <f>IFERROR(__xludf.DUMMYFUNCTION("""COMPUTED_VALUE"""),44927.0)</f>
        <v>44927</v>
      </c>
      <c r="AT116" s="881">
        <f>IFERROR(__xludf.DUMMYFUNCTION("""COMPUTED_VALUE"""),44927.0)</f>
        <v>44927</v>
      </c>
      <c r="AU116" s="252" t="str">
        <f>IFERROR(__xludf.DUMMYFUNCTION("""COMPUTED_VALUE"""),"RDC260202155743")</f>
        <v>RDC260202155743</v>
      </c>
      <c r="AV116" s="252" t="str">
        <f>IFERROR(__xludf.DUMMYFUNCTION("""COMPUTED_VALUE"""),"RCO260130085107")</f>
        <v>RCO260130085107</v>
      </c>
      <c r="AW116" s="252">
        <f>IFERROR(__xludf.DUMMYFUNCTION("""COMPUTED_VALUE"""),144.0)</f>
        <v>144</v>
      </c>
      <c r="AX116" s="252">
        <f>IFERROR(__xludf.DUMMYFUNCTION("""COMPUTED_VALUE"""),-956.0)</f>
        <v>-956</v>
      </c>
      <c r="AY116" s="252">
        <f>IFERROR(__xludf.DUMMYFUNCTION("""COMPUTED_VALUE"""),118.0)</f>
        <v>118</v>
      </c>
      <c r="AZ116" s="883">
        <f>IFERROR(__xludf.DUMMYFUNCTION("""COMPUTED_VALUE"""),46052.0)</f>
        <v>46052</v>
      </c>
    </row>
    <row r="117">
      <c r="A117" s="252" t="str">
        <f>IFERROR(__xludf.DUMMYFUNCTION("""COMPUTED_VALUE"""),"m000014")</f>
        <v>m000014</v>
      </c>
      <c r="B117" s="252" t="str">
        <f>IFERROR(__xludf.DUMMYFUNCTION("""COMPUTED_VALUE"""),"CP-07 DZYT67")</f>
        <v>CP-07 DZYT67</v>
      </c>
      <c r="C117" s="252" t="str">
        <f>IFERROR(__xludf.DUMMYFUNCTION("""COMPUTED_VALUE"""),"CAMION PLUMA")</f>
        <v>CAMION PLUMA</v>
      </c>
      <c r="D117" s="252" t="str">
        <f>IFERROR(__xludf.DUMMYFUNCTION("""COMPUTED_VALUE"""),"CAMION PLUMA")</f>
        <v>CAMION PLUMA</v>
      </c>
      <c r="E117" s="252" t="str">
        <f>IFERROR(__xludf.DUMMYFUNCTION("""COMPUTED_VALUE"""),"FORD")</f>
        <v>FORD</v>
      </c>
      <c r="F117" s="252" t="str">
        <f>IFERROR(__xludf.DUMMYFUNCTION("""COMPUTED_VALUE"""),"CARGO 2429")</f>
        <v>CARGO 2429</v>
      </c>
      <c r="G117" s="252">
        <f>IFERROR(__xludf.DUMMYFUNCTION("""COMPUTED_VALUE"""),2012.0)</f>
        <v>2012</v>
      </c>
      <c r="H117" s="252">
        <f>IFERROR(__xludf.DUMMYFUNCTION("""COMPUTED_VALUE"""),3.6389059E7)</f>
        <v>36389059</v>
      </c>
      <c r="I117" s="252" t="str">
        <f>IFERROR(__xludf.DUMMYFUNCTION("""COMPUTED_VALUE"""),"9BFYEALE4DBS17519")</f>
        <v>9BFYEALE4DBS17519</v>
      </c>
      <c r="J117" s="252" t="str">
        <f>IFERROR(__xludf.DUMMYFUNCTION("""COMPUTED_VALUE"""),"DZYT67-2")</f>
        <v>DZYT67-2</v>
      </c>
      <c r="K117" s="252" t="str">
        <f>IFERROR(__xludf.DUMMYFUNCTION("""COMPUTED_VALUE"""),"ECMA")</f>
        <v>ECMA</v>
      </c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>
        <f>IFERROR(__xludf.DUMMYFUNCTION("""COMPUTED_VALUE"""),0.0)</f>
        <v>0</v>
      </c>
      <c r="W117" s="252">
        <f>IFERROR(__xludf.DUMMYFUNCTION("""COMPUTED_VALUE"""),10.0)</f>
        <v>10</v>
      </c>
      <c r="X117" s="252">
        <f>IFERROR(__xludf.DUMMYFUNCTION("""COMPUTED_VALUE"""),10.0)</f>
        <v>10</v>
      </c>
      <c r="Y117" s="252">
        <f>IFERROR(__xludf.DUMMYFUNCTION("""COMPUTED_VALUE"""),0.0)</f>
        <v>0</v>
      </c>
      <c r="Z117" s="252">
        <f>IFERROR(__xludf.DUMMYFUNCTION("""COMPUTED_VALUE"""),12.0)</f>
        <v>12</v>
      </c>
      <c r="AA117" s="252">
        <f>IFERROR(__xludf.DUMMYFUNCTION("""COMPUTED_VALUE"""),12.0)</f>
        <v>12</v>
      </c>
      <c r="AB117" s="252" t="str">
        <f>IFERROR(__xludf.DUMMYFUNCTION("""COMPUTED_VALUE"""),"En producción")</f>
        <v>En producción</v>
      </c>
      <c r="AC117" s="252" t="str">
        <f>IFERROR(__xludf.DUMMYFUNCTION("""COMPUTED_VALUE"""),"MAQUINAS_Images/m000014.FOTO1.145253.jpg")</f>
        <v>MAQUINAS_Images/m000014.FOTO1.145253.jpg</v>
      </c>
      <c r="AD117" s="252">
        <f>IFERROR(__xludf.DUMMYFUNCTION("""COMPUTED_VALUE"""),513.0)</f>
        <v>513</v>
      </c>
      <c r="AE117" s="252" t="str">
        <f>IFERROR(__xludf.DUMMYFUNCTION("""COMPUTED_VALUE"""),"Sin incidentes")</f>
        <v>Sin incidentes</v>
      </c>
      <c r="AF117" s="252">
        <f>IFERROR(__xludf.DUMMYFUNCTION("""COMPUTED_VALUE"""),1.0)</f>
        <v>1</v>
      </c>
      <c r="AG117" s="252" t="str">
        <f>IFERROR(__xludf.DUMMYFUNCTION("""COMPUTED_VALUE"""),"[CP-07 DZYT67] - FORD CARGO 2429")</f>
        <v>[CP-07 DZYT67] - FORD CARGO 2429</v>
      </c>
      <c r="AH117" s="252">
        <f>IFERROR(__xludf.DUMMYFUNCTION("""COMPUTED_VALUE"""),20042.0)</f>
        <v>20042</v>
      </c>
      <c r="AI117" s="252">
        <f>IFERROR(__xludf.DUMMYFUNCTION("""COMPUTED_VALUE"""),288056.0)</f>
        <v>288056</v>
      </c>
      <c r="AJ117" s="882">
        <f>IFERROR(__xludf.DUMMYFUNCTION("""COMPUTED_VALUE"""),46094.83146990741)</f>
        <v>46094.83147</v>
      </c>
      <c r="AK117" s="882">
        <f>IFERROR(__xludf.DUMMYFUNCTION("""COMPUTED_VALUE"""),46094.8315162037)</f>
        <v>46094.83152</v>
      </c>
      <c r="AL117" s="252"/>
      <c r="AM117" s="880">
        <f>IFERROR(__xludf.DUMMYFUNCTION("""COMPUTED_VALUE"""),294574.0)</f>
        <v>294574</v>
      </c>
      <c r="AN117" s="252" t="str">
        <f>IFERROR(__xludf.DUMMYFUNCTION("""COMPUTED_VALUE"""),"OT250612085846")</f>
        <v>OT250612085846</v>
      </c>
      <c r="AO117" s="252" t="str">
        <f>IFERROR(__xludf.DUMMYFUNCTION("""COMPUTED_VALUE"""),"Km")</f>
        <v>Km</v>
      </c>
      <c r="AP117" s="252" t="str">
        <f>IFERROR(__xludf.DUMMYFUNCTION("""COMPUTED_VALUE"""),"IS260312165035")</f>
        <v>IS260312165035</v>
      </c>
      <c r="AQ117" s="252"/>
      <c r="AR117" s="252">
        <f>IFERROR(__xludf.DUMMYFUNCTION("""COMPUTED_VALUE"""),276079.0)</f>
        <v>276079</v>
      </c>
      <c r="AS117" s="881">
        <f>IFERROR(__xludf.DUMMYFUNCTION("""COMPUTED_VALUE"""),44927.0)</f>
        <v>44927</v>
      </c>
      <c r="AT117" s="881">
        <f>IFERROR(__xludf.DUMMYFUNCTION("""COMPUTED_VALUE"""),44927.0)</f>
        <v>44927</v>
      </c>
      <c r="AU117" s="252" t="str">
        <f>IFERROR(__xludf.DUMMYFUNCTION("""COMPUTED_VALUE"""),"RDC260313215529")</f>
        <v>RDC260313215529</v>
      </c>
      <c r="AV117" s="252" t="str">
        <f>IFERROR(__xludf.DUMMYFUNCTION("""COMPUTED_VALUE"""),"RCO260311222218")</f>
        <v>RCO260311222218</v>
      </c>
      <c r="AW117" s="252">
        <f>IFERROR(__xludf.DUMMYFUNCTION("""COMPUTED_VALUE"""),220.0)</f>
        <v>220</v>
      </c>
      <c r="AX117" s="252">
        <f>IFERROR(__xludf.DUMMYFUNCTION("""COMPUTED_VALUE"""),20.0)</f>
        <v>20</v>
      </c>
      <c r="AY117" s="252">
        <f>IFERROR(__xludf.DUMMYFUNCTION("""COMPUTED_VALUE"""),0.0)</f>
        <v>0</v>
      </c>
      <c r="AZ117" s="884">
        <f>IFERROR(__xludf.DUMMYFUNCTION("""COMPUTED_VALUE"""),46092.0)</f>
        <v>46092</v>
      </c>
    </row>
    <row r="118">
      <c r="A118" s="252" t="str">
        <f>IFERROR(__xludf.DUMMYFUNCTION("""COMPUTED_VALUE"""),"m000015")</f>
        <v>m000015</v>
      </c>
      <c r="B118" s="252" t="str">
        <f>IFERROR(__xludf.DUMMYFUNCTION("""COMPUTED_VALUE"""),"CP-08 SXBK30")</f>
        <v>CP-08 SXBK30</v>
      </c>
      <c r="C118" s="252" t="str">
        <f>IFERROR(__xludf.DUMMYFUNCTION("""COMPUTED_VALUE"""),"CAMION PLUMA")</f>
        <v>CAMION PLUMA</v>
      </c>
      <c r="D118" s="252" t="str">
        <f>IFERROR(__xludf.DUMMYFUNCTION("""COMPUTED_VALUE"""),"CAMION PLUMA")</f>
        <v>CAMION PLUMA</v>
      </c>
      <c r="E118" s="252" t="str">
        <f>IFERROR(__xludf.DUMMYFUNCTION("""COMPUTED_VALUE"""),"IVECO")</f>
        <v>IVECO</v>
      </c>
      <c r="F118" s="252" t="str">
        <f>IFERROR(__xludf.DUMMYFUNCTION("""COMPUTED_VALUE"""),"TECTOR")</f>
        <v>TECTOR</v>
      </c>
      <c r="G118" s="252">
        <f>IFERROR(__xludf.DUMMYFUNCTION("""COMPUTED_VALUE"""),2023.0)</f>
        <v>2023</v>
      </c>
      <c r="H118" s="252" t="str">
        <f>IFERROR(__xludf.DUMMYFUNCTION("""COMPUTED_VALUE"""),"F4HE3681B8101542")</f>
        <v>F4HE3681B8101542</v>
      </c>
      <c r="I118" s="252" t="str">
        <f>IFERROR(__xludf.DUMMYFUNCTION("""COMPUTED_VALUE"""),"93ZE12JMZP8952623")</f>
        <v>93ZE12JMZP8952623</v>
      </c>
      <c r="J118" s="252" t="str">
        <f>IFERROR(__xludf.DUMMYFUNCTION("""COMPUTED_VALUE"""),"SXBK30")</f>
        <v>SXBK30</v>
      </c>
      <c r="K118" s="252" t="str">
        <f>IFERROR(__xludf.DUMMYFUNCTION("""COMPUTED_VALUE"""),"BCI")</f>
        <v>BCI</v>
      </c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  <c r="AA118" s="252"/>
      <c r="AB118" s="252" t="str">
        <f>IFERROR(__xludf.DUMMYFUNCTION("""COMPUTED_VALUE"""),"En producción")</f>
        <v>En producción</v>
      </c>
      <c r="AC118" s="252"/>
      <c r="AD118" s="252">
        <f>IFERROR(__xludf.DUMMYFUNCTION("""COMPUTED_VALUE"""),52.0)</f>
        <v>52</v>
      </c>
      <c r="AE118" s="252" t="str">
        <f>IFERROR(__xludf.DUMMYFUNCTION("""COMPUTED_VALUE"""),"Alerta incidente")</f>
        <v>Alerta incidente</v>
      </c>
      <c r="AF118" s="252">
        <f>IFERROR(__xludf.DUMMYFUNCTION("""COMPUTED_VALUE"""),38.0)</f>
        <v>38</v>
      </c>
      <c r="AG118" s="252" t="str">
        <f>IFERROR(__xludf.DUMMYFUNCTION("""COMPUTED_VALUE"""),"[CP-08 SXBK30] - IVECO TECTOR")</f>
        <v>[CP-08 SXBK30] - IVECO TECTOR</v>
      </c>
      <c r="AH118" s="252">
        <f>IFERROR(__xludf.DUMMYFUNCTION("""COMPUTED_VALUE"""),3504.0)</f>
        <v>3504</v>
      </c>
      <c r="AI118" s="252">
        <f>IFERROR(__xludf.DUMMYFUNCTION("""COMPUTED_VALUE"""),71432.0)</f>
        <v>71432</v>
      </c>
      <c r="AJ118" s="882">
        <f>IFERROR(__xludf.DUMMYFUNCTION("""COMPUTED_VALUE"""),46094.6202662037)</f>
        <v>46094.62027</v>
      </c>
      <c r="AK118" s="882">
        <f>IFERROR(__xludf.DUMMYFUNCTION("""COMPUTED_VALUE"""),46094.62034722222)</f>
        <v>46094.62035</v>
      </c>
      <c r="AL118" s="252"/>
      <c r="AM118" s="880">
        <f>IFERROR(__xludf.DUMMYFUNCTION("""COMPUTED_VALUE"""),73244.0)</f>
        <v>73244</v>
      </c>
      <c r="AN118" s="252" t="str">
        <f>IFERROR(__xludf.DUMMYFUNCTION("""COMPUTED_VALUE"""),"OT260105102128")</f>
        <v>OT260105102128</v>
      </c>
      <c r="AO118" s="252" t="str">
        <f>IFERROR(__xludf.DUMMYFUNCTION("""COMPUTED_VALUE"""),"Km")</f>
        <v>Km</v>
      </c>
      <c r="AP118" s="252" t="str">
        <f>IFERROR(__xludf.DUMMYFUNCTION("""COMPUTED_VALUE"""),"IS260312165214")</f>
        <v>IS260312165214</v>
      </c>
      <c r="AQ118" s="252"/>
      <c r="AR118" s="252">
        <f>IFERROR(__xludf.DUMMYFUNCTION("""COMPUTED_VALUE"""),42800.0)</f>
        <v>42800</v>
      </c>
      <c r="AS118" s="881">
        <f>IFERROR(__xludf.DUMMYFUNCTION("""COMPUTED_VALUE"""),44927.0)</f>
        <v>44927</v>
      </c>
      <c r="AT118" s="881">
        <f>IFERROR(__xludf.DUMMYFUNCTION("""COMPUTED_VALUE"""),44927.0)</f>
        <v>44927</v>
      </c>
      <c r="AU118" s="252" t="str">
        <f>IFERROR(__xludf.DUMMYFUNCTION("""COMPUTED_VALUE"""),"RDC260313164558")</f>
        <v>RDC260313164558</v>
      </c>
      <c r="AV118" s="252" t="str">
        <f>IFERROR(__xludf.DUMMYFUNCTION("""COMPUTED_VALUE"""),"RCO260310091648")</f>
        <v>RCO260310091648</v>
      </c>
      <c r="AW118" s="252">
        <f>IFERROR(__xludf.DUMMYFUNCTION("""COMPUTED_VALUE"""),400.0)</f>
        <v>400</v>
      </c>
      <c r="AX118" s="252">
        <f>IFERROR(__xludf.DUMMYFUNCTION("""COMPUTED_VALUE"""),12.0)</f>
        <v>12</v>
      </c>
      <c r="AY118" s="252">
        <f>IFERROR(__xludf.DUMMYFUNCTION("""COMPUTED_VALUE"""),761.0)</f>
        <v>761</v>
      </c>
      <c r="AZ118" s="883">
        <f>IFERROR(__xludf.DUMMYFUNCTION("""COMPUTED_VALUE"""),46091.0)</f>
        <v>46091</v>
      </c>
    </row>
    <row r="119">
      <c r="A119" s="252" t="str">
        <f>IFERROR(__xludf.DUMMYFUNCTION("""COMPUTED_VALUE"""),"m000018")</f>
        <v>m000018</v>
      </c>
      <c r="B119" s="252" t="str">
        <f>IFERROR(__xludf.DUMMYFUNCTION("""COMPUTED_VALUE"""),"CT-03 RD7433")</f>
        <v>CT-03 RD7433</v>
      </c>
      <c r="C119" s="252" t="str">
        <f>IFERROR(__xludf.DUMMYFUNCTION("""COMPUTED_VALUE"""),"CAMION TOLVA")</f>
        <v>CAMION TOLVA</v>
      </c>
      <c r="D119" s="252" t="str">
        <f>IFERROR(__xludf.DUMMYFUNCTION("""COMPUTED_VALUE"""),"CAMION TOLVA")</f>
        <v>CAMION TOLVA</v>
      </c>
      <c r="E119" s="252" t="str">
        <f>IFERROR(__xludf.DUMMYFUNCTION("""COMPUTED_VALUE"""),"MACK")</f>
        <v>MACK</v>
      </c>
      <c r="F119" s="252" t="str">
        <f>IFERROR(__xludf.DUMMYFUNCTION("""COMPUTED_VALUE"""),"DM 690 S")</f>
        <v>DM 690 S</v>
      </c>
      <c r="G119" s="252">
        <f>IFERROR(__xludf.DUMMYFUNCTION("""COMPUTED_VALUE"""),1997.0)</f>
        <v>1997</v>
      </c>
      <c r="H119" s="252" t="str">
        <f>IFERROR(__xludf.DUMMYFUNCTION("""COMPUTED_VALUE"""),"EM7-300-7D0852")</f>
        <v>EM7-300-7D0852</v>
      </c>
      <c r="I119" s="252" t="str">
        <f>IFERROR(__xludf.DUMMYFUNCTION("""COMPUTED_VALUE"""),"DM690S-21631")</f>
        <v>DM690S-21631</v>
      </c>
      <c r="J119" s="252" t="str">
        <f>IFERROR(__xludf.DUMMYFUNCTION("""COMPUTED_VALUE"""),"RD7433-3")</f>
        <v>RD7433-3</v>
      </c>
      <c r="K119" s="252" t="str">
        <f>IFERROR(__xludf.DUMMYFUNCTION("""COMPUTED_VALUE"""),"ECMA")</f>
        <v>ECMA</v>
      </c>
      <c r="L119" s="252"/>
      <c r="M119" s="252"/>
      <c r="N119" s="252"/>
      <c r="O119" s="252"/>
      <c r="P119" s="252"/>
      <c r="Q119" s="252"/>
      <c r="R119" s="252"/>
      <c r="S119" s="252" t="str">
        <f>IFERROR(__xludf.DUMMYFUNCTION("""COMPUTED_VALUE"""),"12")</f>
        <v>12</v>
      </c>
      <c r="T119" s="252"/>
      <c r="U119" s="252"/>
      <c r="V119" s="252"/>
      <c r="W119" s="252"/>
      <c r="X119" s="252"/>
      <c r="Y119" s="252"/>
      <c r="Z119" s="252"/>
      <c r="AA119" s="252"/>
      <c r="AB119" s="252" t="str">
        <f>IFERROR(__xludf.DUMMYFUNCTION("""COMPUTED_VALUE"""),"Patio LL")</f>
        <v>Patio LL</v>
      </c>
      <c r="AC119" s="252"/>
      <c r="AD119" s="252">
        <f>IFERROR(__xludf.DUMMYFUNCTION("""COMPUTED_VALUE"""),215.0)</f>
        <v>215</v>
      </c>
      <c r="AE119" s="252" t="str">
        <f>IFERROR(__xludf.DUMMYFUNCTION("""COMPUTED_VALUE"""),"Sin incidentes")</f>
        <v>Sin incidentes</v>
      </c>
      <c r="AF119" s="252">
        <f>IFERROR(__xludf.DUMMYFUNCTION("""COMPUTED_VALUE"""),1.0)</f>
        <v>1</v>
      </c>
      <c r="AG119" s="252" t="str">
        <f>IFERROR(__xludf.DUMMYFUNCTION("""COMPUTED_VALUE"""),"[CT-03 RD7433] - MACK DM 690 S")</f>
        <v>[CT-03 RD7433] - MACK DM 690 S</v>
      </c>
      <c r="AH119" s="252">
        <f>IFERROR(__xludf.DUMMYFUNCTION("""COMPUTED_VALUE"""),752.0)</f>
        <v>752</v>
      </c>
      <c r="AI119" s="252">
        <f>IFERROR(__xludf.DUMMYFUNCTION("""COMPUTED_VALUE"""),999999.0)</f>
        <v>999999</v>
      </c>
      <c r="AJ119" s="882">
        <f>IFERROR(__xludf.DUMMYFUNCTION("""COMPUTED_VALUE"""),46069.65440972222)</f>
        <v>46069.65441</v>
      </c>
      <c r="AK119" s="882">
        <f>IFERROR(__xludf.DUMMYFUNCTION("""COMPUTED_VALUE"""),46065.272465277776)</f>
        <v>46065.27247</v>
      </c>
      <c r="AL119" s="880">
        <f>IFERROR(__xludf.DUMMYFUNCTION("""COMPUTED_VALUE"""),783.0)</f>
        <v>783</v>
      </c>
      <c r="AM119" s="252"/>
      <c r="AN119" s="252" t="str">
        <f>IFERROR(__xludf.DUMMYFUNCTION("""COMPUTED_VALUE"""),"OT251124103018")</f>
        <v>OT251124103018</v>
      </c>
      <c r="AO119" s="252" t="str">
        <f>IFERROR(__xludf.DUMMYFUNCTION("""COMPUTED_VALUE"""),"Hr")</f>
        <v>Hr</v>
      </c>
      <c r="AP119" s="252" t="str">
        <f>IFERROR(__xludf.DUMMYFUNCTION("""COMPUTED_VALUE"""),"IS250408151820")</f>
        <v>IS250408151820</v>
      </c>
      <c r="AQ119" s="252">
        <f>IFERROR(__xludf.DUMMYFUNCTION("""COMPUTED_VALUE"""),274.0)</f>
        <v>274</v>
      </c>
      <c r="AR119" s="252"/>
      <c r="AS119" s="881">
        <f>IFERROR(__xludf.DUMMYFUNCTION("""COMPUTED_VALUE"""),44927.0)</f>
        <v>44927</v>
      </c>
      <c r="AT119" s="881">
        <f>IFERROR(__xludf.DUMMYFUNCTION("""COMPUTED_VALUE"""),44927.0)</f>
        <v>44927</v>
      </c>
      <c r="AU119" s="252" t="str">
        <f>IFERROR(__xludf.DUMMYFUNCTION("""COMPUTED_VALUE"""),"RDC260216174059")</f>
        <v>RDC260216174059</v>
      </c>
      <c r="AV119" s="252" t="str">
        <f>IFERROR(__xludf.DUMMYFUNCTION("""COMPUTED_VALUE"""),"RCO260212082428")</f>
        <v>RCO260212082428</v>
      </c>
      <c r="AW119" s="252">
        <f>IFERROR(__xludf.DUMMYFUNCTION("""COMPUTED_VALUE"""),169.0)</f>
        <v>169</v>
      </c>
      <c r="AX119" s="252">
        <f>IFERROR(__xludf.DUMMYFUNCTION("""COMPUTED_VALUE"""),36.0)</f>
        <v>36</v>
      </c>
      <c r="AY119" s="252">
        <f>IFERROR(__xludf.DUMMYFUNCTION("""COMPUTED_VALUE"""),0.0)</f>
        <v>0</v>
      </c>
      <c r="AZ119" s="883">
        <f>IFERROR(__xludf.DUMMYFUNCTION("""COMPUTED_VALUE"""),46065.0)</f>
        <v>46065</v>
      </c>
    </row>
    <row r="120">
      <c r="A120" s="252" t="str">
        <f>IFERROR(__xludf.DUMMYFUNCTION("""COMPUTED_VALUE"""),"m000021")</f>
        <v>m000021</v>
      </c>
      <c r="B120" s="252" t="str">
        <f>IFERROR(__xludf.DUMMYFUNCTION("""COMPUTED_VALUE"""),"CT-06 BSLY79")</f>
        <v>CT-06 BSLY79</v>
      </c>
      <c r="C120" s="252" t="str">
        <f>IFERROR(__xludf.DUMMYFUNCTION("""COMPUTED_VALUE"""),"CAMION TOLVA")</f>
        <v>CAMION TOLVA</v>
      </c>
      <c r="D120" s="252" t="str">
        <f>IFERROR(__xludf.DUMMYFUNCTION("""COMPUTED_VALUE"""),"TOLVA")</f>
        <v>TOLVA</v>
      </c>
      <c r="E120" s="252" t="str">
        <f>IFERROR(__xludf.DUMMYFUNCTION("""COMPUTED_VALUE"""),"FREIGHTLINER")</f>
        <v>FREIGHTLINER</v>
      </c>
      <c r="F120" s="252" t="str">
        <f>IFERROR(__xludf.DUMMYFUNCTION("""COMPUTED_VALUE"""),"M2 106")</f>
        <v>M2 106</v>
      </c>
      <c r="G120" s="252">
        <f>IFERROR(__xludf.DUMMYFUNCTION("""COMPUTED_VALUE"""),2010.0)</f>
        <v>2010</v>
      </c>
      <c r="H120" s="252">
        <f>IFERROR(__xludf.DUMMYFUNCTION("""COMPUTED_VALUE"""),9.0698000736862E13)</f>
        <v>90698000736862</v>
      </c>
      <c r="I120" s="252" t="str">
        <f>IFERROR(__xludf.DUMMYFUNCTION("""COMPUTED_VALUE"""),"1FVHCYCS29HAJ1481")</f>
        <v>1FVHCYCS29HAJ1481</v>
      </c>
      <c r="J120" s="252" t="str">
        <f>IFERROR(__xludf.DUMMYFUNCTION("""COMPUTED_VALUE"""),"BSLY79-2")</f>
        <v>BSLY79-2</v>
      </c>
      <c r="K120" s="252" t="str">
        <f>IFERROR(__xludf.DUMMYFUNCTION("""COMPUTED_VALUE"""),"JHL")</f>
        <v>JHL</v>
      </c>
      <c r="L120" s="252"/>
      <c r="M120" s="252"/>
      <c r="N120" s="252"/>
      <c r="O120" s="252"/>
      <c r="P120" s="252"/>
      <c r="Q120" s="252"/>
      <c r="R120" s="252"/>
      <c r="S120" s="252" t="str">
        <f>IFERROR(__xludf.DUMMYFUNCTION("""COMPUTED_VALUE"""),"10")</f>
        <v>10</v>
      </c>
      <c r="T120" s="252"/>
      <c r="U120" s="252"/>
      <c r="V120" s="252">
        <f>IFERROR(__xludf.DUMMYFUNCTION("""COMPUTED_VALUE"""),0.0)</f>
        <v>0</v>
      </c>
      <c r="W120" s="252">
        <f>IFERROR(__xludf.DUMMYFUNCTION("""COMPUTED_VALUE"""),5.0)</f>
        <v>5</v>
      </c>
      <c r="X120" s="252">
        <f>IFERROR(__xludf.DUMMYFUNCTION("""COMPUTED_VALUE"""),6.0)</f>
        <v>6</v>
      </c>
      <c r="Y120" s="252">
        <f>IFERROR(__xludf.DUMMYFUNCTION("""COMPUTED_VALUE"""),5.0)</f>
        <v>5</v>
      </c>
      <c r="Z120" s="252">
        <f>IFERROR(__xludf.DUMMYFUNCTION("""COMPUTED_VALUE"""),9.0)</f>
        <v>9</v>
      </c>
      <c r="AA120" s="252">
        <f>IFERROR(__xludf.DUMMYFUNCTION("""COMPUTED_VALUE"""),9.0)</f>
        <v>9</v>
      </c>
      <c r="AB120" s="252" t="str">
        <f>IFERROR(__xludf.DUMMYFUNCTION("""COMPUTED_VALUE"""),"Patio LL")</f>
        <v>Patio LL</v>
      </c>
      <c r="AC120" s="252"/>
      <c r="AD120" s="252">
        <f>IFERROR(__xludf.DUMMYFUNCTION("""COMPUTED_VALUE"""),979.0)</f>
        <v>979</v>
      </c>
      <c r="AE120" s="252" t="str">
        <f>IFERROR(__xludf.DUMMYFUNCTION("""COMPUTED_VALUE"""),"Sin incidentes")</f>
        <v>Sin incidentes</v>
      </c>
      <c r="AF120" s="252">
        <f>IFERROR(__xludf.DUMMYFUNCTION("""COMPUTED_VALUE"""),1.0)</f>
        <v>1</v>
      </c>
      <c r="AG120" s="252" t="str">
        <f>IFERROR(__xludf.DUMMYFUNCTION("""COMPUTED_VALUE"""),"[CT-06 BSLY79] - FREIGHTLINER M2 106")</f>
        <v>[CT-06 BSLY79] - FREIGHTLINER M2 106</v>
      </c>
      <c r="AH120" s="252">
        <f>IFERROR(__xludf.DUMMYFUNCTION("""COMPUTED_VALUE"""),22191.0)</f>
        <v>22191</v>
      </c>
      <c r="AI120" s="252">
        <f>IFERROR(__xludf.DUMMYFUNCTION("""COMPUTED_VALUE"""),373792.0)</f>
        <v>373792</v>
      </c>
      <c r="AJ120" s="882">
        <f>IFERROR(__xludf.DUMMYFUNCTION("""COMPUTED_VALUE"""),46097.274664351855)</f>
        <v>46097.27466</v>
      </c>
      <c r="AK120" s="882">
        <f>IFERROR(__xludf.DUMMYFUNCTION("""COMPUTED_VALUE"""),46075.50478009259)</f>
        <v>46075.50478</v>
      </c>
      <c r="AL120" s="880">
        <f>IFERROR(__xludf.DUMMYFUNCTION("""COMPUTED_VALUE"""),21753.0)</f>
        <v>21753</v>
      </c>
      <c r="AM120" s="252"/>
      <c r="AN120" s="252" t="str">
        <f>IFERROR(__xludf.DUMMYFUNCTION("""COMPUTED_VALUE"""),"OT251009084956")</f>
        <v>OT251009084956</v>
      </c>
      <c r="AO120" s="252" t="str">
        <f>IFERROR(__xludf.DUMMYFUNCTION("""COMPUTED_VALUE"""),"Hr")</f>
        <v>Hr</v>
      </c>
      <c r="AP120" s="252" t="str">
        <f>IFERROR(__xludf.DUMMYFUNCTION("""COMPUTED_VALUE"""),"IS251027174531")</f>
        <v>IS251027174531</v>
      </c>
      <c r="AQ120" s="252"/>
      <c r="AR120" s="252">
        <f>IFERROR(__xludf.DUMMYFUNCTION("""COMPUTED_VALUE"""),20679.0)</f>
        <v>20679</v>
      </c>
      <c r="AS120" s="881">
        <f>IFERROR(__xludf.DUMMYFUNCTION("""COMPUTED_VALUE"""),44927.0)</f>
        <v>44927</v>
      </c>
      <c r="AT120" s="881">
        <f>IFERROR(__xludf.DUMMYFUNCTION("""COMPUTED_VALUE"""),44927.0)</f>
        <v>44927</v>
      </c>
      <c r="AU120" s="252" t="str">
        <f>IFERROR(__xludf.DUMMYFUNCTION("""COMPUTED_VALUE"""),"RDC260316083435")</f>
        <v>RDC260316083435</v>
      </c>
      <c r="AV120" s="252" t="str">
        <f>IFERROR(__xludf.DUMMYFUNCTION("""COMPUTED_VALUE"""),"RCO260222140540")</f>
        <v>RCO260222140540</v>
      </c>
      <c r="AW120" s="252">
        <f>IFERROR(__xludf.DUMMYFUNCTION("""COMPUTED_VALUE"""),130.0)</f>
        <v>130</v>
      </c>
      <c r="AX120" s="252">
        <f>IFERROR(__xludf.DUMMYFUNCTION("""COMPUTED_VALUE"""),20.0)</f>
        <v>20</v>
      </c>
      <c r="AY120" s="252">
        <f>IFERROR(__xludf.DUMMYFUNCTION("""COMPUTED_VALUE"""),0.0)</f>
        <v>0</v>
      </c>
      <c r="AZ120" s="884">
        <f>IFERROR(__xludf.DUMMYFUNCTION("""COMPUTED_VALUE"""),46075.0)</f>
        <v>46075</v>
      </c>
    </row>
    <row r="121">
      <c r="A121" s="252" t="str">
        <f>IFERROR(__xludf.DUMMYFUNCTION("""COMPUTED_VALUE"""),"m000022")</f>
        <v>m000022</v>
      </c>
      <c r="B121" s="252" t="str">
        <f>IFERROR(__xludf.DUMMYFUNCTION("""COMPUTED_VALUE"""),"CT-07 CHPV26")</f>
        <v>CT-07 CHPV26</v>
      </c>
      <c r="C121" s="252" t="str">
        <f>IFERROR(__xludf.DUMMYFUNCTION("""COMPUTED_VALUE"""),"CAMION TOLVA")</f>
        <v>CAMION TOLVA</v>
      </c>
      <c r="D121" s="252" t="str">
        <f>IFERROR(__xludf.DUMMYFUNCTION("""COMPUTED_VALUE"""),"TOLVA")</f>
        <v>TOLVA</v>
      </c>
      <c r="E121" s="252" t="str">
        <f>IFERROR(__xludf.DUMMYFUNCTION("""COMPUTED_VALUE"""),"FREIGHTLINER")</f>
        <v>FREIGHTLINER</v>
      </c>
      <c r="F121" s="252" t="str">
        <f>IFERROR(__xludf.DUMMYFUNCTION("""COMPUTED_VALUE"""),"M2 112")</f>
        <v>M2 112</v>
      </c>
      <c r="G121" s="252">
        <f>IFERROR(__xludf.DUMMYFUNCTION("""COMPUTED_VALUE"""),2010.0)</f>
        <v>2010</v>
      </c>
      <c r="H121" s="252" t="str">
        <f>IFERROR(__xludf.DUMMYFUNCTION("""COMPUTED_VALUE"""),"460908U0902112")</f>
        <v>460908U0902112</v>
      </c>
      <c r="I121" s="252" t="str">
        <f>IFERROR(__xludf.DUMMYFUNCTION("""COMPUTED_VALUE"""),"1FVHC5CV89HAD6552")</f>
        <v>1FVHC5CV89HAD6552</v>
      </c>
      <c r="J121" s="252" t="str">
        <f>IFERROR(__xludf.DUMMYFUNCTION("""COMPUTED_VALUE"""),"CHPV26-0")</f>
        <v>CHPV26-0</v>
      </c>
      <c r="K121" s="252" t="str">
        <f>IFERROR(__xludf.DUMMYFUNCTION("""COMPUTED_VALUE"""),"JHL")</f>
        <v>JHL</v>
      </c>
      <c r="L121" s="252"/>
      <c r="M121" s="252"/>
      <c r="N121" s="252"/>
      <c r="O121" s="252"/>
      <c r="P121" s="252"/>
      <c r="Q121" s="252"/>
      <c r="R121" s="252"/>
      <c r="S121" s="252" t="str">
        <f>IFERROR(__xludf.DUMMYFUNCTION("""COMPUTED_VALUE"""),"12")</f>
        <v>12</v>
      </c>
      <c r="T121" s="252"/>
      <c r="U121" s="252"/>
      <c r="V121" s="252">
        <f>IFERROR(__xludf.DUMMYFUNCTION("""COMPUTED_VALUE"""),0.0)</f>
        <v>0</v>
      </c>
      <c r="W121" s="252">
        <f>IFERROR(__xludf.DUMMYFUNCTION("""COMPUTED_VALUE"""),5.0)</f>
        <v>5</v>
      </c>
      <c r="X121" s="252">
        <f>IFERROR(__xludf.DUMMYFUNCTION("""COMPUTED_VALUE"""),6.0)</f>
        <v>6</v>
      </c>
      <c r="Y121" s="252">
        <f>IFERROR(__xludf.DUMMYFUNCTION("""COMPUTED_VALUE"""),5.0)</f>
        <v>5</v>
      </c>
      <c r="Z121" s="252">
        <f>IFERROR(__xludf.DUMMYFUNCTION("""COMPUTED_VALUE"""),9.0)</f>
        <v>9</v>
      </c>
      <c r="AA121" s="252">
        <f>IFERROR(__xludf.DUMMYFUNCTION("""COMPUTED_VALUE"""),9.0)</f>
        <v>9</v>
      </c>
      <c r="AB121" s="252" t="str">
        <f>IFERROR(__xludf.DUMMYFUNCTION("""COMPUTED_VALUE"""),"Reparando en taller")</f>
        <v>Reparando en taller</v>
      </c>
      <c r="AC121" s="252"/>
      <c r="AD121" s="252">
        <f>IFERROR(__xludf.DUMMYFUNCTION("""COMPUTED_VALUE"""),866.0)</f>
        <v>866</v>
      </c>
      <c r="AE121" s="252" t="str">
        <f>IFERROR(__xludf.DUMMYFUNCTION("""COMPUTED_VALUE"""),"Sin incidentes")</f>
        <v>Sin incidentes</v>
      </c>
      <c r="AF121" s="252">
        <f>IFERROR(__xludf.DUMMYFUNCTION("""COMPUTED_VALUE"""),1.0)</f>
        <v>1</v>
      </c>
      <c r="AG121" s="252" t="str">
        <f>IFERROR(__xludf.DUMMYFUNCTION("""COMPUTED_VALUE"""),"[CT-07 CHPV26] - FREIGHTLINER M2 112")</f>
        <v>[CT-07 CHPV26] - FREIGHTLINER M2 112</v>
      </c>
      <c r="AH121" s="252">
        <f>IFERROR(__xludf.DUMMYFUNCTION("""COMPUTED_VALUE"""),19673.0)</f>
        <v>19673</v>
      </c>
      <c r="AI121" s="252">
        <f>IFERROR(__xludf.DUMMYFUNCTION("""COMPUTED_VALUE"""),389728.0)</f>
        <v>389728</v>
      </c>
      <c r="AJ121" s="882">
        <f>IFERROR(__xludf.DUMMYFUNCTION("""COMPUTED_VALUE"""),46070.587905092594)</f>
        <v>46070.58791</v>
      </c>
      <c r="AK121" s="882">
        <f>IFERROR(__xludf.DUMMYFUNCTION("""COMPUTED_VALUE"""),46070.58795138889)</f>
        <v>46070.58795</v>
      </c>
      <c r="AL121" s="880">
        <f>IFERROR(__xludf.DUMMYFUNCTION("""COMPUTED_VALUE"""),19993.0)</f>
        <v>19993</v>
      </c>
      <c r="AM121" s="252"/>
      <c r="AN121" s="252" t="str">
        <f>IFERROR(__xludf.DUMMYFUNCTION("""COMPUTED_VALUE"""),"OT260209103221")</f>
        <v>OT260209103221</v>
      </c>
      <c r="AO121" s="252" t="str">
        <f>IFERROR(__xludf.DUMMYFUNCTION("""COMPUTED_VALUE"""),"Hr")</f>
        <v>Hr</v>
      </c>
      <c r="AP121" s="252" t="str">
        <f>IFERROR(__xludf.DUMMYFUNCTION("""COMPUTED_VALUE"""),"IS250410095507")</f>
        <v>IS250410095507</v>
      </c>
      <c r="AQ121" s="252">
        <f>IFERROR(__xludf.DUMMYFUNCTION("""COMPUTED_VALUE"""),18546.0)</f>
        <v>18546</v>
      </c>
      <c r="AR121" s="252">
        <f>IFERROR(__xludf.DUMMYFUNCTION("""COMPUTED_VALUE"""),370437.0)</f>
        <v>370437</v>
      </c>
      <c r="AS121" s="881">
        <f>IFERROR(__xludf.DUMMYFUNCTION("""COMPUTED_VALUE"""),44927.0)</f>
        <v>44927</v>
      </c>
      <c r="AT121" s="881">
        <f>IFERROR(__xludf.DUMMYFUNCTION("""COMPUTED_VALUE"""),44927.0)</f>
        <v>44927</v>
      </c>
      <c r="AU121" s="252" t="str">
        <f>IFERROR(__xludf.DUMMYFUNCTION("""COMPUTED_VALUE"""),"RDC260205232709")</f>
        <v>RDC260205232709</v>
      </c>
      <c r="AV121" s="252" t="str">
        <f>IFERROR(__xludf.DUMMYFUNCTION("""COMPUTED_VALUE"""),"RCO260203164239")</f>
        <v>RCO260203164239</v>
      </c>
      <c r="AW121" s="252">
        <f>IFERROR(__xludf.DUMMYFUNCTION("""COMPUTED_VALUE"""),194.0)</f>
        <v>194</v>
      </c>
      <c r="AX121" s="252">
        <f>IFERROR(__xludf.DUMMYFUNCTION("""COMPUTED_VALUE"""),22.0)</f>
        <v>22</v>
      </c>
      <c r="AY121" s="252">
        <f>IFERROR(__xludf.DUMMYFUNCTION("""COMPUTED_VALUE"""),319.0)</f>
        <v>319</v>
      </c>
      <c r="AZ121" s="884">
        <f>IFERROR(__xludf.DUMMYFUNCTION("""COMPUTED_VALUE"""),46056.0)</f>
        <v>46056</v>
      </c>
    </row>
    <row r="122">
      <c r="A122" s="252" t="str">
        <f>IFERROR(__xludf.DUMMYFUNCTION("""COMPUTED_VALUE"""),"m000023")</f>
        <v>m000023</v>
      </c>
      <c r="B122" s="252" t="str">
        <f>IFERROR(__xludf.DUMMYFUNCTION("""COMPUTED_VALUE"""),"CT-08 GVFS56")</f>
        <v>CT-08 GVFS56</v>
      </c>
      <c r="C122" s="252" t="str">
        <f>IFERROR(__xludf.DUMMYFUNCTION("""COMPUTED_VALUE"""),"CAMION TOLVA")</f>
        <v>CAMION TOLVA</v>
      </c>
      <c r="D122" s="252" t="str">
        <f>IFERROR(__xludf.DUMMYFUNCTION("""COMPUTED_VALUE"""),"TOLVA")</f>
        <v>TOLVA</v>
      </c>
      <c r="E122" s="252" t="str">
        <f>IFERROR(__xludf.DUMMYFUNCTION("""COMPUTED_VALUE"""),"JAC")</f>
        <v>JAC</v>
      </c>
      <c r="F122" s="252" t="str">
        <f>IFERROR(__xludf.DUMMYFUNCTION("""COMPUTED_VALUE"""),"LANDER HFC 3311")</f>
        <v>LANDER HFC 3311</v>
      </c>
      <c r="G122" s="252">
        <f>IFERROR(__xludf.DUMMYFUNCTION("""COMPUTED_VALUE"""),2014.0)</f>
        <v>2014</v>
      </c>
      <c r="H122" s="252" t="str">
        <f>IFERROR(__xludf.DUMMYFUNCTION("""COMPUTED_VALUE"""),"1613C043247")</f>
        <v>1613C043247</v>
      </c>
      <c r="I122" s="252" t="str">
        <f>IFERROR(__xludf.DUMMYFUNCTION("""COMPUTED_VALUE"""),"LJ13R6DJ6D3303826")</f>
        <v>LJ13R6DJ6D3303826</v>
      </c>
      <c r="J122" s="252" t="str">
        <f>IFERROR(__xludf.DUMMYFUNCTION("""COMPUTED_VALUE"""),"GVFS56-8")</f>
        <v>GVFS56-8</v>
      </c>
      <c r="K122" s="252" t="str">
        <f>IFERROR(__xludf.DUMMYFUNCTION("""COMPUTED_VALUE"""),"ECMA")</f>
        <v>ECMA</v>
      </c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>
        <f>IFERROR(__xludf.DUMMYFUNCTION("""COMPUTED_VALUE"""),0.0)</f>
        <v>0</v>
      </c>
      <c r="W122" s="252">
        <f>IFERROR(__xludf.DUMMYFUNCTION("""COMPUTED_VALUE"""),5.0)</f>
        <v>5</v>
      </c>
      <c r="X122" s="252">
        <f>IFERROR(__xludf.DUMMYFUNCTION("""COMPUTED_VALUE"""),6.0)</f>
        <v>6</v>
      </c>
      <c r="Y122" s="252">
        <f>IFERROR(__xludf.DUMMYFUNCTION("""COMPUTED_VALUE"""),5.0)</f>
        <v>5</v>
      </c>
      <c r="Z122" s="252">
        <f>IFERROR(__xludf.DUMMYFUNCTION("""COMPUTED_VALUE"""),9.0)</f>
        <v>9</v>
      </c>
      <c r="AA122" s="252">
        <f>IFERROR(__xludf.DUMMYFUNCTION("""COMPUTED_VALUE"""),9.0)</f>
        <v>9</v>
      </c>
      <c r="AB122" s="252" t="str">
        <f>IFERROR(__xludf.DUMMYFUNCTION("""COMPUTED_VALUE"""),"Discontinuado")</f>
        <v>Discontinuado</v>
      </c>
      <c r="AC122" s="252"/>
      <c r="AD122" s="252"/>
      <c r="AE122" s="252" t="str">
        <f>IFERROR(__xludf.DUMMYFUNCTION("""COMPUTED_VALUE"""),"Sin incidentes")</f>
        <v>Sin incidentes</v>
      </c>
      <c r="AF122" s="252">
        <f>IFERROR(__xludf.DUMMYFUNCTION("""COMPUTED_VALUE"""),1.0)</f>
        <v>1</v>
      </c>
      <c r="AG122" s="252" t="str">
        <f>IFERROR(__xludf.DUMMYFUNCTION("""COMPUTED_VALUE"""),"[CT-08 GVFS56] - JAC LANDER HFC 3311")</f>
        <v>[CT-08 GVFS56] - JAC LANDER HFC 3311</v>
      </c>
      <c r="AH122" s="252">
        <f>IFERROR(__xludf.DUMMYFUNCTION("""COMPUTED_VALUE"""),6537.0)</f>
        <v>6537</v>
      </c>
      <c r="AI122" s="252">
        <f>IFERROR(__xludf.DUMMYFUNCTION("""COMPUTED_VALUE"""),23129.0)</f>
        <v>23129</v>
      </c>
      <c r="AJ122" s="882">
        <f>IFERROR(__xludf.DUMMYFUNCTION("""COMPUTED_VALUE"""),45758.39579861111)</f>
        <v>45758.3958</v>
      </c>
      <c r="AK122" s="882">
        <f>IFERROR(__xludf.DUMMYFUNCTION("""COMPUTED_VALUE"""),45888.69436342592)</f>
        <v>45888.69436</v>
      </c>
      <c r="AL122" s="880">
        <f>IFERROR(__xludf.DUMMYFUNCTION("""COMPUTED_VALUE"""),6481.0)</f>
        <v>6481</v>
      </c>
      <c r="AM122" s="880">
        <f>IFERROR(__xludf.DUMMYFUNCTION("""COMPUTED_VALUE"""),10000.0)</f>
        <v>10000</v>
      </c>
      <c r="AN122" s="252"/>
      <c r="AO122" s="252" t="str">
        <f>IFERROR(__xludf.DUMMYFUNCTION("""COMPUTED_VALUE"""),"Hr")</f>
        <v>Hr</v>
      </c>
      <c r="AP122" s="252"/>
      <c r="AQ122" s="252"/>
      <c r="AR122" s="252">
        <f>IFERROR(__xludf.DUMMYFUNCTION("""COMPUTED_VALUE"""),6488.0)</f>
        <v>6488</v>
      </c>
      <c r="AS122" s="881">
        <f>IFERROR(__xludf.DUMMYFUNCTION("""COMPUTED_VALUE"""),44927.0)</f>
        <v>44927</v>
      </c>
      <c r="AT122" s="881">
        <f>IFERROR(__xludf.DUMMYFUNCTION("""COMPUTED_VALUE"""),44927.0)</f>
        <v>44927</v>
      </c>
      <c r="AU122" s="252" t="str">
        <f>IFERROR(__xludf.DUMMYFUNCTION("""COMPUTED_VALUE"""),"RDC241111103853")</f>
        <v>RDC241111103853</v>
      </c>
      <c r="AV122" s="252"/>
      <c r="AW122" s="252"/>
      <c r="AX122" s="252"/>
      <c r="AY122" s="252"/>
      <c r="AZ122" s="252"/>
    </row>
    <row r="123">
      <c r="A123" s="252" t="str">
        <f>IFERROR(__xludf.DUMMYFUNCTION("""COMPUTED_VALUE"""),"m000024")</f>
        <v>m000024</v>
      </c>
      <c r="B123" s="252" t="str">
        <f>IFERROR(__xludf.DUMMYFUNCTION("""COMPUTED_VALUE"""),"CT-09 GGFY95")</f>
        <v>CT-09 GGFY95</v>
      </c>
      <c r="C123" s="252" t="str">
        <f>IFERROR(__xludf.DUMMYFUNCTION("""COMPUTED_VALUE"""),"CAMION TOLVA")</f>
        <v>CAMION TOLVA</v>
      </c>
      <c r="D123" s="252" t="str">
        <f>IFERROR(__xludf.DUMMYFUNCTION("""COMPUTED_VALUE"""),"TOLVA")</f>
        <v>TOLVA</v>
      </c>
      <c r="E123" s="252" t="str">
        <f>IFERROR(__xludf.DUMMYFUNCTION("""COMPUTED_VALUE"""),"JAC")</f>
        <v>JAC</v>
      </c>
      <c r="F123" s="252" t="str">
        <f>IFERROR(__xludf.DUMMYFUNCTION("""COMPUTED_VALUE"""),"LANDER HFC 3311")</f>
        <v>LANDER HFC 3311</v>
      </c>
      <c r="G123" s="252">
        <f>IFERROR(__xludf.DUMMYFUNCTION("""COMPUTED_VALUE"""),2014.0)</f>
        <v>2014</v>
      </c>
      <c r="H123" s="252" t="str">
        <f>IFERROR(__xludf.DUMMYFUNCTION("""COMPUTED_VALUE"""),"1613F104225")</f>
        <v>1613F104225</v>
      </c>
      <c r="I123" s="252" t="str">
        <f>IFERROR(__xludf.DUMMYFUNCTION("""COMPUTED_VALUE"""),"LJ13R6DJ1E3300236")</f>
        <v>LJ13R6DJ1E3300236</v>
      </c>
      <c r="J123" s="252" t="str">
        <f>IFERROR(__xludf.DUMMYFUNCTION("""COMPUTED_VALUE"""),"GGFY95-0")</f>
        <v>GGFY95-0</v>
      </c>
      <c r="K123" s="252" t="str">
        <f>IFERROR(__xludf.DUMMYFUNCTION("""COMPUTED_VALUE"""),"KOMATSU FRANCE")</f>
        <v>KOMATSU FRANCE</v>
      </c>
      <c r="L123" s="252"/>
      <c r="M123" s="252"/>
      <c r="N123" s="252"/>
      <c r="O123" s="252"/>
      <c r="P123" s="252"/>
      <c r="Q123" s="252"/>
      <c r="R123" s="252"/>
      <c r="S123" s="252" t="str">
        <f>IFERROR(__xludf.DUMMYFUNCTION("""COMPUTED_VALUE"""),"14")</f>
        <v>14</v>
      </c>
      <c r="T123" s="252"/>
      <c r="U123" s="252"/>
      <c r="V123" s="252">
        <f>IFERROR(__xludf.DUMMYFUNCTION("""COMPUTED_VALUE"""),0.0)</f>
        <v>0</v>
      </c>
      <c r="W123" s="252">
        <f>IFERROR(__xludf.DUMMYFUNCTION("""COMPUTED_VALUE"""),5.0)</f>
        <v>5</v>
      </c>
      <c r="X123" s="252">
        <f>IFERROR(__xludf.DUMMYFUNCTION("""COMPUTED_VALUE"""),6.0)</f>
        <v>6</v>
      </c>
      <c r="Y123" s="252">
        <f>IFERROR(__xludf.DUMMYFUNCTION("""COMPUTED_VALUE"""),5.0)</f>
        <v>5</v>
      </c>
      <c r="Z123" s="252">
        <f>IFERROR(__xludf.DUMMYFUNCTION("""COMPUTED_VALUE"""),9.0)</f>
        <v>9</v>
      </c>
      <c r="AA123" s="252">
        <f>IFERROR(__xludf.DUMMYFUNCTION("""COMPUTED_VALUE"""),9.0)</f>
        <v>9</v>
      </c>
      <c r="AB123" s="252" t="str">
        <f>IFERROR(__xludf.DUMMYFUNCTION("""COMPUTED_VALUE"""),"Discontinuado")</f>
        <v>Discontinuado</v>
      </c>
      <c r="AC123" s="252"/>
      <c r="AD123" s="252"/>
      <c r="AE123" s="252" t="str">
        <f>IFERROR(__xludf.DUMMYFUNCTION("""COMPUTED_VALUE"""),"Alerta incidente")</f>
        <v>Alerta incidente</v>
      </c>
      <c r="AF123" s="252">
        <f>IFERROR(__xludf.DUMMYFUNCTION("""COMPUTED_VALUE"""),8.0)</f>
        <v>8</v>
      </c>
      <c r="AG123" s="252" t="str">
        <f>IFERROR(__xludf.DUMMYFUNCTION("""COMPUTED_VALUE"""),"[CT-09 GGFY95] - JAC LANDER HFC 3311")</f>
        <v>[CT-09 GGFY95] - JAC LANDER HFC 3311</v>
      </c>
      <c r="AH123" s="252">
        <f>IFERROR(__xludf.DUMMYFUNCTION("""COMPUTED_VALUE"""),3590.0)</f>
        <v>3590</v>
      </c>
      <c r="AI123" s="252">
        <f>IFERROR(__xludf.DUMMYFUNCTION("""COMPUTED_VALUE"""),227621.0)</f>
        <v>227621</v>
      </c>
      <c r="AJ123" s="882">
        <f>IFERROR(__xludf.DUMMYFUNCTION("""COMPUTED_VALUE"""),46069.66392361111)</f>
        <v>46069.66392</v>
      </c>
      <c r="AK123" s="882">
        <f>IFERROR(__xludf.DUMMYFUNCTION("""COMPUTED_VALUE"""),46069.66396990741)</f>
        <v>46069.66397</v>
      </c>
      <c r="AL123" s="880">
        <f>IFERROR(__xludf.DUMMYFUNCTION("""COMPUTED_VALUE"""),3794.0)</f>
        <v>3794</v>
      </c>
      <c r="AM123" s="252"/>
      <c r="AN123" s="252" t="str">
        <f>IFERROR(__xludf.DUMMYFUNCTION("""COMPUTED_VALUE"""),"OT251117160735")</f>
        <v>OT251117160735</v>
      </c>
      <c r="AO123" s="252" t="str">
        <f>IFERROR(__xludf.DUMMYFUNCTION("""COMPUTED_VALUE"""),"Hr")</f>
        <v>Hr</v>
      </c>
      <c r="AP123" s="252" t="str">
        <f>IFERROR(__xludf.DUMMYFUNCTION("""COMPUTED_VALUE"""),"IS251216154509")</f>
        <v>IS251216154509</v>
      </c>
      <c r="AQ123" s="252">
        <f>IFERROR(__xludf.DUMMYFUNCTION("""COMPUTED_VALUE"""),2696.0)</f>
        <v>2696</v>
      </c>
      <c r="AR123" s="252"/>
      <c r="AS123" s="881">
        <f>IFERROR(__xludf.DUMMYFUNCTION("""COMPUTED_VALUE"""),44927.0)</f>
        <v>44927</v>
      </c>
      <c r="AT123" s="881">
        <f>IFERROR(__xludf.DUMMYFUNCTION("""COMPUTED_VALUE"""),44927.0)</f>
        <v>44927</v>
      </c>
      <c r="AU123" s="252" t="str">
        <f>IFERROR(__xludf.DUMMYFUNCTION("""COMPUTED_VALUE"""),"RDC251218152829")</f>
        <v>RDC251218152829</v>
      </c>
      <c r="AV123" s="252" t="str">
        <f>IFERROR(__xludf.DUMMYFUNCTION("""COMPUTED_VALUE"""),"RCO251216151420")</f>
        <v>RCO251216151420</v>
      </c>
      <c r="AW123" s="252">
        <f>IFERROR(__xludf.DUMMYFUNCTION("""COMPUTED_VALUE"""),260.0)</f>
        <v>260</v>
      </c>
      <c r="AX123" s="252">
        <f>IFERROR(__xludf.DUMMYFUNCTION("""COMPUTED_VALUE"""),22.0)</f>
        <v>22</v>
      </c>
      <c r="AY123" s="252">
        <f>IFERROR(__xludf.DUMMYFUNCTION("""COMPUTED_VALUE"""),0.0)</f>
        <v>0</v>
      </c>
      <c r="AZ123" s="884">
        <f>IFERROR(__xludf.DUMMYFUNCTION("""COMPUTED_VALUE"""),46007.0)</f>
        <v>46007</v>
      </c>
    </row>
    <row r="124">
      <c r="A124" s="252" t="str">
        <f>IFERROR(__xludf.DUMMYFUNCTION("""COMPUTED_VALUE"""),"m000025")</f>
        <v>m000025</v>
      </c>
      <c r="B124" s="252" t="str">
        <f>IFERROR(__xludf.DUMMYFUNCTION("""COMPUTED_VALUE"""),"CT-10 HKDX21")</f>
        <v>CT-10 HKDX21</v>
      </c>
      <c r="C124" s="252" t="str">
        <f>IFERROR(__xludf.DUMMYFUNCTION("""COMPUTED_VALUE"""),"CAMION TOLVA")</f>
        <v>CAMION TOLVA</v>
      </c>
      <c r="D124" s="252" t="str">
        <f>IFERROR(__xludf.DUMMYFUNCTION("""COMPUTED_VALUE"""),"TOLVA")</f>
        <v>TOLVA</v>
      </c>
      <c r="E124" s="252" t="str">
        <f>IFERROR(__xludf.DUMMYFUNCTION("""COMPUTED_VALUE"""),"FOTON")</f>
        <v>FOTON</v>
      </c>
      <c r="F124" s="252" t="str">
        <f>IFERROR(__xludf.DUMMYFUNCTION("""COMPUTED_VALUE"""),"AUMAN 3239")</f>
        <v>AUMAN 3239</v>
      </c>
      <c r="G124" s="252">
        <f>IFERROR(__xludf.DUMMYFUNCTION("""COMPUTED_VALUE"""),2015.0)</f>
        <v>2015</v>
      </c>
      <c r="H124" s="252">
        <f>IFERROR(__xludf.DUMMYFUNCTION("""COMPUTED_VALUE"""),7.1019308E7)</f>
        <v>71019308</v>
      </c>
      <c r="I124" s="252" t="str">
        <f>IFERROR(__xludf.DUMMYFUNCTION("""COMPUTED_VALUE"""),"LRDV6PEC8DH001488")</f>
        <v>LRDV6PEC8DH001488</v>
      </c>
      <c r="J124" s="252" t="str">
        <f>IFERROR(__xludf.DUMMYFUNCTION("""COMPUTED_VALUE"""),"HKDX21-2")</f>
        <v>HKDX21-2</v>
      </c>
      <c r="K124" s="252" t="str">
        <f>IFERROR(__xludf.DUMMYFUNCTION("""COMPUTED_VALUE"""),"ECMA")</f>
        <v>ECMA</v>
      </c>
      <c r="L124" s="252"/>
      <c r="M124" s="252"/>
      <c r="N124" s="252"/>
      <c r="O124" s="252"/>
      <c r="P124" s="252"/>
      <c r="Q124" s="252"/>
      <c r="R124" s="252"/>
      <c r="S124" s="252" t="str">
        <f>IFERROR(__xludf.DUMMYFUNCTION("""COMPUTED_VALUE"""),"14")</f>
        <v>14</v>
      </c>
      <c r="T124" s="252"/>
      <c r="U124" s="252"/>
      <c r="V124" s="252">
        <f>IFERROR(__xludf.DUMMYFUNCTION("""COMPUTED_VALUE"""),0.0)</f>
        <v>0</v>
      </c>
      <c r="W124" s="252">
        <f>IFERROR(__xludf.DUMMYFUNCTION("""COMPUTED_VALUE"""),4.0)</f>
        <v>4</v>
      </c>
      <c r="X124" s="252">
        <f>IFERROR(__xludf.DUMMYFUNCTION("""COMPUTED_VALUE"""),4.0)</f>
        <v>4</v>
      </c>
      <c r="Y124" s="252">
        <f>IFERROR(__xludf.DUMMYFUNCTION("""COMPUTED_VALUE"""),4.0)</f>
        <v>4</v>
      </c>
      <c r="Z124" s="252">
        <f>IFERROR(__xludf.DUMMYFUNCTION("""COMPUTED_VALUE"""),8.0)</f>
        <v>8</v>
      </c>
      <c r="AA124" s="252">
        <f>IFERROR(__xludf.DUMMYFUNCTION("""COMPUTED_VALUE"""),8.0)</f>
        <v>8</v>
      </c>
      <c r="AB124" s="252" t="str">
        <f>IFERROR(__xludf.DUMMYFUNCTION("""COMPUTED_VALUE"""),"En producción")</f>
        <v>En producción</v>
      </c>
      <c r="AC124" s="252"/>
      <c r="AD124" s="252">
        <f>IFERROR(__xludf.DUMMYFUNCTION("""COMPUTED_VALUE"""),88.0)</f>
        <v>88</v>
      </c>
      <c r="AE124" s="252" t="str">
        <f>IFERROR(__xludf.DUMMYFUNCTION("""COMPUTED_VALUE"""),"Alerta incidente")</f>
        <v>Alerta incidente</v>
      </c>
      <c r="AF124" s="252">
        <f>IFERROR(__xludf.DUMMYFUNCTION("""COMPUTED_VALUE"""),3.0)</f>
        <v>3</v>
      </c>
      <c r="AG124" s="252" t="str">
        <f>IFERROR(__xludf.DUMMYFUNCTION("""COMPUTED_VALUE"""),"[CT-10 HKDX21] - FOTON AUMAN 3239")</f>
        <v>[CT-10 HKDX21] - FOTON AUMAN 3239</v>
      </c>
      <c r="AH124" s="252">
        <f>IFERROR(__xludf.DUMMYFUNCTION("""COMPUTED_VALUE"""),5326.0)</f>
        <v>5326</v>
      </c>
      <c r="AI124" s="252">
        <f>IFERROR(__xludf.DUMMYFUNCTION("""COMPUTED_VALUE"""),459754.0)</f>
        <v>459754</v>
      </c>
      <c r="AJ124" s="882">
        <f>IFERROR(__xludf.DUMMYFUNCTION("""COMPUTED_VALUE"""),46097.27475694445)</f>
        <v>46097.27476</v>
      </c>
      <c r="AK124" s="882">
        <f>IFERROR(__xludf.DUMMYFUNCTION("""COMPUTED_VALUE"""),46097.27483796296)</f>
        <v>46097.27484</v>
      </c>
      <c r="AL124" s="880">
        <f>IFERROR(__xludf.DUMMYFUNCTION("""COMPUTED_VALUE"""),5409.0)</f>
        <v>5409</v>
      </c>
      <c r="AM124" s="252"/>
      <c r="AN124" s="252" t="str">
        <f>IFERROR(__xludf.DUMMYFUNCTION("""COMPUTED_VALUE"""),"OT251231083044")</f>
        <v>OT251231083044</v>
      </c>
      <c r="AO124" s="252" t="str">
        <f>IFERROR(__xludf.DUMMYFUNCTION("""COMPUTED_VALUE"""),"Hr")</f>
        <v>Hr</v>
      </c>
      <c r="AP124" s="252" t="str">
        <f>IFERROR(__xludf.DUMMYFUNCTION("""COMPUTED_VALUE"""),"IS260312085349")</f>
        <v>IS260312085349</v>
      </c>
      <c r="AQ124" s="252">
        <f>IFERROR(__xludf.DUMMYFUNCTION("""COMPUTED_VALUE"""),4151.0)</f>
        <v>4151</v>
      </c>
      <c r="AR124" s="252">
        <f>IFERROR(__xludf.DUMMYFUNCTION("""COMPUTED_VALUE"""),370059.0)</f>
        <v>370059</v>
      </c>
      <c r="AS124" s="881">
        <f>IFERROR(__xludf.DUMMYFUNCTION("""COMPUTED_VALUE"""),44927.0)</f>
        <v>44927</v>
      </c>
      <c r="AT124" s="881">
        <f>IFERROR(__xludf.DUMMYFUNCTION("""COMPUTED_VALUE"""),44927.0)</f>
        <v>44927</v>
      </c>
      <c r="AU124" s="252" t="str">
        <f>IFERROR(__xludf.DUMMYFUNCTION("""COMPUTED_VALUE"""),"RDC260313170240")</f>
        <v>RDC260313170240</v>
      </c>
      <c r="AV124" s="252" t="str">
        <f>IFERROR(__xludf.DUMMYFUNCTION("""COMPUTED_VALUE"""),"RCO260316080830")</f>
        <v>RCO260316080830</v>
      </c>
      <c r="AW124" s="252">
        <f>IFERROR(__xludf.DUMMYFUNCTION("""COMPUTED_VALUE"""),103.0)</f>
        <v>103</v>
      </c>
      <c r="AX124" s="252">
        <f>IFERROR(__xludf.DUMMYFUNCTION("""COMPUTED_VALUE"""),22.0)</f>
        <v>22</v>
      </c>
      <c r="AY124" s="252">
        <f>IFERROR(__xludf.DUMMYFUNCTION("""COMPUTED_VALUE"""),0.0)</f>
        <v>0</v>
      </c>
      <c r="AZ124" s="884">
        <f>IFERROR(__xludf.DUMMYFUNCTION("""COMPUTED_VALUE"""),46097.0)</f>
        <v>46097</v>
      </c>
    </row>
    <row r="125">
      <c r="A125" s="252" t="str">
        <f>IFERROR(__xludf.DUMMYFUNCTION("""COMPUTED_VALUE"""),"m000027")</f>
        <v>m000027</v>
      </c>
      <c r="B125" s="252" t="str">
        <f>IFERROR(__xludf.DUMMYFUNCTION("""COMPUTED_VALUE"""),"CT-12 PDSF74")</f>
        <v>CT-12 PDSF74</v>
      </c>
      <c r="C125" s="252" t="str">
        <f>IFERROR(__xludf.DUMMYFUNCTION("""COMPUTED_VALUE"""),"CAMION TOLVA")</f>
        <v>CAMION TOLVA</v>
      </c>
      <c r="D125" s="252" t="str">
        <f>IFERROR(__xludf.DUMMYFUNCTION("""COMPUTED_VALUE"""),"TOLVA")</f>
        <v>TOLVA</v>
      </c>
      <c r="E125" s="252" t="str">
        <f>IFERROR(__xludf.DUMMYFUNCTION("""COMPUTED_VALUE"""),"IVECO")</f>
        <v>IVECO</v>
      </c>
      <c r="F125" s="252" t="str">
        <f>IFERROR(__xludf.DUMMYFUNCTION("""COMPUTED_VALUE"""),"TRAKKER HI LAND AD 380T50")</f>
        <v>TRAKKER HI LAND AD 380T50</v>
      </c>
      <c r="G125" s="252">
        <f>IFERROR(__xludf.DUMMYFUNCTION("""COMPUTED_VALUE"""),2021.0)</f>
        <v>2021</v>
      </c>
      <c r="H125" s="252">
        <f>IFERROR(__xludf.DUMMYFUNCTION("""COMPUTED_VALUE"""),266962.0)</f>
        <v>266962</v>
      </c>
      <c r="I125" s="252" t="str">
        <f>IFERROR(__xludf.DUMMYFUNCTION("""COMPUTED_VALUE"""),"WJME3TUS4LC418609")</f>
        <v>WJME3TUS4LC418609</v>
      </c>
      <c r="J125" s="252" t="str">
        <f>IFERROR(__xludf.DUMMYFUNCTION("""COMPUTED_VALUE"""),"PDSF74")</f>
        <v>PDSF74</v>
      </c>
      <c r="K125" s="252" t="str">
        <f>IFERROR(__xludf.DUMMYFUNCTION("""COMPUTED_VALUE"""),"SANTANDER")</f>
        <v>SANTANDER</v>
      </c>
      <c r="L125" s="252"/>
      <c r="M125" s="252"/>
      <c r="N125" s="252"/>
      <c r="O125" s="252"/>
      <c r="P125" s="252"/>
      <c r="Q125" s="252" t="str">
        <f>IFERROR(__xludf.DUMMYFUNCTION("""COMPUTED_VALUE"""),"1200 R 24")</f>
        <v>1200 R 24</v>
      </c>
      <c r="R125" s="252"/>
      <c r="S125" s="252" t="str">
        <f>IFERROR(__xludf.DUMMYFUNCTION("""COMPUTED_VALUE"""),"16")</f>
        <v>16</v>
      </c>
      <c r="T125" s="252"/>
      <c r="U125" s="252"/>
      <c r="V125" s="252">
        <f>IFERROR(__xludf.DUMMYFUNCTION("""COMPUTED_VALUE"""),0.0)</f>
        <v>0</v>
      </c>
      <c r="W125" s="252">
        <f>IFERROR(__xludf.DUMMYFUNCTION("""COMPUTED_VALUE"""),4.0)</f>
        <v>4</v>
      </c>
      <c r="X125" s="252">
        <f>IFERROR(__xludf.DUMMYFUNCTION("""COMPUTED_VALUE"""),6.0)</f>
        <v>6</v>
      </c>
      <c r="Y125" s="252">
        <f>IFERROR(__xludf.DUMMYFUNCTION("""COMPUTED_VALUE"""),4.0)</f>
        <v>4</v>
      </c>
      <c r="Z125" s="252">
        <f>IFERROR(__xludf.DUMMYFUNCTION("""COMPUTED_VALUE"""),6.0)</f>
        <v>6</v>
      </c>
      <c r="AA125" s="252">
        <f>IFERROR(__xludf.DUMMYFUNCTION("""COMPUTED_VALUE"""),6.0)</f>
        <v>6</v>
      </c>
      <c r="AB125" s="252" t="str">
        <f>IFERROR(__xludf.DUMMYFUNCTION("""COMPUTED_VALUE"""),"Patio LL")</f>
        <v>Patio LL</v>
      </c>
      <c r="AC125" s="252" t="str">
        <f>IFERROR(__xludf.DUMMYFUNCTION("""COMPUTED_VALUE"""),"MAQUINAS_Images/m000027.FOTO1.195902.jpg")</f>
        <v>MAQUINAS_Images/m000027.FOTO1.195902.jpg</v>
      </c>
      <c r="AD125" s="252">
        <f>IFERROR(__xludf.DUMMYFUNCTION("""COMPUTED_VALUE"""),787.0)</f>
        <v>787</v>
      </c>
      <c r="AE125" s="252" t="str">
        <f>IFERROR(__xludf.DUMMYFUNCTION("""COMPUTED_VALUE"""),"Alerta incidente")</f>
        <v>Alerta incidente</v>
      </c>
      <c r="AF125" s="252">
        <f>IFERROR(__xludf.DUMMYFUNCTION("""COMPUTED_VALUE"""),8.0)</f>
        <v>8</v>
      </c>
      <c r="AG125" s="252" t="str">
        <f>IFERROR(__xludf.DUMMYFUNCTION("""COMPUTED_VALUE"""),"[CT-12 PDSF74] - IVECO TRAKKER HI LAND AD 380T50")</f>
        <v>[CT-12 PDSF74] - IVECO TRAKKER HI LAND AD 380T50</v>
      </c>
      <c r="AH125" s="252">
        <f>IFERROR(__xludf.DUMMYFUNCTION("""COMPUTED_VALUE"""),10306.0)</f>
        <v>10306</v>
      </c>
      <c r="AI125" s="252">
        <f>IFERROR(__xludf.DUMMYFUNCTION("""COMPUTED_VALUE"""),107021.0)</f>
        <v>107021</v>
      </c>
      <c r="AJ125" s="882">
        <f>IFERROR(__xludf.DUMMYFUNCTION("""COMPUTED_VALUE"""),46096.816782407404)</f>
        <v>46096.81678</v>
      </c>
      <c r="AK125" s="882">
        <f>IFERROR(__xludf.DUMMYFUNCTION("""COMPUTED_VALUE"""),46095.615636574075)</f>
        <v>46095.61564</v>
      </c>
      <c r="AL125" s="880">
        <f>IFERROR(__xludf.DUMMYFUNCTION("""COMPUTED_VALUE"""),10579.0)</f>
        <v>10579</v>
      </c>
      <c r="AM125" s="252"/>
      <c r="AN125" s="252" t="str">
        <f>IFERROR(__xludf.DUMMYFUNCTION("""COMPUTED_VALUE"""),"OT260302103641")</f>
        <v>OT260302103641</v>
      </c>
      <c r="AO125" s="252" t="str">
        <f>IFERROR(__xludf.DUMMYFUNCTION("""COMPUTED_VALUE"""),"Hr")</f>
        <v>Hr</v>
      </c>
      <c r="AP125" s="252" t="str">
        <f>IFERROR(__xludf.DUMMYFUNCTION("""COMPUTED_VALUE"""),"IS260129181053")</f>
        <v>IS260129181053</v>
      </c>
      <c r="AQ125" s="252">
        <f>IFERROR(__xludf.DUMMYFUNCTION("""COMPUTED_VALUE"""),9045.0)</f>
        <v>9045</v>
      </c>
      <c r="AR125" s="252">
        <f>IFERROR(__xludf.DUMMYFUNCTION("""COMPUTED_VALUE"""),89478.0)</f>
        <v>89478</v>
      </c>
      <c r="AS125" s="881">
        <f>IFERROR(__xludf.DUMMYFUNCTION("""COMPUTED_VALUE"""),44927.0)</f>
        <v>44927</v>
      </c>
      <c r="AT125" s="881">
        <f>IFERROR(__xludf.DUMMYFUNCTION("""COMPUTED_VALUE"""),44927.0)</f>
        <v>44927</v>
      </c>
      <c r="AU125" s="252" t="str">
        <f>IFERROR(__xludf.DUMMYFUNCTION("""COMPUTED_VALUE"""),"RDC260315213403")</f>
        <v>RDC260315213403</v>
      </c>
      <c r="AV125" s="252" t="str">
        <f>IFERROR(__xludf.DUMMYFUNCTION("""COMPUTED_VALUE"""),"RCO260225075133")</f>
        <v>RCO260225075133</v>
      </c>
      <c r="AW125" s="252">
        <f>IFERROR(__xludf.DUMMYFUNCTION("""COMPUTED_VALUE"""),153.0)</f>
        <v>153</v>
      </c>
      <c r="AX125" s="252">
        <f>IFERROR(__xludf.DUMMYFUNCTION("""COMPUTED_VALUE"""),16.0)</f>
        <v>16</v>
      </c>
      <c r="AY125" s="252">
        <f>IFERROR(__xludf.DUMMYFUNCTION("""COMPUTED_VALUE"""),0.0)</f>
        <v>0</v>
      </c>
      <c r="AZ125" s="884">
        <f>IFERROR(__xludf.DUMMYFUNCTION("""COMPUTED_VALUE"""),46078.0)</f>
        <v>46078</v>
      </c>
    </row>
    <row r="126">
      <c r="A126" s="252" t="str">
        <f>IFERROR(__xludf.DUMMYFUNCTION("""COMPUTED_VALUE"""),"m000028")</f>
        <v>m000028</v>
      </c>
      <c r="B126" s="252" t="str">
        <f>IFERROR(__xludf.DUMMYFUNCTION("""COMPUTED_VALUE"""),"CT-13 PDSF75")</f>
        <v>CT-13 PDSF75</v>
      </c>
      <c r="C126" s="252" t="str">
        <f>IFERROR(__xludf.DUMMYFUNCTION("""COMPUTED_VALUE"""),"CAMION TOLVA")</f>
        <v>CAMION TOLVA</v>
      </c>
      <c r="D126" s="252" t="str">
        <f>IFERROR(__xludf.DUMMYFUNCTION("""COMPUTED_VALUE"""),"TOLVA")</f>
        <v>TOLVA</v>
      </c>
      <c r="E126" s="252" t="str">
        <f>IFERROR(__xludf.DUMMYFUNCTION("""COMPUTED_VALUE"""),"IVECO")</f>
        <v>IVECO</v>
      </c>
      <c r="F126" s="252" t="str">
        <f>IFERROR(__xludf.DUMMYFUNCTION("""COMPUTED_VALUE"""),"TRAKKER HI LAND AD 380T50")</f>
        <v>TRAKKER HI LAND AD 380T50</v>
      </c>
      <c r="G126" s="252">
        <f>IFERROR(__xludf.DUMMYFUNCTION("""COMPUTED_VALUE"""),2021.0)</f>
        <v>2021</v>
      </c>
      <c r="H126" s="252">
        <f>IFERROR(__xludf.DUMMYFUNCTION("""COMPUTED_VALUE"""),268492.0)</f>
        <v>268492</v>
      </c>
      <c r="I126" s="252" t="str">
        <f>IFERROR(__xludf.DUMMYFUNCTION("""COMPUTED_VALUE"""),"WJME3TUD8LC423565")</f>
        <v>WJME3TUD8LC423565</v>
      </c>
      <c r="J126" s="252" t="str">
        <f>IFERROR(__xludf.DUMMYFUNCTION("""COMPUTED_VALUE"""),"PDSF75")</f>
        <v>PDSF75</v>
      </c>
      <c r="K126" s="252" t="str">
        <f>IFERROR(__xludf.DUMMYFUNCTION("""COMPUTED_VALUE"""),"SANTANDER")</f>
        <v>SANTANDER</v>
      </c>
      <c r="L126" s="252"/>
      <c r="M126" s="252"/>
      <c r="N126" s="252"/>
      <c r="O126" s="252"/>
      <c r="P126" s="252"/>
      <c r="Q126" s="252" t="str">
        <f>IFERROR(__xludf.DUMMYFUNCTION("""COMPUTED_VALUE"""),"1200 R 24")</f>
        <v>1200 R 24</v>
      </c>
      <c r="R126" s="252"/>
      <c r="S126" s="252" t="str">
        <f>IFERROR(__xludf.DUMMYFUNCTION("""COMPUTED_VALUE"""),"16")</f>
        <v>16</v>
      </c>
      <c r="T126" s="252"/>
      <c r="U126" s="252"/>
      <c r="V126" s="252">
        <f>IFERROR(__xludf.DUMMYFUNCTION("""COMPUTED_VALUE"""),0.0)</f>
        <v>0</v>
      </c>
      <c r="W126" s="252">
        <f>IFERROR(__xludf.DUMMYFUNCTION("""COMPUTED_VALUE"""),4.0)</f>
        <v>4</v>
      </c>
      <c r="X126" s="252">
        <f>IFERROR(__xludf.DUMMYFUNCTION("""COMPUTED_VALUE"""),6.0)</f>
        <v>6</v>
      </c>
      <c r="Y126" s="252">
        <f>IFERROR(__xludf.DUMMYFUNCTION("""COMPUTED_VALUE"""),4.0)</f>
        <v>4</v>
      </c>
      <c r="Z126" s="252">
        <f>IFERROR(__xludf.DUMMYFUNCTION("""COMPUTED_VALUE"""),6.0)</f>
        <v>6</v>
      </c>
      <c r="AA126" s="252">
        <f>IFERROR(__xludf.DUMMYFUNCTION("""COMPUTED_VALUE"""),6.0)</f>
        <v>6</v>
      </c>
      <c r="AB126" s="252" t="str">
        <f>IFERROR(__xludf.DUMMYFUNCTION("""COMPUTED_VALUE"""),"En producción")</f>
        <v>En producción</v>
      </c>
      <c r="AC126" s="252" t="str">
        <f>IFERROR(__xludf.DUMMYFUNCTION("""COMPUTED_VALUE"""),"MAQUINAS_Images/m000028.FOTO1.145835.jpg")</f>
        <v>MAQUINAS_Images/m000028.FOTO1.145835.jpg</v>
      </c>
      <c r="AD126" s="252">
        <f>IFERROR(__xludf.DUMMYFUNCTION("""COMPUTED_VALUE"""),994.0)</f>
        <v>994</v>
      </c>
      <c r="AE126" s="252" t="str">
        <f>IFERROR(__xludf.DUMMYFUNCTION("""COMPUTED_VALUE"""),"Sin incidentes")</f>
        <v>Sin incidentes</v>
      </c>
      <c r="AF126" s="252">
        <f>IFERROR(__xludf.DUMMYFUNCTION("""COMPUTED_VALUE"""),1.0)</f>
        <v>1</v>
      </c>
      <c r="AG126" s="252" t="str">
        <f>IFERROR(__xludf.DUMMYFUNCTION("""COMPUTED_VALUE"""),"[CT-13 PDSF75] - IVECO TRAKKER HI LAND AD 380T50")</f>
        <v>[CT-13 PDSF75] - IVECO TRAKKER HI LAND AD 380T50</v>
      </c>
      <c r="AH126" s="252">
        <f>IFERROR(__xludf.DUMMYFUNCTION("""COMPUTED_VALUE"""),5813.0)</f>
        <v>5813</v>
      </c>
      <c r="AI126" s="252">
        <f>IFERROR(__xludf.DUMMYFUNCTION("""COMPUTED_VALUE"""),72042.0)</f>
        <v>72042</v>
      </c>
      <c r="AJ126" s="882">
        <f>IFERROR(__xludf.DUMMYFUNCTION("""COMPUTED_VALUE"""),46095.52028935185)</f>
        <v>46095.52029</v>
      </c>
      <c r="AK126" s="882">
        <f>IFERROR(__xludf.DUMMYFUNCTION("""COMPUTED_VALUE"""),46095.520324074074)</f>
        <v>46095.52032</v>
      </c>
      <c r="AL126" s="880">
        <f>IFERROR(__xludf.DUMMYFUNCTION("""COMPUTED_VALUE"""),6137.0)</f>
        <v>6137</v>
      </c>
      <c r="AM126" s="252"/>
      <c r="AN126" s="252" t="str">
        <f>IFERROR(__xludf.DUMMYFUNCTION("""COMPUTED_VALUE"""),"OT260311095528")</f>
        <v>OT260311095528</v>
      </c>
      <c r="AO126" s="252" t="str">
        <f>IFERROR(__xludf.DUMMYFUNCTION("""COMPUTED_VALUE"""),"Hr")</f>
        <v>Hr</v>
      </c>
      <c r="AP126" s="252" t="str">
        <f>IFERROR(__xludf.DUMMYFUNCTION("""COMPUTED_VALUE"""),"IS250821133408")</f>
        <v>IS250821133408</v>
      </c>
      <c r="AQ126" s="252">
        <f>IFERROR(__xludf.DUMMYFUNCTION("""COMPUTED_VALUE"""),4109.0)</f>
        <v>4109</v>
      </c>
      <c r="AR126" s="252">
        <f>IFERROR(__xludf.DUMMYFUNCTION("""COMPUTED_VALUE"""),47127.0)</f>
        <v>47127</v>
      </c>
      <c r="AS126" s="881">
        <f>IFERROR(__xludf.DUMMYFUNCTION("""COMPUTED_VALUE"""),44927.0)</f>
        <v>44927</v>
      </c>
      <c r="AT126" s="881">
        <f>IFERROR(__xludf.DUMMYFUNCTION("""COMPUTED_VALUE"""),44927.0)</f>
        <v>44927</v>
      </c>
      <c r="AU126" s="252" t="str">
        <f>IFERROR(__xludf.DUMMYFUNCTION("""COMPUTED_VALUE"""),"RDC260313131857")</f>
        <v>RDC260313131857</v>
      </c>
      <c r="AV126" s="252" t="str">
        <f>IFERROR(__xludf.DUMMYFUNCTION("""COMPUTED_VALUE"""),"RCO260314142033")</f>
        <v>RCO260314142033</v>
      </c>
      <c r="AW126" s="252">
        <f>IFERROR(__xludf.DUMMYFUNCTION("""COMPUTED_VALUE"""),188.0)</f>
        <v>188</v>
      </c>
      <c r="AX126" s="252">
        <f>IFERROR(__xludf.DUMMYFUNCTION("""COMPUTED_VALUE"""),17.0)</f>
        <v>17</v>
      </c>
      <c r="AY126" s="252">
        <f>IFERROR(__xludf.DUMMYFUNCTION("""COMPUTED_VALUE"""),155.0)</f>
        <v>155</v>
      </c>
      <c r="AZ126" s="883">
        <f>IFERROR(__xludf.DUMMYFUNCTION("""COMPUTED_VALUE"""),46095.0)</f>
        <v>46095</v>
      </c>
    </row>
    <row r="127">
      <c r="A127" s="252" t="str">
        <f>IFERROR(__xludf.DUMMYFUNCTION("""COMPUTED_VALUE"""),"m000029")</f>
        <v>m000029</v>
      </c>
      <c r="B127" s="252" t="str">
        <f>IFERROR(__xludf.DUMMYFUNCTION("""COMPUTED_VALUE"""),"CT-18 RCKP78")</f>
        <v>CT-18 RCKP78</v>
      </c>
      <c r="C127" s="252" t="str">
        <f>IFERROR(__xludf.DUMMYFUNCTION("""COMPUTED_VALUE"""),"CAMION TOLVA")</f>
        <v>CAMION TOLVA</v>
      </c>
      <c r="D127" s="252" t="str">
        <f>IFERROR(__xludf.DUMMYFUNCTION("""COMPUTED_VALUE"""),"TOLVA")</f>
        <v>TOLVA</v>
      </c>
      <c r="E127" s="252" t="str">
        <f>IFERROR(__xludf.DUMMYFUNCTION("""COMPUTED_VALUE"""),"MERCEDEZ BENZ")</f>
        <v>MERCEDEZ BENZ</v>
      </c>
      <c r="F127" s="252" t="str">
        <f>IFERROR(__xludf.DUMMYFUNCTION("""COMPUTED_VALUE"""),"AROCS 3342")</f>
        <v>AROCS 3342</v>
      </c>
      <c r="G127" s="252">
        <f>IFERROR(__xludf.DUMMYFUNCTION("""COMPUTED_VALUE"""),2022.0)</f>
        <v>2022</v>
      </c>
      <c r="H127" s="252" t="str">
        <f>IFERROR(__xludf.DUMMYFUNCTION("""COMPUTED_VALUE"""),"471922C0645938")</f>
        <v>471922C0645938</v>
      </c>
      <c r="I127" s="252" t="str">
        <f>IFERROR(__xludf.DUMMYFUNCTION("""COMPUTED_VALUE"""),"W1T964216N0530390")</f>
        <v>W1T964216N0530390</v>
      </c>
      <c r="J127" s="252" t="str">
        <f>IFERROR(__xludf.DUMMYFUNCTION("""COMPUTED_VALUE"""),"RCKP78")</f>
        <v>RCKP78</v>
      </c>
      <c r="K127" s="252" t="str">
        <f>IFERROR(__xludf.DUMMYFUNCTION("""COMPUTED_VALUE"""),"BK")</f>
        <v>BK</v>
      </c>
      <c r="L127" s="252"/>
      <c r="M127" s="252"/>
      <c r="N127" s="252"/>
      <c r="O127" s="252"/>
      <c r="P127" s="252"/>
      <c r="Q127" s="252"/>
      <c r="R127" s="252"/>
      <c r="S127" s="252" t="str">
        <f>IFERROR(__xludf.DUMMYFUNCTION("""COMPUTED_VALUE"""),"15")</f>
        <v>15</v>
      </c>
      <c r="T127" s="252"/>
      <c r="U127" s="252"/>
      <c r="V127" s="252">
        <f>IFERROR(__xludf.DUMMYFUNCTION("""COMPUTED_VALUE"""),0.0)</f>
        <v>0</v>
      </c>
      <c r="W127" s="252">
        <f>IFERROR(__xludf.DUMMYFUNCTION("""COMPUTED_VALUE"""),4.0)</f>
        <v>4</v>
      </c>
      <c r="X127" s="252">
        <f>IFERROR(__xludf.DUMMYFUNCTION("""COMPUTED_VALUE"""),4.0)</f>
        <v>4</v>
      </c>
      <c r="Y127" s="252">
        <f>IFERROR(__xludf.DUMMYFUNCTION("""COMPUTED_VALUE"""),4.0)</f>
        <v>4</v>
      </c>
      <c r="Z127" s="252">
        <f>IFERROR(__xludf.DUMMYFUNCTION("""COMPUTED_VALUE"""),6.0)</f>
        <v>6</v>
      </c>
      <c r="AA127" s="252">
        <f>IFERROR(__xludf.DUMMYFUNCTION("""COMPUTED_VALUE"""),6.0)</f>
        <v>6</v>
      </c>
      <c r="AB127" s="252" t="str">
        <f>IFERROR(__xludf.DUMMYFUNCTION("""COMPUTED_VALUE"""),"Discontinuado")</f>
        <v>Discontinuado</v>
      </c>
      <c r="AC127" s="252"/>
      <c r="AD127" s="252"/>
      <c r="AE127" s="252" t="str">
        <f>IFERROR(__xludf.DUMMYFUNCTION("""COMPUTED_VALUE"""),"Alerta incidente")</f>
        <v>Alerta incidente</v>
      </c>
      <c r="AF127" s="252">
        <f>IFERROR(__xludf.DUMMYFUNCTION("""COMPUTED_VALUE"""),17.0)</f>
        <v>17</v>
      </c>
      <c r="AG127" s="252" t="str">
        <f>IFERROR(__xludf.DUMMYFUNCTION("""COMPUTED_VALUE"""),"[CT-18 RCKP78] - MERCEDEZ BENZ AROCS 3342")</f>
        <v>[CT-18 RCKP78] - MERCEDEZ BENZ AROCS 3342</v>
      </c>
      <c r="AH127" s="252">
        <f>IFERROR(__xludf.DUMMYFUNCTION("""COMPUTED_VALUE"""),10924.0)</f>
        <v>10924</v>
      </c>
      <c r="AI127" s="252">
        <f>IFERROR(__xludf.DUMMYFUNCTION("""COMPUTED_VALUE"""),103428.0)</f>
        <v>103428</v>
      </c>
      <c r="AJ127" s="882">
        <f>IFERROR(__xludf.DUMMYFUNCTION("""COMPUTED_VALUE"""),45996.546423611115)</f>
        <v>45996.54642</v>
      </c>
      <c r="AK127" s="882">
        <f>IFERROR(__xludf.DUMMYFUNCTION("""COMPUTED_VALUE"""),45996.546481481484)</f>
        <v>45996.54648</v>
      </c>
      <c r="AL127" s="880">
        <f>IFERROR(__xludf.DUMMYFUNCTION("""COMPUTED_VALUE"""),11194.0)</f>
        <v>11194</v>
      </c>
      <c r="AM127" s="252"/>
      <c r="AN127" s="252" t="str">
        <f>IFERROR(__xludf.DUMMYFUNCTION("""COMPUTED_VALUE"""),"OT250709134814")</f>
        <v>OT250709134814</v>
      </c>
      <c r="AO127" s="252" t="str">
        <f>IFERROR(__xludf.DUMMYFUNCTION("""COMPUTED_VALUE"""),"Hr")</f>
        <v>Hr</v>
      </c>
      <c r="AP127" s="252" t="str">
        <f>IFERROR(__xludf.DUMMYFUNCTION("""COMPUTED_VALUE"""),"IS250410095457")</f>
        <v>IS250410095457</v>
      </c>
      <c r="AQ127" s="252">
        <f>IFERROR(__xludf.DUMMYFUNCTION("""COMPUTED_VALUE"""),10411.0)</f>
        <v>10411</v>
      </c>
      <c r="AR127" s="252">
        <f>IFERROR(__xludf.DUMMYFUNCTION("""COMPUTED_VALUE"""),93647.0)</f>
        <v>93647</v>
      </c>
      <c r="AS127" s="881">
        <f>IFERROR(__xludf.DUMMYFUNCTION("""COMPUTED_VALUE"""),44927.0)</f>
        <v>44927</v>
      </c>
      <c r="AT127" s="881">
        <f>IFERROR(__xludf.DUMMYFUNCTION("""COMPUTED_VALUE"""),44927.0)</f>
        <v>44927</v>
      </c>
      <c r="AU127" s="252" t="str">
        <f>IFERROR(__xludf.DUMMYFUNCTION("""COMPUTED_VALUE"""),"RDC250724201408")</f>
        <v>RDC250724201408</v>
      </c>
      <c r="AV127" s="252" t="str">
        <f>IFERROR(__xludf.DUMMYFUNCTION("""COMPUTED_VALUE"""),"RCO250724175802")</f>
        <v>RCO250724175802</v>
      </c>
      <c r="AW127" s="252">
        <f>IFERROR(__xludf.DUMMYFUNCTION("""COMPUTED_VALUE"""),134.0)</f>
        <v>134</v>
      </c>
      <c r="AX127" s="252">
        <f>IFERROR(__xludf.DUMMYFUNCTION("""COMPUTED_VALUE"""),7.0)</f>
        <v>7</v>
      </c>
      <c r="AY127" s="252">
        <f>IFERROR(__xludf.DUMMYFUNCTION("""COMPUTED_VALUE"""),0.0)</f>
        <v>0</v>
      </c>
      <c r="AZ127" s="884">
        <f>IFERROR(__xludf.DUMMYFUNCTION("""COMPUTED_VALUE"""),45862.0)</f>
        <v>45862</v>
      </c>
    </row>
    <row r="128">
      <c r="A128" s="252" t="str">
        <f>IFERROR(__xludf.DUMMYFUNCTION("""COMPUTED_VALUE"""),"m000031")</f>
        <v>m000031</v>
      </c>
      <c r="B128" s="252" t="str">
        <f>IFERROR(__xludf.DUMMYFUNCTION("""COMPUTED_VALUE"""),"GM-01 YZ9670")</f>
        <v>GM-01 YZ9670</v>
      </c>
      <c r="C128" s="252" t="str">
        <f>IFERROR(__xludf.DUMMYFUNCTION("""COMPUTED_VALUE"""),"GRUA MOVIL")</f>
        <v>GRUA MOVIL</v>
      </c>
      <c r="D128" s="252" t="str">
        <f>IFERROR(__xludf.DUMMYFUNCTION("""COMPUTED_VALUE"""),"GRUA MOVIL")</f>
        <v>GRUA MOVIL</v>
      </c>
      <c r="E128" s="252" t="str">
        <f>IFERROR(__xludf.DUMMYFUNCTION("""COMPUTED_VALUE"""),"KOMATSU")</f>
        <v>KOMATSU</v>
      </c>
      <c r="F128" s="252" t="str">
        <f>IFERROR(__xludf.DUMMYFUNCTION("""COMPUTED_VALUE"""),"LW250-3")</f>
        <v>LW250-3</v>
      </c>
      <c r="G128" s="252">
        <f>IFERROR(__xludf.DUMMYFUNCTION("""COMPUTED_VALUE"""),1995.0)</f>
        <v>1995</v>
      </c>
      <c r="H128" s="252">
        <f>IFERROR(__xludf.DUMMYFUNCTION("""COMPUTED_VALUE"""),64292.0)</f>
        <v>64292</v>
      </c>
      <c r="I128" s="252" t="str">
        <f>IFERROR(__xludf.DUMMYFUNCTION("""COMPUTED_VALUE"""),"L001-21214")</f>
        <v>L001-21214</v>
      </c>
      <c r="J128" s="252" t="str">
        <f>IFERROR(__xludf.DUMMYFUNCTION("""COMPUTED_VALUE"""),"YZ9670-2")</f>
        <v>YZ9670-2</v>
      </c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>
        <f>IFERROR(__xludf.DUMMYFUNCTION("""COMPUTED_VALUE"""),5.0)</f>
        <v>5</v>
      </c>
      <c r="X128" s="252">
        <f>IFERROR(__xludf.DUMMYFUNCTION("""COMPUTED_VALUE"""),5.0)</f>
        <v>5</v>
      </c>
      <c r="Y128" s="252">
        <f>IFERROR(__xludf.DUMMYFUNCTION("""COMPUTED_VALUE"""),5.0)</f>
        <v>5</v>
      </c>
      <c r="Z128" s="252">
        <f>IFERROR(__xludf.DUMMYFUNCTION("""COMPUTED_VALUE"""),8.0)</f>
        <v>8</v>
      </c>
      <c r="AA128" s="252">
        <f>IFERROR(__xludf.DUMMYFUNCTION("""COMPUTED_VALUE"""),8.0)</f>
        <v>8</v>
      </c>
      <c r="AB128" s="252" t="str">
        <f>IFERROR(__xludf.DUMMYFUNCTION("""COMPUTED_VALUE"""),"En producción")</f>
        <v>En producción</v>
      </c>
      <c r="AC128" s="252"/>
      <c r="AD128" s="252">
        <f>IFERROR(__xludf.DUMMYFUNCTION("""COMPUTED_VALUE"""),1013.0)</f>
        <v>1013</v>
      </c>
      <c r="AE128" s="252" t="str">
        <f>IFERROR(__xludf.DUMMYFUNCTION("""COMPUTED_VALUE"""),"Sin incidentes")</f>
        <v>Sin incidentes</v>
      </c>
      <c r="AF128" s="252">
        <f>IFERROR(__xludf.DUMMYFUNCTION("""COMPUTED_VALUE"""),1.0)</f>
        <v>1</v>
      </c>
      <c r="AG128" s="252" t="str">
        <f>IFERROR(__xludf.DUMMYFUNCTION("""COMPUTED_VALUE"""),"[GM-01 YZ9670] - KOMATSU LW250-3")</f>
        <v>[GM-01 YZ9670] - KOMATSU LW250-3</v>
      </c>
      <c r="AH128" s="252">
        <f>IFERROR(__xludf.DUMMYFUNCTION("""COMPUTED_VALUE"""),738.0)</f>
        <v>738</v>
      </c>
      <c r="AI128" s="252">
        <f>IFERROR(__xludf.DUMMYFUNCTION("""COMPUTED_VALUE"""),12.0)</f>
        <v>12</v>
      </c>
      <c r="AJ128" s="882">
        <f>IFERROR(__xludf.DUMMYFUNCTION("""COMPUTED_VALUE"""),46091.56462962963)</f>
        <v>46091.56463</v>
      </c>
      <c r="AK128" s="882">
        <f>IFERROR(__xludf.DUMMYFUNCTION("""COMPUTED_VALUE"""),46088.53376157407)</f>
        <v>46088.53376</v>
      </c>
      <c r="AL128" s="880">
        <f>IFERROR(__xludf.DUMMYFUNCTION("""COMPUTED_VALUE"""),839.0)</f>
        <v>839</v>
      </c>
      <c r="AM128" s="880" t="str">
        <f>IFERROR(__xludf.DUMMYFUNCTION("""COMPUTED_VALUE"""),"")</f>
        <v/>
      </c>
      <c r="AN128" s="252" t="str">
        <f>IFERROR(__xludf.DUMMYFUNCTION("""COMPUTED_VALUE"""),"OT250812090735")</f>
        <v>OT250812090735</v>
      </c>
      <c r="AO128" s="252" t="str">
        <f>IFERROR(__xludf.DUMMYFUNCTION("""COMPUTED_VALUE"""),"Hr")</f>
        <v>Hr</v>
      </c>
      <c r="AP128" s="252"/>
      <c r="AQ128" s="252">
        <f>IFERROR(__xludf.DUMMYFUNCTION("""COMPUTED_VALUE"""),10047.0)</f>
        <v>10047</v>
      </c>
      <c r="AR128" s="252"/>
      <c r="AS128" s="881">
        <f>IFERROR(__xludf.DUMMYFUNCTION("""COMPUTED_VALUE"""),45733.0)</f>
        <v>45733</v>
      </c>
      <c r="AT128" s="881">
        <f>IFERROR(__xludf.DUMMYFUNCTION("""COMPUTED_VALUE"""),44927.0)</f>
        <v>44927</v>
      </c>
      <c r="AU128" s="252" t="str">
        <f>IFERROR(__xludf.DUMMYFUNCTION("""COMPUTED_VALUE"""),"RDC260310153213")</f>
        <v>RDC260310153213</v>
      </c>
      <c r="AV128" s="252" t="str">
        <f>IFERROR(__xludf.DUMMYFUNCTION("""COMPUTED_VALUE"""),"RCO260307144705")</f>
        <v>RCO260307144705</v>
      </c>
      <c r="AW128" s="252">
        <f>IFERROR(__xludf.DUMMYFUNCTION("""COMPUTED_VALUE"""),200.0)</f>
        <v>200</v>
      </c>
      <c r="AX128" s="252">
        <f>IFERROR(__xludf.DUMMYFUNCTION("""COMPUTED_VALUE"""),13.0)</f>
        <v>13</v>
      </c>
      <c r="AY128" s="252">
        <f>IFERROR(__xludf.DUMMYFUNCTION("""COMPUTED_VALUE"""),0.0)</f>
        <v>0</v>
      </c>
      <c r="AZ128" s="883">
        <f>IFERROR(__xludf.DUMMYFUNCTION("""COMPUTED_VALUE"""),46088.0)</f>
        <v>46088</v>
      </c>
    </row>
    <row r="129">
      <c r="A129" s="252" t="str">
        <f>IFERROR(__xludf.DUMMYFUNCTION("""COMPUTED_VALUE"""),"m000032")</f>
        <v>m000032</v>
      </c>
      <c r="B129" s="252" t="str">
        <f>IFERROR(__xludf.DUMMYFUNCTION("""COMPUTED_VALUE"""),"TC-02 DSBH56")</f>
        <v>TC-02 DSBH56</v>
      </c>
      <c r="C129" s="252" t="str">
        <f>IFERROR(__xludf.DUMMYFUNCTION("""COMPUTED_VALUE"""),"TRACTO CAMION")</f>
        <v>TRACTO CAMION</v>
      </c>
      <c r="D129" s="252" t="str">
        <f>IFERROR(__xludf.DUMMYFUNCTION("""COMPUTED_VALUE"""),"TRACTO CAMION")</f>
        <v>TRACTO CAMION</v>
      </c>
      <c r="E129" s="252" t="str">
        <f>IFERROR(__xludf.DUMMYFUNCTION("""COMPUTED_VALUE"""),"INTERNACIONAL")</f>
        <v>INTERNACIONAL</v>
      </c>
      <c r="F129" s="252">
        <f>IFERROR(__xludf.DUMMYFUNCTION("""COMPUTED_VALUE"""),7600.0)</f>
        <v>7600</v>
      </c>
      <c r="G129" s="252">
        <f>IFERROR(__xludf.DUMMYFUNCTION("""COMPUTED_VALUE"""),2012.0)</f>
        <v>2012</v>
      </c>
      <c r="H129" s="252">
        <f>IFERROR(__xludf.DUMMYFUNCTION("""COMPUTED_VALUE"""),3.5283612E7)</f>
        <v>35283612</v>
      </c>
      <c r="I129" s="252" t="str">
        <f>IFERROR(__xludf.DUMMYFUNCTION("""COMPUTED_VALUE"""),"3HSWYAHT6CN589131")</f>
        <v>3HSWYAHT6CN589131</v>
      </c>
      <c r="J129" s="252" t="str">
        <f>IFERROR(__xludf.DUMMYFUNCTION("""COMPUTED_VALUE"""),"DSBH56-4")</f>
        <v>DSBH56-4</v>
      </c>
      <c r="K129" s="252" t="str">
        <f>IFERROR(__xludf.DUMMYFUNCTION("""COMPUTED_VALUE"""),"ECMA")</f>
        <v>ECMA</v>
      </c>
      <c r="L129" s="252"/>
      <c r="M129" s="252"/>
      <c r="N129" s="252"/>
      <c r="O129" s="252"/>
      <c r="P129" s="252"/>
      <c r="Q129" s="252"/>
      <c r="R129" s="252"/>
      <c r="S129" s="252" t="str">
        <f>IFERROR(__xludf.DUMMYFUNCTION("""COMPUTED_VALUE"""),"20")</f>
        <v>20</v>
      </c>
      <c r="T129" s="252"/>
      <c r="U129" s="252"/>
      <c r="V129" s="252">
        <f>IFERROR(__xludf.DUMMYFUNCTION("""COMPUTED_VALUE"""),0.0)</f>
        <v>0</v>
      </c>
      <c r="W129" s="252">
        <f>IFERROR(__xludf.DUMMYFUNCTION("""COMPUTED_VALUE"""),5.0)</f>
        <v>5</v>
      </c>
      <c r="X129" s="252">
        <f>IFERROR(__xludf.DUMMYFUNCTION("""COMPUTED_VALUE"""),6.0)</f>
        <v>6</v>
      </c>
      <c r="Y129" s="252">
        <f>IFERROR(__xludf.DUMMYFUNCTION("""COMPUTED_VALUE"""),5.0)</f>
        <v>5</v>
      </c>
      <c r="Z129" s="252">
        <f>IFERROR(__xludf.DUMMYFUNCTION("""COMPUTED_VALUE"""),9.0)</f>
        <v>9</v>
      </c>
      <c r="AA129" s="252">
        <f>IFERROR(__xludf.DUMMYFUNCTION("""COMPUTED_VALUE"""),9.0)</f>
        <v>9</v>
      </c>
      <c r="AB129" s="252" t="str">
        <f>IFERROR(__xludf.DUMMYFUNCTION("""COMPUTED_VALUE"""),"En producción")</f>
        <v>En producción</v>
      </c>
      <c r="AC129" s="252"/>
      <c r="AD129" s="252">
        <f>IFERROR(__xludf.DUMMYFUNCTION("""COMPUTED_VALUE"""),42.0)</f>
        <v>42</v>
      </c>
      <c r="AE129" s="252" t="str">
        <f>IFERROR(__xludf.DUMMYFUNCTION("""COMPUTED_VALUE"""),"Alerta incidente")</f>
        <v>Alerta incidente</v>
      </c>
      <c r="AF129" s="252">
        <f>IFERROR(__xludf.DUMMYFUNCTION("""COMPUTED_VALUE"""),2.0)</f>
        <v>2</v>
      </c>
      <c r="AG129" s="252" t="str">
        <f>IFERROR(__xludf.DUMMYFUNCTION("""COMPUTED_VALUE"""),"[TC-02 DSBH56] - INTERNACIONAL 7600")</f>
        <v>[TC-02 DSBH56] - INTERNACIONAL 7600</v>
      </c>
      <c r="AH129" s="252">
        <f>IFERROR(__xludf.DUMMYFUNCTION("""COMPUTED_VALUE"""),1.0)</f>
        <v>1</v>
      </c>
      <c r="AI129" s="252">
        <f>IFERROR(__xludf.DUMMYFUNCTION("""COMPUTED_VALUE"""),688051.0)</f>
        <v>688051</v>
      </c>
      <c r="AJ129" s="882">
        <f>IFERROR(__xludf.DUMMYFUNCTION("""COMPUTED_VALUE"""),46092.62981481481)</f>
        <v>46092.62981</v>
      </c>
      <c r="AK129" s="882">
        <f>IFERROR(__xludf.DUMMYFUNCTION("""COMPUTED_VALUE"""),46093.62262731481)</f>
        <v>46093.62263</v>
      </c>
      <c r="AL129" s="252"/>
      <c r="AM129" s="880">
        <f>IFERROR(__xludf.DUMMYFUNCTION("""COMPUTED_VALUE"""),697837.0)</f>
        <v>697837</v>
      </c>
      <c r="AN129" s="252" t="str">
        <f>IFERROR(__xludf.DUMMYFUNCTION("""COMPUTED_VALUE"""),"OT260309171029")</f>
        <v>OT260309171029</v>
      </c>
      <c r="AO129" s="252" t="str">
        <f>IFERROR(__xludf.DUMMYFUNCTION("""COMPUTED_VALUE"""),"Km")</f>
        <v>Km</v>
      </c>
      <c r="AP129" s="252" t="str">
        <f>IFERROR(__xludf.DUMMYFUNCTION("""COMPUTED_VALUE"""),"IS260312165238")</f>
        <v>IS260312165238</v>
      </c>
      <c r="AQ129" s="252"/>
      <c r="AR129" s="252">
        <f>IFERROR(__xludf.DUMMYFUNCTION("""COMPUTED_VALUE"""),665684.0)</f>
        <v>665684</v>
      </c>
      <c r="AS129" s="881">
        <f>IFERROR(__xludf.DUMMYFUNCTION("""COMPUTED_VALUE"""),44927.0)</f>
        <v>44927</v>
      </c>
      <c r="AT129" s="881">
        <f>IFERROR(__xludf.DUMMYFUNCTION("""COMPUTED_VALUE"""),44927.0)</f>
        <v>44927</v>
      </c>
      <c r="AU129" s="252" t="str">
        <f>IFERROR(__xludf.DUMMYFUNCTION("""COMPUTED_VALUE"""),"RDC260312165326")</f>
        <v>RDC260312165326</v>
      </c>
      <c r="AV129" s="252" t="str">
        <f>IFERROR(__xludf.DUMMYFUNCTION("""COMPUTED_VALUE"""),"RCO260305172026")</f>
        <v>RCO260305172026</v>
      </c>
      <c r="AW129" s="252">
        <f>IFERROR(__xludf.DUMMYFUNCTION("""COMPUTED_VALUE"""),192.0)</f>
        <v>192</v>
      </c>
      <c r="AX129" s="252">
        <f>IFERROR(__xludf.DUMMYFUNCTION("""COMPUTED_VALUE"""),0.0)</f>
        <v>0</v>
      </c>
      <c r="AY129" s="252">
        <f>IFERROR(__xludf.DUMMYFUNCTION("""COMPUTED_VALUE"""),347.0)</f>
        <v>347</v>
      </c>
      <c r="AZ129" s="884">
        <f>IFERROR(__xludf.DUMMYFUNCTION("""COMPUTED_VALUE"""),46086.0)</f>
        <v>46086</v>
      </c>
    </row>
    <row r="130">
      <c r="A130" s="252" t="str">
        <f>IFERROR(__xludf.DUMMYFUNCTION("""COMPUTED_VALUE"""),"m000034")</f>
        <v>m000034</v>
      </c>
      <c r="B130" s="252" t="str">
        <f>IFERROR(__xludf.DUMMYFUNCTION("""COMPUTED_VALUE"""),"CT-14 RCKP70")</f>
        <v>CT-14 RCKP70</v>
      </c>
      <c r="C130" s="252" t="str">
        <f>IFERROR(__xludf.DUMMYFUNCTION("""COMPUTED_VALUE"""),"CAMION TOLVA")</f>
        <v>CAMION TOLVA</v>
      </c>
      <c r="D130" s="252" t="str">
        <f>IFERROR(__xludf.DUMMYFUNCTION("""COMPUTED_VALUE"""),"TOLVA")</f>
        <v>TOLVA</v>
      </c>
      <c r="E130" s="252" t="str">
        <f>IFERROR(__xludf.DUMMYFUNCTION("""COMPUTED_VALUE"""),"MERCEDEZ BENZ")</f>
        <v>MERCEDEZ BENZ</v>
      </c>
      <c r="F130" s="252" t="str">
        <f>IFERROR(__xludf.DUMMYFUNCTION("""COMPUTED_VALUE"""),"AROCS 3342")</f>
        <v>AROCS 3342</v>
      </c>
      <c r="G130" s="252">
        <f>IFERROR(__xludf.DUMMYFUNCTION("""COMPUTED_VALUE"""),2022.0)</f>
        <v>2022</v>
      </c>
      <c r="H130" s="252" t="str">
        <f>IFERROR(__xludf.DUMMYFUNCTION("""COMPUTED_VALUE"""),"471922C0654521")</f>
        <v>471922C0654521</v>
      </c>
      <c r="I130" s="252" t="str">
        <f>IFERROR(__xludf.DUMMYFUNCTION("""COMPUTED_VALUE"""),"W1T964216N0537410")</f>
        <v>W1T964216N0537410</v>
      </c>
      <c r="J130" s="252" t="str">
        <f>IFERROR(__xludf.DUMMYFUNCTION("""COMPUTED_VALUE"""),"RCKP70")</f>
        <v>RCKP70</v>
      </c>
      <c r="K130" s="252" t="str">
        <f>IFERROR(__xludf.DUMMYFUNCTION("""COMPUTED_VALUE"""),"BK")</f>
        <v>BK</v>
      </c>
      <c r="L130" s="252"/>
      <c r="M130" s="252"/>
      <c r="N130" s="252"/>
      <c r="O130" s="252"/>
      <c r="P130" s="252"/>
      <c r="Q130" s="252"/>
      <c r="R130" s="252"/>
      <c r="S130" s="252" t="str">
        <f>IFERROR(__xludf.DUMMYFUNCTION("""COMPUTED_VALUE"""),"15")</f>
        <v>15</v>
      </c>
      <c r="T130" s="252"/>
      <c r="U130" s="252"/>
      <c r="V130" s="252">
        <f>IFERROR(__xludf.DUMMYFUNCTION("""COMPUTED_VALUE"""),0.0)</f>
        <v>0</v>
      </c>
      <c r="W130" s="252">
        <f>IFERROR(__xludf.DUMMYFUNCTION("""COMPUTED_VALUE"""),4.0)</f>
        <v>4</v>
      </c>
      <c r="X130" s="252">
        <f>IFERROR(__xludf.DUMMYFUNCTION("""COMPUTED_VALUE"""),4.0)</f>
        <v>4</v>
      </c>
      <c r="Y130" s="252">
        <f>IFERROR(__xludf.DUMMYFUNCTION("""COMPUTED_VALUE"""),4.0)</f>
        <v>4</v>
      </c>
      <c r="Z130" s="252">
        <f>IFERROR(__xludf.DUMMYFUNCTION("""COMPUTED_VALUE"""),6.0)</f>
        <v>6</v>
      </c>
      <c r="AA130" s="252">
        <f>IFERROR(__xludf.DUMMYFUNCTION("""COMPUTED_VALUE"""),6.0)</f>
        <v>6</v>
      </c>
      <c r="AB130" s="252" t="str">
        <f>IFERROR(__xludf.DUMMYFUNCTION("""COMPUTED_VALUE"""),"Reparando en terreno")</f>
        <v>Reparando en terreno</v>
      </c>
      <c r="AC130" s="252"/>
      <c r="AD130" s="252">
        <f>IFERROR(__xludf.DUMMYFUNCTION("""COMPUTED_VALUE"""),748.0)</f>
        <v>748</v>
      </c>
      <c r="AE130" s="252" t="str">
        <f>IFERROR(__xludf.DUMMYFUNCTION("""COMPUTED_VALUE"""),"Alerta incidente")</f>
        <v>Alerta incidente</v>
      </c>
      <c r="AF130" s="252">
        <f>IFERROR(__xludf.DUMMYFUNCTION("""COMPUTED_VALUE"""),11.0)</f>
        <v>11</v>
      </c>
      <c r="AG130" s="252" t="str">
        <f>IFERROR(__xludf.DUMMYFUNCTION("""COMPUTED_VALUE"""),"[CT-14 RCKP70] - MERCEDEZ BENZ AROCS 3342")</f>
        <v>[CT-14 RCKP70] - MERCEDEZ BENZ AROCS 3342</v>
      </c>
      <c r="AH130" s="252">
        <f>IFERROR(__xludf.DUMMYFUNCTION("""COMPUTED_VALUE"""),11827.0)</f>
        <v>11827</v>
      </c>
      <c r="AI130" s="252">
        <f>IFERROR(__xludf.DUMMYFUNCTION("""COMPUTED_VALUE"""),363044.0)</f>
        <v>363044</v>
      </c>
      <c r="AJ130" s="882">
        <f>IFERROR(__xludf.DUMMYFUNCTION("""COMPUTED_VALUE"""),46096.61337962963)</f>
        <v>46096.61338</v>
      </c>
      <c r="AK130" s="882">
        <f>IFERROR(__xludf.DUMMYFUNCTION("""COMPUTED_VALUE"""),46096.61342592593)</f>
        <v>46096.61343</v>
      </c>
      <c r="AL130" s="880">
        <f>IFERROR(__xludf.DUMMYFUNCTION("""COMPUTED_VALUE"""),12068.0)</f>
        <v>12068</v>
      </c>
      <c r="AM130" s="252"/>
      <c r="AN130" s="252" t="str">
        <f>IFERROR(__xludf.DUMMYFUNCTION("""COMPUTED_VALUE"""),"OT260226170040")</f>
        <v>OT260226170040</v>
      </c>
      <c r="AO130" s="252" t="str">
        <f>IFERROR(__xludf.DUMMYFUNCTION("""COMPUTED_VALUE"""),"Hr")</f>
        <v>Hr</v>
      </c>
      <c r="AP130" s="252" t="str">
        <f>IFERROR(__xludf.DUMMYFUNCTION("""COMPUTED_VALUE"""),"IS250408091110")</f>
        <v>IS250408091110</v>
      </c>
      <c r="AQ130" s="252">
        <f>IFERROR(__xludf.DUMMYFUNCTION("""COMPUTED_VALUE"""),9507.0)</f>
        <v>9507</v>
      </c>
      <c r="AR130" s="252">
        <f>IFERROR(__xludf.DUMMYFUNCTION("""COMPUTED_VALUE"""),88266.0)</f>
        <v>88266</v>
      </c>
      <c r="AS130" s="881">
        <f>IFERROR(__xludf.DUMMYFUNCTION("""COMPUTED_VALUE"""),44927.0)</f>
        <v>44927</v>
      </c>
      <c r="AT130" s="881">
        <f>IFERROR(__xludf.DUMMYFUNCTION("""COMPUTED_VALUE"""),44927.0)</f>
        <v>44927</v>
      </c>
      <c r="AU130" s="252" t="str">
        <f>IFERROR(__xludf.DUMMYFUNCTION("""COMPUTED_VALUE"""),"RDC260305150048")</f>
        <v>RDC260305150048</v>
      </c>
      <c r="AV130" s="252" t="str">
        <f>IFERROR(__xludf.DUMMYFUNCTION("""COMPUTED_VALUE"""),"RCO260306161924")</f>
        <v>RCO260306161924</v>
      </c>
      <c r="AW130" s="252">
        <f>IFERROR(__xludf.DUMMYFUNCTION("""COMPUTED_VALUE"""),99.0)</f>
        <v>99</v>
      </c>
      <c r="AX130" s="252">
        <f>IFERROR(__xludf.DUMMYFUNCTION("""COMPUTED_VALUE"""),122.0)</f>
        <v>122</v>
      </c>
      <c r="AY130" s="252">
        <f>IFERROR(__xludf.DUMMYFUNCTION("""COMPUTED_VALUE"""),2082.0)</f>
        <v>2082</v>
      </c>
      <c r="AZ130" s="884">
        <f>IFERROR(__xludf.DUMMYFUNCTION("""COMPUTED_VALUE"""),46087.0)</f>
        <v>46087</v>
      </c>
    </row>
    <row r="131">
      <c r="A131" s="252" t="str">
        <f>IFERROR(__xludf.DUMMYFUNCTION("""COMPUTED_VALUE"""),"m000035")</f>
        <v>m000035</v>
      </c>
      <c r="B131" s="252" t="str">
        <f>IFERROR(__xludf.DUMMYFUNCTION("""COMPUTED_VALUE"""),"CT-15 RCKP71")</f>
        <v>CT-15 RCKP71</v>
      </c>
      <c r="C131" s="252" t="str">
        <f>IFERROR(__xludf.DUMMYFUNCTION("""COMPUTED_VALUE"""),"CAMION TOLVA")</f>
        <v>CAMION TOLVA</v>
      </c>
      <c r="D131" s="252" t="str">
        <f>IFERROR(__xludf.DUMMYFUNCTION("""COMPUTED_VALUE"""),"TOLVA")</f>
        <v>TOLVA</v>
      </c>
      <c r="E131" s="252" t="str">
        <f>IFERROR(__xludf.DUMMYFUNCTION("""COMPUTED_VALUE"""),"MERCEDEZ BENZ")</f>
        <v>MERCEDEZ BENZ</v>
      </c>
      <c r="F131" s="252" t="str">
        <f>IFERROR(__xludf.DUMMYFUNCTION("""COMPUTED_VALUE"""),"AROCS 3342")</f>
        <v>AROCS 3342</v>
      </c>
      <c r="G131" s="252">
        <f>IFERROR(__xludf.DUMMYFUNCTION("""COMPUTED_VALUE"""),2022.0)</f>
        <v>2022</v>
      </c>
      <c r="H131" s="252" t="str">
        <f>IFERROR(__xludf.DUMMYFUNCTION("""COMPUTED_VALUE"""),"471922C0652332")</f>
        <v>471922C0652332</v>
      </c>
      <c r="I131" s="252" t="str">
        <f>IFERROR(__xludf.DUMMYFUNCTION("""COMPUTED_VALUE"""),"W1T964216N0535586")</f>
        <v>W1T964216N0535586</v>
      </c>
      <c r="J131" s="252" t="str">
        <f>IFERROR(__xludf.DUMMYFUNCTION("""COMPUTED_VALUE"""),"RCKP71")</f>
        <v>RCKP71</v>
      </c>
      <c r="K131" s="252" t="str">
        <f>IFERROR(__xludf.DUMMYFUNCTION("""COMPUTED_VALUE"""),"BK")</f>
        <v>BK</v>
      </c>
      <c r="L131" s="252"/>
      <c r="M131" s="252"/>
      <c r="N131" s="252"/>
      <c r="O131" s="252"/>
      <c r="P131" s="252"/>
      <c r="Q131" s="252"/>
      <c r="R131" s="252"/>
      <c r="S131" s="252" t="str">
        <f>IFERROR(__xludf.DUMMYFUNCTION("""COMPUTED_VALUE"""),"15")</f>
        <v>15</v>
      </c>
      <c r="T131" s="252"/>
      <c r="U131" s="252"/>
      <c r="V131" s="252">
        <f>IFERROR(__xludf.DUMMYFUNCTION("""COMPUTED_VALUE"""),0.0)</f>
        <v>0</v>
      </c>
      <c r="W131" s="252">
        <f>IFERROR(__xludf.DUMMYFUNCTION("""COMPUTED_VALUE"""),4.0)</f>
        <v>4</v>
      </c>
      <c r="X131" s="252">
        <f>IFERROR(__xludf.DUMMYFUNCTION("""COMPUTED_VALUE"""),4.0)</f>
        <v>4</v>
      </c>
      <c r="Y131" s="252">
        <f>IFERROR(__xludf.DUMMYFUNCTION("""COMPUTED_VALUE"""),4.0)</f>
        <v>4</v>
      </c>
      <c r="Z131" s="252">
        <f>IFERROR(__xludf.DUMMYFUNCTION("""COMPUTED_VALUE"""),6.0)</f>
        <v>6</v>
      </c>
      <c r="AA131" s="252">
        <f>IFERROR(__xludf.DUMMYFUNCTION("""COMPUTED_VALUE"""),6.0)</f>
        <v>6</v>
      </c>
      <c r="AB131" s="252" t="str">
        <f>IFERROR(__xludf.DUMMYFUNCTION("""COMPUTED_VALUE"""),"En producción")</f>
        <v>En producción</v>
      </c>
      <c r="AC131" s="252"/>
      <c r="AD131" s="252">
        <f>IFERROR(__xludf.DUMMYFUNCTION("""COMPUTED_VALUE"""),750.0)</f>
        <v>750</v>
      </c>
      <c r="AE131" s="252" t="str">
        <f>IFERROR(__xludf.DUMMYFUNCTION("""COMPUTED_VALUE"""),"Sin incidentes")</f>
        <v>Sin incidentes</v>
      </c>
      <c r="AF131" s="252">
        <f>IFERROR(__xludf.DUMMYFUNCTION("""COMPUTED_VALUE"""),1.0)</f>
        <v>1</v>
      </c>
      <c r="AG131" s="252" t="str">
        <f>IFERROR(__xludf.DUMMYFUNCTION("""COMPUTED_VALUE"""),"[CT-15 RCKP71] - MERCEDEZ BENZ AROCS 3342")</f>
        <v>[CT-15 RCKP71] - MERCEDEZ BENZ AROCS 3342</v>
      </c>
      <c r="AH131" s="252">
        <f>IFERROR(__xludf.DUMMYFUNCTION("""COMPUTED_VALUE"""),11540.0)</f>
        <v>11540</v>
      </c>
      <c r="AI131" s="252">
        <f>IFERROR(__xludf.DUMMYFUNCTION("""COMPUTED_VALUE"""),144888.0)</f>
        <v>144888</v>
      </c>
      <c r="AJ131" s="882">
        <f>IFERROR(__xludf.DUMMYFUNCTION("""COMPUTED_VALUE"""),46096.8403587963)</f>
        <v>46096.84036</v>
      </c>
      <c r="AK131" s="882">
        <f>IFERROR(__xludf.DUMMYFUNCTION("""COMPUTED_VALUE"""),46096.84039351852)</f>
        <v>46096.84039</v>
      </c>
      <c r="AL131" s="880">
        <f>IFERROR(__xludf.DUMMYFUNCTION("""COMPUTED_VALUE"""),11441.0)</f>
        <v>11441</v>
      </c>
      <c r="AM131" s="252"/>
      <c r="AN131" s="252" t="str">
        <f>IFERROR(__xludf.DUMMYFUNCTION("""COMPUTED_VALUE"""),"OT260120163938")</f>
        <v>OT260120163938</v>
      </c>
      <c r="AO131" s="252" t="str">
        <f>IFERROR(__xludf.DUMMYFUNCTION("""COMPUTED_VALUE"""),"Hr")</f>
        <v>Hr</v>
      </c>
      <c r="AP131" s="252" t="str">
        <f>IFERROR(__xludf.DUMMYFUNCTION("""COMPUTED_VALUE"""),"IS250826082625")</f>
        <v>IS250826082625</v>
      </c>
      <c r="AQ131" s="252">
        <f>IFERROR(__xludf.DUMMYFUNCTION("""COMPUTED_VALUE"""),9456.0)</f>
        <v>9456</v>
      </c>
      <c r="AR131" s="252">
        <f>IFERROR(__xludf.DUMMYFUNCTION("""COMPUTED_VALUE"""),87686.0)</f>
        <v>87686</v>
      </c>
      <c r="AS131" s="881">
        <f>IFERROR(__xludf.DUMMYFUNCTION("""COMPUTED_VALUE"""),44927.0)</f>
        <v>44927</v>
      </c>
      <c r="AT131" s="881">
        <f>IFERROR(__xludf.DUMMYFUNCTION("""COMPUTED_VALUE"""),44927.0)</f>
        <v>44927</v>
      </c>
      <c r="AU131" s="252" t="str">
        <f>IFERROR(__xludf.DUMMYFUNCTION("""COMPUTED_VALUE"""),"RDC260315201628")</f>
        <v>RDC260315201628</v>
      </c>
      <c r="AV131" s="252" t="str">
        <f>IFERROR(__xludf.DUMMYFUNCTION("""COMPUTED_VALUE"""),"RCO260225184648")</f>
        <v>RCO260225184648</v>
      </c>
      <c r="AW131" s="252">
        <f>IFERROR(__xludf.DUMMYFUNCTION("""COMPUTED_VALUE"""),140.0)</f>
        <v>140</v>
      </c>
      <c r="AX131" s="252">
        <f>IFERROR(__xludf.DUMMYFUNCTION("""COMPUTED_VALUE"""),15.0)</f>
        <v>15</v>
      </c>
      <c r="AY131" s="252">
        <f>IFERROR(__xludf.DUMMYFUNCTION("""COMPUTED_VALUE"""),0.0)</f>
        <v>0</v>
      </c>
      <c r="AZ131" s="883">
        <f>IFERROR(__xludf.DUMMYFUNCTION("""COMPUTED_VALUE"""),46078.0)</f>
        <v>46078</v>
      </c>
    </row>
    <row r="132">
      <c r="A132" s="252" t="str">
        <f>IFERROR(__xludf.DUMMYFUNCTION("""COMPUTED_VALUE"""),"m000036")</f>
        <v>m000036</v>
      </c>
      <c r="B132" s="252" t="str">
        <f>IFERROR(__xludf.DUMMYFUNCTION("""COMPUTED_VALUE"""),"CT-16 RCKP72")</f>
        <v>CT-16 RCKP72</v>
      </c>
      <c r="C132" s="252" t="str">
        <f>IFERROR(__xludf.DUMMYFUNCTION("""COMPUTED_VALUE"""),"CAMION TOLVA")</f>
        <v>CAMION TOLVA</v>
      </c>
      <c r="D132" s="252" t="str">
        <f>IFERROR(__xludf.DUMMYFUNCTION("""COMPUTED_VALUE"""),"TOLVA")</f>
        <v>TOLVA</v>
      </c>
      <c r="E132" s="252" t="str">
        <f>IFERROR(__xludf.DUMMYFUNCTION("""COMPUTED_VALUE"""),"MERCEDEZ BENZ")</f>
        <v>MERCEDEZ BENZ</v>
      </c>
      <c r="F132" s="252" t="str">
        <f>IFERROR(__xludf.DUMMYFUNCTION("""COMPUTED_VALUE"""),"AROCS 3342")</f>
        <v>AROCS 3342</v>
      </c>
      <c r="G132" s="252">
        <f>IFERROR(__xludf.DUMMYFUNCTION("""COMPUTED_VALUE"""),2022.0)</f>
        <v>2022</v>
      </c>
      <c r="H132" s="252" t="str">
        <f>IFERROR(__xludf.DUMMYFUNCTION("""COMPUTED_VALUE"""),"471922C0654201")</f>
        <v>471922C0654201</v>
      </c>
      <c r="I132" s="252" t="str">
        <f>IFERROR(__xludf.DUMMYFUNCTION("""COMPUTED_VALUE"""),"W1T964216N0536999")</f>
        <v>W1T964216N0536999</v>
      </c>
      <c r="J132" s="252" t="str">
        <f>IFERROR(__xludf.DUMMYFUNCTION("""COMPUTED_VALUE"""),"RCKP72")</f>
        <v>RCKP72</v>
      </c>
      <c r="K132" s="252" t="str">
        <f>IFERROR(__xludf.DUMMYFUNCTION("""COMPUTED_VALUE"""),"BK")</f>
        <v>BK</v>
      </c>
      <c r="L132" s="252"/>
      <c r="M132" s="252"/>
      <c r="N132" s="252"/>
      <c r="O132" s="252"/>
      <c r="P132" s="252"/>
      <c r="Q132" s="252"/>
      <c r="R132" s="252"/>
      <c r="S132" s="252" t="str">
        <f>IFERROR(__xludf.DUMMYFUNCTION("""COMPUTED_VALUE"""),"15")</f>
        <v>15</v>
      </c>
      <c r="T132" s="252"/>
      <c r="U132" s="252"/>
      <c r="V132" s="252">
        <f>IFERROR(__xludf.DUMMYFUNCTION("""COMPUTED_VALUE"""),0.0)</f>
        <v>0</v>
      </c>
      <c r="W132" s="252">
        <f>IFERROR(__xludf.DUMMYFUNCTION("""COMPUTED_VALUE"""),4.0)</f>
        <v>4</v>
      </c>
      <c r="X132" s="252">
        <f>IFERROR(__xludf.DUMMYFUNCTION("""COMPUTED_VALUE"""),4.0)</f>
        <v>4</v>
      </c>
      <c r="Y132" s="252">
        <f>IFERROR(__xludf.DUMMYFUNCTION("""COMPUTED_VALUE"""),4.0)</f>
        <v>4</v>
      </c>
      <c r="Z132" s="252">
        <f>IFERROR(__xludf.DUMMYFUNCTION("""COMPUTED_VALUE"""),6.0)</f>
        <v>6</v>
      </c>
      <c r="AA132" s="252">
        <f>IFERROR(__xludf.DUMMYFUNCTION("""COMPUTED_VALUE"""),6.0)</f>
        <v>6</v>
      </c>
      <c r="AB132" s="252" t="str">
        <f>IFERROR(__xludf.DUMMYFUNCTION("""COMPUTED_VALUE"""),"Reparando en terreno")</f>
        <v>Reparando en terreno</v>
      </c>
      <c r="AC132" s="252" t="str">
        <f>IFERROR(__xludf.DUMMYFUNCTION("""COMPUTED_VALUE"""),"MAQUINAS_Images/m000036.FOTO1.195850.jpg")</f>
        <v>MAQUINAS_Images/m000036.FOTO1.195850.jpg</v>
      </c>
      <c r="AD132" s="252">
        <f>IFERROR(__xludf.DUMMYFUNCTION("""COMPUTED_VALUE"""),995.0)</f>
        <v>995</v>
      </c>
      <c r="AE132" s="252" t="str">
        <f>IFERROR(__xludf.DUMMYFUNCTION("""COMPUTED_VALUE"""),"Alerta incidente")</f>
        <v>Alerta incidente</v>
      </c>
      <c r="AF132" s="252">
        <f>IFERROR(__xludf.DUMMYFUNCTION("""COMPUTED_VALUE"""),4.0)</f>
        <v>4</v>
      </c>
      <c r="AG132" s="252" t="str">
        <f>IFERROR(__xludf.DUMMYFUNCTION("""COMPUTED_VALUE"""),"[CT-16 RCKP72] - MERCEDEZ BENZ AROCS 3342")</f>
        <v>[CT-16 RCKP72] - MERCEDEZ BENZ AROCS 3342</v>
      </c>
      <c r="AH132" s="252">
        <f>IFERROR(__xludf.DUMMYFUNCTION("""COMPUTED_VALUE"""),99334.0)</f>
        <v>99334</v>
      </c>
      <c r="AI132" s="252">
        <f>IFERROR(__xludf.DUMMYFUNCTION("""COMPUTED_VALUE"""),7686923.0)</f>
        <v>7686923</v>
      </c>
      <c r="AJ132" s="882">
        <f>IFERROR(__xludf.DUMMYFUNCTION("""COMPUTED_VALUE"""),46095.53828703704)</f>
        <v>46095.53829</v>
      </c>
      <c r="AK132" s="882">
        <f>IFERROR(__xludf.DUMMYFUNCTION("""COMPUTED_VALUE"""),46095.538356481484)</f>
        <v>46095.53836</v>
      </c>
      <c r="AL132" s="880">
        <f>IFERROR(__xludf.DUMMYFUNCTION("""COMPUTED_VALUE"""),99684.0)</f>
        <v>99684</v>
      </c>
      <c r="AM132" s="252"/>
      <c r="AN132" s="252" t="str">
        <f>IFERROR(__xludf.DUMMYFUNCTION("""COMPUTED_VALUE"""),"OT260302095414")</f>
        <v>OT260302095414</v>
      </c>
      <c r="AO132" s="252" t="str">
        <f>IFERROR(__xludf.DUMMYFUNCTION("""COMPUTED_VALUE"""),"Hr")</f>
        <v>Hr</v>
      </c>
      <c r="AP132" s="252" t="str">
        <f>IFERROR(__xludf.DUMMYFUNCTION("""COMPUTED_VALUE"""),"IS251202105112")</f>
        <v>IS251202105112</v>
      </c>
      <c r="AQ132" s="252">
        <f>IFERROR(__xludf.DUMMYFUNCTION("""COMPUTED_VALUE"""),8783.0)</f>
        <v>8783</v>
      </c>
      <c r="AR132" s="252">
        <f>IFERROR(__xludf.DUMMYFUNCTION("""COMPUTED_VALUE"""),73161.0)</f>
        <v>73161</v>
      </c>
      <c r="AS132" s="881">
        <f>IFERROR(__xludf.DUMMYFUNCTION("""COMPUTED_VALUE"""),44927.0)</f>
        <v>44927</v>
      </c>
      <c r="AT132" s="881">
        <f>IFERROR(__xludf.DUMMYFUNCTION("""COMPUTED_VALUE"""),44927.0)</f>
        <v>44927</v>
      </c>
      <c r="AU132" s="252" t="str">
        <f>IFERROR(__xludf.DUMMYFUNCTION("""COMPUTED_VALUE"""),"RDC260311182114")</f>
        <v>RDC260311182114</v>
      </c>
      <c r="AV132" s="252" t="str">
        <f>IFERROR(__xludf.DUMMYFUNCTION("""COMPUTED_VALUE"""),"RCO260314144307")</f>
        <v>RCO260314144307</v>
      </c>
      <c r="AW132" s="252">
        <f>IFERROR(__xludf.DUMMYFUNCTION("""COMPUTED_VALUE"""),125.0)</f>
        <v>125</v>
      </c>
      <c r="AX132" s="252">
        <f>IFERROR(__xludf.DUMMYFUNCTION("""COMPUTED_VALUE"""),10.0)</f>
        <v>10</v>
      </c>
      <c r="AY132" s="252">
        <f>IFERROR(__xludf.DUMMYFUNCTION("""COMPUTED_VALUE"""),0.0)</f>
        <v>0</v>
      </c>
      <c r="AZ132" s="884">
        <f>IFERROR(__xludf.DUMMYFUNCTION("""COMPUTED_VALUE"""),46095.0)</f>
        <v>46095</v>
      </c>
    </row>
    <row r="133">
      <c r="A133" s="252" t="str">
        <f>IFERROR(__xludf.DUMMYFUNCTION("""COMPUTED_VALUE"""),"m000040")</f>
        <v>m000040</v>
      </c>
      <c r="B133" s="252" t="str">
        <f>IFERROR(__xludf.DUMMYFUNCTION("""COMPUTED_VALUE"""),"G-01")</f>
        <v>G-01</v>
      </c>
      <c r="C133" s="252" t="str">
        <f>IFERROR(__xludf.DUMMYFUNCTION("""COMPUTED_VALUE"""),"GENERADOR")</f>
        <v>GENERADOR</v>
      </c>
      <c r="D133" s="252" t="str">
        <f>IFERROR(__xludf.DUMMYFUNCTION("""COMPUTED_VALUE"""),"GENERADOR")</f>
        <v>GENERADOR</v>
      </c>
      <c r="E133" s="252" t="str">
        <f>IFERROR(__xludf.DUMMYFUNCTION("""COMPUTED_VALUE"""),"JOHN DEERE")</f>
        <v>JOHN DEERE</v>
      </c>
      <c r="F133" s="252" t="str">
        <f>IFERROR(__xludf.DUMMYFUNCTION("""COMPUTED_VALUE"""),"J-130 130 / kva")</f>
        <v>J-130 130 / kva</v>
      </c>
      <c r="G133" s="252"/>
      <c r="H133" s="252"/>
      <c r="I133" s="252"/>
      <c r="J133" s="252"/>
      <c r="K133" s="252" t="str">
        <f>IFERROR(__xludf.DUMMYFUNCTION("""COMPUTED_VALUE"""),"ECMA")</f>
        <v>ECMA</v>
      </c>
      <c r="L133" s="252"/>
      <c r="M133" s="252"/>
      <c r="N133" s="252"/>
      <c r="O133" s="252"/>
      <c r="P133" s="252"/>
      <c r="Q133" s="252"/>
      <c r="R133" s="252"/>
      <c r="S133" s="252"/>
      <c r="T133" s="252"/>
      <c r="U133" s="252" t="str">
        <f>IFERROR(__xludf.DUMMYFUNCTION("""COMPUTED_VALUE"""),"Cambiar empaquetadura tapa válvulas,cambio de cañeria inyector por fuga de combustible, cambio de termostato y correas limpieza de radiador")</f>
        <v>Cambiar empaquetadura tapa válvulas,cambio de cañeria inyector por fuga de combustible, cambio de termostato y correas limpieza de radiador</v>
      </c>
      <c r="V133" s="252">
        <f>IFERROR(__xludf.DUMMYFUNCTION("""COMPUTED_VALUE"""),0.0)</f>
        <v>0</v>
      </c>
      <c r="W133" s="252">
        <f>IFERROR(__xludf.DUMMYFUNCTION("""COMPUTED_VALUE"""),24.0)</f>
        <v>24</v>
      </c>
      <c r="X133" s="252">
        <f>IFERROR(__xludf.DUMMYFUNCTION("""COMPUTED_VALUE"""),24.0)</f>
        <v>24</v>
      </c>
      <c r="Y133" s="252">
        <f>IFERROR(__xludf.DUMMYFUNCTION("""COMPUTED_VALUE"""),24.0)</f>
        <v>24</v>
      </c>
      <c r="Z133" s="252">
        <f>IFERROR(__xludf.DUMMYFUNCTION("""COMPUTED_VALUE"""),24.0)</f>
        <v>24</v>
      </c>
      <c r="AA133" s="252">
        <f>IFERROR(__xludf.DUMMYFUNCTION("""COMPUTED_VALUE"""),24.0)</f>
        <v>24</v>
      </c>
      <c r="AB133" s="252" t="str">
        <f>IFERROR(__xludf.DUMMYFUNCTION("""COMPUTED_VALUE"""),"Patio LL")</f>
        <v>Patio LL</v>
      </c>
      <c r="AC133" s="252"/>
      <c r="AD133" s="252">
        <f>IFERROR(__xludf.DUMMYFUNCTION("""COMPUTED_VALUE"""),1101.0)</f>
        <v>1101</v>
      </c>
      <c r="AE133" s="252" t="str">
        <f>IFERROR(__xludf.DUMMYFUNCTION("""COMPUTED_VALUE"""),"Sin incidentes")</f>
        <v>Sin incidentes</v>
      </c>
      <c r="AF133" s="252">
        <f>IFERROR(__xludf.DUMMYFUNCTION("""COMPUTED_VALUE"""),1.0)</f>
        <v>1</v>
      </c>
      <c r="AG133" s="252" t="str">
        <f>IFERROR(__xludf.DUMMYFUNCTION("""COMPUTED_VALUE"""),"[G-01] - JOHN DEERE J-130 130 / kva")</f>
        <v>[G-01] - JOHN DEERE J-130 130 / kva</v>
      </c>
      <c r="AH133" s="252">
        <f>IFERROR(__xludf.DUMMYFUNCTION("""COMPUTED_VALUE"""),4347.0)</f>
        <v>4347</v>
      </c>
      <c r="AI133" s="252">
        <f>IFERROR(__xludf.DUMMYFUNCTION("""COMPUTED_VALUE"""),1.0)</f>
        <v>1</v>
      </c>
      <c r="AJ133" s="882">
        <f>IFERROR(__xludf.DUMMYFUNCTION("""COMPUTED_VALUE"""),46096.31921296296)</f>
        <v>46096.31921</v>
      </c>
      <c r="AK133" s="885">
        <f>IFERROR(__xludf.DUMMYFUNCTION("""COMPUTED_VALUE"""),46096.31927083333)</f>
        <v>46096.31927</v>
      </c>
      <c r="AL133" s="880">
        <f>IFERROR(__xludf.DUMMYFUNCTION("""COMPUTED_VALUE"""),4662.0)</f>
        <v>4662</v>
      </c>
      <c r="AM133" s="880" t="str">
        <f>IFERROR(__xludf.DUMMYFUNCTION("""COMPUTED_VALUE"""),"")</f>
        <v/>
      </c>
      <c r="AN133" s="252" t="str">
        <f>IFERROR(__xludf.DUMMYFUNCTION("""COMPUTED_VALUE"""),"OT260314130720")</f>
        <v>OT260314130720</v>
      </c>
      <c r="AO133" s="252" t="str">
        <f>IFERROR(__xludf.DUMMYFUNCTION("""COMPUTED_VALUE"""),"Hr")</f>
        <v>Hr</v>
      </c>
      <c r="AP133" s="252" t="str">
        <f>IFERROR(__xludf.DUMMYFUNCTION("""COMPUTED_VALUE"""),"IS250312121630")</f>
        <v>IS250312121630</v>
      </c>
      <c r="AQ133" s="252">
        <f>IFERROR(__xludf.DUMMYFUNCTION("""COMPUTED_VALUE"""),3795.0)</f>
        <v>3795</v>
      </c>
      <c r="AR133" s="252"/>
      <c r="AS133" s="881">
        <f>IFERROR(__xludf.DUMMYFUNCTION("""COMPUTED_VALUE"""),44927.0)</f>
        <v>44927</v>
      </c>
      <c r="AT133" s="881">
        <f>IFERROR(__xludf.DUMMYFUNCTION("""COMPUTED_VALUE"""),44927.0)</f>
        <v>44927</v>
      </c>
      <c r="AU133" s="252" t="str">
        <f>IFERROR(__xludf.DUMMYFUNCTION("""COMPUTED_VALUE"""),"RDC260312220342")</f>
        <v>RDC260312220342</v>
      </c>
      <c r="AV133" s="252" t="str">
        <f>IFERROR(__xludf.DUMMYFUNCTION("""COMPUTED_VALUE"""),"RCO260315093401")</f>
        <v>RCO260315093401</v>
      </c>
      <c r="AW133" s="252">
        <f>IFERROR(__xludf.DUMMYFUNCTION("""COMPUTED_VALUE"""),95.0)</f>
        <v>95</v>
      </c>
      <c r="AX133" s="252">
        <f>IFERROR(__xludf.DUMMYFUNCTION("""COMPUTED_VALUE"""),15.0)</f>
        <v>15</v>
      </c>
      <c r="AY133" s="252">
        <f>IFERROR(__xludf.DUMMYFUNCTION("""COMPUTED_VALUE"""),0.0)</f>
        <v>0</v>
      </c>
      <c r="AZ133" s="884">
        <f>IFERROR(__xludf.DUMMYFUNCTION("""COMPUTED_VALUE"""),46096.0)</f>
        <v>46096</v>
      </c>
    </row>
    <row r="134">
      <c r="A134" s="252" t="str">
        <f>IFERROR(__xludf.DUMMYFUNCTION("""COMPUTED_VALUE"""),"m000041")</f>
        <v>m000041</v>
      </c>
      <c r="B134" s="252" t="str">
        <f>IFERROR(__xludf.DUMMYFUNCTION("""COMPUTED_VALUE"""),"G-02")</f>
        <v>G-02</v>
      </c>
      <c r="C134" s="252" t="str">
        <f>IFERROR(__xludf.DUMMYFUNCTION("""COMPUTED_VALUE"""),"GENERADOR")</f>
        <v>GENERADOR</v>
      </c>
      <c r="D134" s="252" t="str">
        <f>IFERROR(__xludf.DUMMYFUNCTION("""COMPUTED_VALUE"""),"GENERADOR")</f>
        <v>GENERADOR</v>
      </c>
      <c r="E134" s="252" t="str">
        <f>IFERROR(__xludf.DUMMYFUNCTION("""COMPUTED_VALUE"""),"JCB")</f>
        <v>JCB</v>
      </c>
      <c r="F134" s="252" t="str">
        <f>IFERROR(__xludf.DUMMYFUNCTION("""COMPUTED_VALUE"""),"G220X")</f>
        <v>G220X</v>
      </c>
      <c r="G134" s="252">
        <f>IFERROR(__xludf.DUMMYFUNCTION("""COMPUTED_VALUE"""),2013.0)</f>
        <v>2013</v>
      </c>
      <c r="H134" s="252">
        <f>IFERROR(__xludf.DUMMYFUNCTION("""COMPUTED_VALUE"""),1652274.0)</f>
        <v>1652274</v>
      </c>
      <c r="I134" s="252"/>
      <c r="J134" s="252"/>
      <c r="K134" s="252" t="str">
        <f>IFERROR(__xludf.DUMMYFUNCTION("""COMPUTED_VALUE"""),"ECMA")</f>
        <v>ECMA</v>
      </c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  <c r="AA134" s="252"/>
      <c r="AB134" s="252" t="str">
        <f>IFERROR(__xludf.DUMMYFUNCTION("""COMPUTED_VALUE"""),"Discontinuado")</f>
        <v>Discontinuado</v>
      </c>
      <c r="AC134" s="252"/>
      <c r="AD134" s="252"/>
      <c r="AE134" s="252" t="str">
        <f>IFERROR(__xludf.DUMMYFUNCTION("""COMPUTED_VALUE"""),"Sin incidentes")</f>
        <v>Sin incidentes</v>
      </c>
      <c r="AF134" s="252">
        <f>IFERROR(__xludf.DUMMYFUNCTION("""COMPUTED_VALUE"""),1.0)</f>
        <v>1</v>
      </c>
      <c r="AG134" s="252" t="str">
        <f>IFERROR(__xludf.DUMMYFUNCTION("""COMPUTED_VALUE"""),"[G-02] - JCB G220X")</f>
        <v>[G-02] - JCB G220X</v>
      </c>
      <c r="AH134" s="252"/>
      <c r="AI134" s="252"/>
      <c r="AJ134" s="252"/>
      <c r="AK134" s="252"/>
      <c r="AL134" s="880" t="str">
        <f>IFERROR(__xludf.DUMMYFUNCTION("""COMPUTED_VALUE"""),"")</f>
        <v/>
      </c>
      <c r="AM134" s="880" t="str">
        <f>IFERROR(__xludf.DUMMYFUNCTION("""COMPUTED_VALUE"""),"")</f>
        <v/>
      </c>
      <c r="AN134" s="252"/>
      <c r="AO134" s="252" t="str">
        <f>IFERROR(__xludf.DUMMYFUNCTION("""COMPUTED_VALUE"""),"N/A")</f>
        <v>N/A</v>
      </c>
      <c r="AP134" s="252" t="str">
        <f>IFERROR(__xludf.DUMMYFUNCTION("""COMPUTED_VALUE"""),"IS250916094358")</f>
        <v>IS250916094358</v>
      </c>
      <c r="AQ134" s="252"/>
      <c r="AR134" s="252"/>
      <c r="AS134" s="881">
        <f>IFERROR(__xludf.DUMMYFUNCTION("""COMPUTED_VALUE"""),44927.0)</f>
        <v>44927</v>
      </c>
      <c r="AT134" s="881">
        <f>IFERROR(__xludf.DUMMYFUNCTION("""COMPUTED_VALUE"""),44927.0)</f>
        <v>44927</v>
      </c>
      <c r="AU134" s="252"/>
      <c r="AV134" s="252"/>
      <c r="AW134" s="252"/>
      <c r="AX134" s="252"/>
      <c r="AY134" s="252"/>
      <c r="AZ134" s="252"/>
    </row>
    <row r="135">
      <c r="A135" s="252" t="str">
        <f>IFERROR(__xludf.DUMMYFUNCTION("""COMPUTED_VALUE"""),"m000042")</f>
        <v>m000042</v>
      </c>
      <c r="B135" s="252" t="str">
        <f>IFERROR(__xludf.DUMMYFUNCTION("""COMPUTED_VALUE"""),"G-03")</f>
        <v>G-03</v>
      </c>
      <c r="C135" s="252" t="str">
        <f>IFERROR(__xludf.DUMMYFUNCTION("""COMPUTED_VALUE"""),"GENERADOR")</f>
        <v>GENERADOR</v>
      </c>
      <c r="D135" s="252" t="str">
        <f>IFERROR(__xludf.DUMMYFUNCTION("""COMPUTED_VALUE"""),"GENERADOR")</f>
        <v>GENERADOR</v>
      </c>
      <c r="E135" s="252" t="str">
        <f>IFERROR(__xludf.DUMMYFUNCTION("""COMPUTED_VALUE"""),"CUMMINS")</f>
        <v>CUMMINS</v>
      </c>
      <c r="F135" s="252" t="str">
        <f>IFERROR(__xludf.DUMMYFUNCTION("""COMPUTED_VALUE"""),"C440 D5")</f>
        <v>C440 D5</v>
      </c>
      <c r="G135" s="252">
        <f>IFERROR(__xludf.DUMMYFUNCTION("""COMPUTED_VALUE"""),2018.0)</f>
        <v>2018</v>
      </c>
      <c r="H135" s="252">
        <f>IFERROR(__xludf.DUMMYFUNCTION("""COMPUTED_VALUE"""),7.960179E7)</f>
        <v>79601790</v>
      </c>
      <c r="I135" s="252" t="str">
        <f>IFERROR(__xludf.DUMMYFUNCTION("""COMPUTED_VALUE"""),"I12K387157")</f>
        <v>I12K387157</v>
      </c>
      <c r="J135" s="252"/>
      <c r="K135" s="252" t="str">
        <f>IFERROR(__xludf.DUMMYFUNCTION("""COMPUTED_VALUE"""),"ECMA")</f>
        <v>ECMA</v>
      </c>
      <c r="L135" s="252" t="str">
        <f>IFERROR(__xludf.DUMMYFUNCTION("""COMPUTED_VALUE"""),"440 KVA")</f>
        <v>440 KVA</v>
      </c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  <c r="AA135" s="252"/>
      <c r="AB135" s="252" t="str">
        <f>IFERROR(__xludf.DUMMYFUNCTION("""COMPUTED_VALUE"""),"En producción")</f>
        <v>En producción</v>
      </c>
      <c r="AC135" s="252"/>
      <c r="AD135" s="252">
        <f>IFERROR(__xludf.DUMMYFUNCTION("""COMPUTED_VALUE"""),90.0)</f>
        <v>90</v>
      </c>
      <c r="AE135" s="252" t="str">
        <f>IFERROR(__xludf.DUMMYFUNCTION("""COMPUTED_VALUE"""),"Sin incidentes")</f>
        <v>Sin incidentes</v>
      </c>
      <c r="AF135" s="252">
        <f>IFERROR(__xludf.DUMMYFUNCTION("""COMPUTED_VALUE"""),1.0)</f>
        <v>1</v>
      </c>
      <c r="AG135" s="252" t="str">
        <f>IFERROR(__xludf.DUMMYFUNCTION("""COMPUTED_VALUE"""),"[G-03] - CUMMINS C440 D5")</f>
        <v>[G-03] - CUMMINS C440 D5</v>
      </c>
      <c r="AH135" s="252">
        <f>IFERROR(__xludf.DUMMYFUNCTION("""COMPUTED_VALUE"""),19017.0)</f>
        <v>19017</v>
      </c>
      <c r="AI135" s="252">
        <f>IFERROR(__xludf.DUMMYFUNCTION("""COMPUTED_VALUE"""),1.0)</f>
        <v>1</v>
      </c>
      <c r="AJ135" s="882">
        <f>IFERROR(__xludf.DUMMYFUNCTION("""COMPUTED_VALUE"""),46097.2553125)</f>
        <v>46097.25531</v>
      </c>
      <c r="AK135" s="885">
        <f>IFERROR(__xludf.DUMMYFUNCTION("""COMPUTED_VALUE"""),46097.2553587963)</f>
        <v>46097.25536</v>
      </c>
      <c r="AL135" s="880">
        <f>IFERROR(__xludf.DUMMYFUNCTION("""COMPUTED_VALUE"""),19174.0)</f>
        <v>19174</v>
      </c>
      <c r="AM135" s="880" t="str">
        <f>IFERROR(__xludf.DUMMYFUNCTION("""COMPUTED_VALUE"""),"")</f>
        <v/>
      </c>
      <c r="AN135" s="252" t="str">
        <f>IFERROR(__xludf.DUMMYFUNCTION("""COMPUTED_VALUE"""),"OT260217144439")</f>
        <v>OT260217144439</v>
      </c>
      <c r="AO135" s="252" t="str">
        <f>IFERROR(__xludf.DUMMYFUNCTION("""COMPUTED_VALUE"""),"Hr")</f>
        <v>Hr</v>
      </c>
      <c r="AP135" s="252"/>
      <c r="AQ135" s="252">
        <f>IFERROR(__xludf.DUMMYFUNCTION("""COMPUTED_VALUE"""),16756.0)</f>
        <v>16756</v>
      </c>
      <c r="AR135" s="252"/>
      <c r="AS135" s="881">
        <f>IFERROR(__xludf.DUMMYFUNCTION("""COMPUTED_VALUE"""),44927.0)</f>
        <v>44927</v>
      </c>
      <c r="AT135" s="881">
        <f>IFERROR(__xludf.DUMMYFUNCTION("""COMPUTED_VALUE"""),44927.0)</f>
        <v>44927</v>
      </c>
      <c r="AU135" s="252" t="str">
        <f>IFERROR(__xludf.DUMMYFUNCTION("""COMPUTED_VALUE"""),"RDC260313201507")</f>
        <v>RDC260313201507</v>
      </c>
      <c r="AV135" s="252" t="str">
        <f>IFERROR(__xludf.DUMMYFUNCTION("""COMPUTED_VALUE"""),"RCO260316075428")</f>
        <v>RCO260316075428</v>
      </c>
      <c r="AW135" s="252">
        <f>IFERROR(__xludf.DUMMYFUNCTION("""COMPUTED_VALUE"""),216.0)</f>
        <v>216</v>
      </c>
      <c r="AX135" s="252">
        <f>IFERROR(__xludf.DUMMYFUNCTION("""COMPUTED_VALUE"""),9.0)</f>
        <v>9</v>
      </c>
      <c r="AY135" s="252">
        <f>IFERROR(__xludf.DUMMYFUNCTION("""COMPUTED_VALUE"""),0.0)</f>
        <v>0</v>
      </c>
      <c r="AZ135" s="884">
        <f>IFERROR(__xludf.DUMMYFUNCTION("""COMPUTED_VALUE"""),46097.0)</f>
        <v>46097</v>
      </c>
    </row>
    <row r="136">
      <c r="A136" s="252" t="str">
        <f>IFERROR(__xludf.DUMMYFUNCTION("""COMPUTED_VALUE"""),"m000043")</f>
        <v>m000043</v>
      </c>
      <c r="B136" s="252" t="str">
        <f>IFERROR(__xludf.DUMMYFUNCTION("""COMPUTED_VALUE"""),"G-06")</f>
        <v>G-06</v>
      </c>
      <c r="C136" s="252" t="str">
        <f>IFERROR(__xludf.DUMMYFUNCTION("""COMPUTED_VALUE"""),"GENERADOR")</f>
        <v>GENERADOR</v>
      </c>
      <c r="D136" s="252" t="str">
        <f>IFERROR(__xludf.DUMMYFUNCTION("""COMPUTED_VALUE"""),"EQUIPO MENOR")</f>
        <v>EQUIPO MENOR</v>
      </c>
      <c r="E136" s="252" t="str">
        <f>IFERROR(__xludf.DUMMYFUNCTION("""COMPUTED_VALUE"""),"CATERPILLAR")</f>
        <v>CATERPILLAR</v>
      </c>
      <c r="F136" s="252"/>
      <c r="G136" s="252"/>
      <c r="H136" s="252"/>
      <c r="I136" s="252"/>
      <c r="J136" s="252"/>
      <c r="K136" s="252" t="str">
        <f>IFERROR(__xludf.DUMMYFUNCTION("""COMPUTED_VALUE"""),"ITAU")</f>
        <v>ITAU</v>
      </c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  <c r="AA136" s="252"/>
      <c r="AB136" s="252" t="str">
        <f>IFERROR(__xludf.DUMMYFUNCTION("""COMPUTED_VALUE"""),"En producción")</f>
        <v>En producción</v>
      </c>
      <c r="AC136" s="252"/>
      <c r="AD136" s="252"/>
      <c r="AE136" s="252" t="str">
        <f>IFERROR(__xludf.DUMMYFUNCTION("""COMPUTED_VALUE"""),"Sin incidentes")</f>
        <v>Sin incidentes</v>
      </c>
      <c r="AF136" s="252">
        <f>IFERROR(__xludf.DUMMYFUNCTION("""COMPUTED_VALUE"""),1.0)</f>
        <v>1</v>
      </c>
      <c r="AG136" s="252" t="str">
        <f>IFERROR(__xludf.DUMMYFUNCTION("""COMPUTED_VALUE"""),"[G-06] - CATERPILLAR ")</f>
        <v>[G-06] - CATERPILLAR </v>
      </c>
      <c r="AH136" s="252">
        <f>IFERROR(__xludf.DUMMYFUNCTION("""COMPUTED_VALUE"""),20656.0)</f>
        <v>20656</v>
      </c>
      <c r="AI136" s="252"/>
      <c r="AJ136" s="882">
        <f>IFERROR(__xludf.DUMMYFUNCTION("""COMPUTED_VALUE"""),46095.710324074076)</f>
        <v>46095.71032</v>
      </c>
      <c r="AK136" s="252"/>
      <c r="AL136" s="880">
        <f>IFERROR(__xludf.DUMMYFUNCTION("""COMPUTED_VALUE"""),21006.0)</f>
        <v>21006</v>
      </c>
      <c r="AM136" s="880" t="str">
        <f>IFERROR(__xludf.DUMMYFUNCTION("""COMPUTED_VALUE"""),"")</f>
        <v/>
      </c>
      <c r="AN136" s="252" t="str">
        <f>IFERROR(__xludf.DUMMYFUNCTION("""COMPUTED_VALUE"""),"OT260314190049")</f>
        <v>OT260314190049</v>
      </c>
      <c r="AO136" s="252" t="str">
        <f>IFERROR(__xludf.DUMMYFUNCTION("""COMPUTED_VALUE"""),"Hr")</f>
        <v>Hr</v>
      </c>
      <c r="AP136" s="252"/>
      <c r="AQ136" s="252">
        <f>IFERROR(__xludf.DUMMYFUNCTION("""COMPUTED_VALUE"""),17403.0)</f>
        <v>17403</v>
      </c>
      <c r="AR136" s="252"/>
      <c r="AS136" s="881">
        <f>IFERROR(__xludf.DUMMYFUNCTION("""COMPUTED_VALUE"""),44927.0)</f>
        <v>44927</v>
      </c>
      <c r="AT136" s="881">
        <f>IFERROR(__xludf.DUMMYFUNCTION("""COMPUTED_VALUE"""),44927.0)</f>
        <v>44927</v>
      </c>
      <c r="AU136" s="252"/>
      <c r="AV136" s="252" t="str">
        <f>IFERROR(__xludf.DUMMYFUNCTION("""COMPUTED_VALUE"""),"RCO260314120953")</f>
        <v>RCO260314120953</v>
      </c>
      <c r="AW136" s="252">
        <f>IFERROR(__xludf.DUMMYFUNCTION("""COMPUTED_VALUE"""),35.0)</f>
        <v>35</v>
      </c>
      <c r="AX136" s="252">
        <f>IFERROR(__xludf.DUMMYFUNCTION("""COMPUTED_VALUE"""),0.0)</f>
        <v>0</v>
      </c>
      <c r="AY136" s="252"/>
      <c r="AZ136" s="881">
        <f>IFERROR(__xludf.DUMMYFUNCTION("""COMPUTED_VALUE"""),46095.0)</f>
        <v>46095</v>
      </c>
    </row>
    <row r="137">
      <c r="A137" s="252" t="str">
        <f>IFERROR(__xludf.DUMMYFUNCTION("""COMPUTED_VALUE"""),"m000044")</f>
        <v>m000044</v>
      </c>
      <c r="B137" s="252" t="str">
        <f>IFERROR(__xludf.DUMMYFUNCTION("""COMPUTED_VALUE"""),"G-07")</f>
        <v>G-07</v>
      </c>
      <c r="C137" s="252" t="str">
        <f>IFERROR(__xludf.DUMMYFUNCTION("""COMPUTED_VALUE"""),"GENERADOR")</f>
        <v>GENERADOR</v>
      </c>
      <c r="D137" s="252" t="str">
        <f>IFERROR(__xludf.DUMMYFUNCTION("""COMPUTED_VALUE"""),"GENERADOR")</f>
        <v>GENERADOR</v>
      </c>
      <c r="E137" s="252" t="str">
        <f>IFERROR(__xludf.DUMMYFUNCTION("""COMPUTED_VALUE"""),"PERKINS")</f>
        <v>PERKINS</v>
      </c>
      <c r="F137" s="252"/>
      <c r="G137" s="252">
        <f>IFERROR(__xludf.DUMMYFUNCTION("""COMPUTED_VALUE"""),2022.0)</f>
        <v>2022</v>
      </c>
      <c r="H137" s="252"/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  <c r="AA137" s="252"/>
      <c r="AB137" s="252" t="str">
        <f>IFERROR(__xludf.DUMMYFUNCTION("""COMPUTED_VALUE"""),"En producción")</f>
        <v>En producción</v>
      </c>
      <c r="AC137" s="252"/>
      <c r="AD137" s="252"/>
      <c r="AE137" s="252" t="str">
        <f>IFERROR(__xludf.DUMMYFUNCTION("""COMPUTED_VALUE"""),"Sin incidentes")</f>
        <v>Sin incidentes</v>
      </c>
      <c r="AF137" s="252">
        <f>IFERROR(__xludf.DUMMYFUNCTION("""COMPUTED_VALUE"""),1.0)</f>
        <v>1</v>
      </c>
      <c r="AG137" s="252" t="str">
        <f>IFERROR(__xludf.DUMMYFUNCTION("""COMPUTED_VALUE"""),"[G-07] - PERKINS ")</f>
        <v>[G-07] - PERKINS </v>
      </c>
      <c r="AH137" s="252">
        <f>IFERROR(__xludf.DUMMYFUNCTION("""COMPUTED_VALUE"""),5707.0)</f>
        <v>5707</v>
      </c>
      <c r="AI137" s="252"/>
      <c r="AJ137" s="882">
        <f>IFERROR(__xludf.DUMMYFUNCTION("""COMPUTED_VALUE"""),46095.62153935185)</f>
        <v>46095.62154</v>
      </c>
      <c r="AK137" s="252"/>
      <c r="AL137" s="880">
        <f>IFERROR(__xludf.DUMMYFUNCTION("""COMPUTED_VALUE"""),5772.0)</f>
        <v>5772</v>
      </c>
      <c r="AM137" s="880" t="str">
        <f>IFERROR(__xludf.DUMMYFUNCTION("""COMPUTED_VALUE"""),"")</f>
        <v/>
      </c>
      <c r="AN137" s="252" t="str">
        <f>IFERROR(__xludf.DUMMYFUNCTION("""COMPUTED_VALUE"""),"OT260128161633")</f>
        <v>OT260128161633</v>
      </c>
      <c r="AO137" s="252" t="str">
        <f>IFERROR(__xludf.DUMMYFUNCTION("""COMPUTED_VALUE"""),"Hr")</f>
        <v>Hr</v>
      </c>
      <c r="AP137" s="252"/>
      <c r="AQ137" s="252">
        <f>IFERROR(__xludf.DUMMYFUNCTION("""COMPUTED_VALUE"""),4400.0)</f>
        <v>4400</v>
      </c>
      <c r="AR137" s="252"/>
      <c r="AS137" s="881">
        <f>IFERROR(__xludf.DUMMYFUNCTION("""COMPUTED_VALUE"""),44927.0)</f>
        <v>44927</v>
      </c>
      <c r="AT137" s="881">
        <f>IFERROR(__xludf.DUMMYFUNCTION("""COMPUTED_VALUE"""),44927.0)</f>
        <v>44927</v>
      </c>
      <c r="AU137" s="252"/>
      <c r="AV137" s="252" t="str">
        <f>IFERROR(__xludf.DUMMYFUNCTION("""COMPUTED_VALUE"""),"RCO260314165334")</f>
        <v>RCO260314165334</v>
      </c>
      <c r="AW137" s="252">
        <f>IFERROR(__xludf.DUMMYFUNCTION("""COMPUTED_VALUE"""),155.0)</f>
        <v>155</v>
      </c>
      <c r="AX137" s="252">
        <f>IFERROR(__xludf.DUMMYFUNCTION("""COMPUTED_VALUE"""),13.0)</f>
        <v>13</v>
      </c>
      <c r="AY137" s="252"/>
      <c r="AZ137" s="884">
        <f>IFERROR(__xludf.DUMMYFUNCTION("""COMPUTED_VALUE"""),46095.0)</f>
        <v>46095</v>
      </c>
    </row>
    <row r="138">
      <c r="A138" s="252" t="str">
        <f>IFERROR(__xludf.DUMMYFUNCTION("""COMPUTED_VALUE"""),"m000045")</f>
        <v>m000045</v>
      </c>
      <c r="B138" s="252" t="str">
        <f>IFERROR(__xludf.DUMMYFUNCTION("""COMPUTED_VALUE"""),"BD-01")</f>
        <v>BD-01</v>
      </c>
      <c r="C138" s="252" t="str">
        <f>IFERROR(__xludf.DUMMYFUNCTION("""COMPUTED_VALUE"""),"BULLDOZER")</f>
        <v>BULLDOZER</v>
      </c>
      <c r="D138" s="252" t="str">
        <f>IFERROR(__xludf.DUMMYFUNCTION("""COMPUTED_VALUE"""),"BULLDOZER")</f>
        <v>BULLDOZER</v>
      </c>
      <c r="E138" s="252" t="str">
        <f>IFERROR(__xludf.DUMMYFUNCTION("""COMPUTED_VALUE"""),"JOHN DEERE")</f>
        <v>JOHN DEERE</v>
      </c>
      <c r="F138" s="252" t="str">
        <f>IFERROR(__xludf.DUMMYFUNCTION("""COMPUTED_VALUE"""),"650G")</f>
        <v>650G</v>
      </c>
      <c r="G138" s="252"/>
      <c r="H138" s="252"/>
      <c r="I138" s="252" t="str">
        <f>IFERROR(__xludf.DUMMYFUNCTION("""COMPUTED_VALUE"""),"T0650W776476")</f>
        <v>T0650W776476</v>
      </c>
      <c r="J138" s="252"/>
      <c r="K138" s="252" t="str">
        <f>IFERROR(__xludf.DUMMYFUNCTION("""COMPUTED_VALUE"""),"MANCHIHUE")</f>
        <v>MANCHIHUE</v>
      </c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>
        <f>IFERROR(__xludf.DUMMYFUNCTION("""COMPUTED_VALUE"""),0.0)</f>
        <v>0</v>
      </c>
      <c r="W138" s="252">
        <f>IFERROR(__xludf.DUMMYFUNCTION("""COMPUTED_VALUE"""),7.0)</f>
        <v>7</v>
      </c>
      <c r="X138" s="252">
        <f>IFERROR(__xludf.DUMMYFUNCTION("""COMPUTED_VALUE"""),11.0)</f>
        <v>11</v>
      </c>
      <c r="Y138" s="252">
        <f>IFERROR(__xludf.DUMMYFUNCTION("""COMPUTED_VALUE"""),7.0)</f>
        <v>7</v>
      </c>
      <c r="Z138" s="252">
        <f>IFERROR(__xludf.DUMMYFUNCTION("""COMPUTED_VALUE"""),14.0)</f>
        <v>14</v>
      </c>
      <c r="AA138" s="252">
        <f>IFERROR(__xludf.DUMMYFUNCTION("""COMPUTED_VALUE"""),14.0)</f>
        <v>14</v>
      </c>
      <c r="AB138" s="252" t="str">
        <f>IFERROR(__xludf.DUMMYFUNCTION("""COMPUTED_VALUE"""),"Discontinuado")</f>
        <v>Discontinuado</v>
      </c>
      <c r="AC138" s="252"/>
      <c r="AD138" s="252"/>
      <c r="AE138" s="252" t="str">
        <f>IFERROR(__xludf.DUMMYFUNCTION("""COMPUTED_VALUE"""),"Sin incidentes")</f>
        <v>Sin incidentes</v>
      </c>
      <c r="AF138" s="252">
        <f>IFERROR(__xludf.DUMMYFUNCTION("""COMPUTED_VALUE"""),4.0)</f>
        <v>4</v>
      </c>
      <c r="AG138" s="252" t="str">
        <f>IFERROR(__xludf.DUMMYFUNCTION("""COMPUTED_VALUE"""),"[BD-01] - JOHN DEERE 650G")</f>
        <v>[BD-01] - JOHN DEERE 650G</v>
      </c>
      <c r="AH138" s="252">
        <f>IFERROR(__xludf.DUMMYFUNCTION("""COMPUTED_VALUE"""),1753.0)</f>
        <v>1753</v>
      </c>
      <c r="AI138" s="252"/>
      <c r="AJ138" s="882">
        <f>IFERROR(__xludf.DUMMYFUNCTION("""COMPUTED_VALUE"""),45887.66658564815)</f>
        <v>45887.66659</v>
      </c>
      <c r="AK138" s="252"/>
      <c r="AL138" s="880">
        <f>IFERROR(__xludf.DUMMYFUNCTION("""COMPUTED_VALUE"""),2018.0)</f>
        <v>2018</v>
      </c>
      <c r="AM138" s="880" t="str">
        <f>IFERROR(__xludf.DUMMYFUNCTION("""COMPUTED_VALUE"""),"")</f>
        <v/>
      </c>
      <c r="AN138" s="252"/>
      <c r="AO138" s="252" t="str">
        <f>IFERROR(__xludf.DUMMYFUNCTION("""COMPUTED_VALUE"""),"Hr")</f>
        <v>Hr</v>
      </c>
      <c r="AP138" s="252"/>
      <c r="AQ138" s="252">
        <f>IFERROR(__xludf.DUMMYFUNCTION("""COMPUTED_VALUE"""),1750.0)</f>
        <v>1750</v>
      </c>
      <c r="AR138" s="252"/>
      <c r="AS138" s="881">
        <f>IFERROR(__xludf.DUMMYFUNCTION("""COMPUTED_VALUE"""),44927.0)</f>
        <v>44927</v>
      </c>
      <c r="AT138" s="881">
        <f>IFERROR(__xludf.DUMMYFUNCTION("""COMPUTED_VALUE"""),44927.0)</f>
        <v>44927</v>
      </c>
      <c r="AU138" s="252"/>
      <c r="AV138" s="252" t="str">
        <f>IFERROR(__xludf.DUMMYFUNCTION("""COMPUTED_VALUE"""),"RCO250818165705")</f>
        <v>RCO250818165705</v>
      </c>
      <c r="AW138" s="252">
        <f>IFERROR(__xludf.DUMMYFUNCTION("""COMPUTED_VALUE"""),40.0)</f>
        <v>40</v>
      </c>
      <c r="AX138" s="252">
        <f>IFERROR(__xludf.DUMMYFUNCTION("""COMPUTED_VALUE"""),3.0)</f>
        <v>3</v>
      </c>
      <c r="AY138" s="252"/>
      <c r="AZ138" s="881">
        <f>IFERROR(__xludf.DUMMYFUNCTION("""COMPUTED_VALUE"""),45887.0)</f>
        <v>45887</v>
      </c>
    </row>
    <row r="139">
      <c r="A139" s="252" t="str">
        <f>IFERROR(__xludf.DUMMYFUNCTION("""COMPUTED_VALUE"""),"m000046")</f>
        <v>m000046</v>
      </c>
      <c r="B139" s="252" t="str">
        <f>IFERROR(__xludf.DUMMYFUNCTION("""COMPUTED_VALUE"""),"BD-02 CCKZ72")</f>
        <v>BD-02 CCKZ72</v>
      </c>
      <c r="C139" s="252" t="str">
        <f>IFERROR(__xludf.DUMMYFUNCTION("""COMPUTED_VALUE"""),"BULLDOZER")</f>
        <v>BULLDOZER</v>
      </c>
      <c r="D139" s="252" t="str">
        <f>IFERROR(__xludf.DUMMYFUNCTION("""COMPUTED_VALUE"""),"BULLDOZER")</f>
        <v>BULLDOZER</v>
      </c>
      <c r="E139" s="252" t="str">
        <f>IFERROR(__xludf.DUMMYFUNCTION("""COMPUTED_VALUE"""),"CATERPILLAR")</f>
        <v>CATERPILLAR</v>
      </c>
      <c r="F139" s="252" t="str">
        <f>IFERROR(__xludf.DUMMYFUNCTION("""COMPUTED_VALUE"""),"D6T")</f>
        <v>D6T</v>
      </c>
      <c r="G139" s="252">
        <f>IFERROR(__xludf.DUMMYFUNCTION("""COMPUTED_VALUE"""),2010.0)</f>
        <v>2010</v>
      </c>
      <c r="H139" s="252" t="str">
        <f>IFERROR(__xludf.DUMMYFUNCTION("""COMPUTED_VALUE"""),"THX17798")</f>
        <v>THX17798</v>
      </c>
      <c r="I139" s="252" t="str">
        <f>IFERROR(__xludf.DUMMYFUNCTION("""COMPUTED_VALUE"""),"SMC00252")</f>
        <v>SMC00252</v>
      </c>
      <c r="J139" s="252"/>
      <c r="K139" s="252" t="str">
        <f>IFERROR(__xludf.DUMMYFUNCTION("""COMPUTED_VALUE"""),"ECMA")</f>
        <v>ECMA</v>
      </c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>
        <f>IFERROR(__xludf.DUMMYFUNCTION("""COMPUTED_VALUE"""),0.0)</f>
        <v>0</v>
      </c>
      <c r="W139" s="252">
        <f>IFERROR(__xludf.DUMMYFUNCTION("""COMPUTED_VALUE"""),7.0)</f>
        <v>7</v>
      </c>
      <c r="X139" s="252">
        <f>IFERROR(__xludf.DUMMYFUNCTION("""COMPUTED_VALUE"""),11.0)</f>
        <v>11</v>
      </c>
      <c r="Y139" s="252">
        <f>IFERROR(__xludf.DUMMYFUNCTION("""COMPUTED_VALUE"""),7.0)</f>
        <v>7</v>
      </c>
      <c r="Z139" s="252">
        <f>IFERROR(__xludf.DUMMYFUNCTION("""COMPUTED_VALUE"""),14.0)</f>
        <v>14</v>
      </c>
      <c r="AA139" s="252">
        <f>IFERROR(__xludf.DUMMYFUNCTION("""COMPUTED_VALUE"""),14.0)</f>
        <v>14</v>
      </c>
      <c r="AB139" s="252" t="str">
        <f>IFERROR(__xludf.DUMMYFUNCTION("""COMPUTED_VALUE"""),"En producción")</f>
        <v>En producción</v>
      </c>
      <c r="AC139" s="252"/>
      <c r="AD139" s="252">
        <f>IFERROR(__xludf.DUMMYFUNCTION("""COMPUTED_VALUE"""),962.0)</f>
        <v>962</v>
      </c>
      <c r="AE139" s="252" t="str">
        <f>IFERROR(__xludf.DUMMYFUNCTION("""COMPUTED_VALUE"""),"Sin incidentes")</f>
        <v>Sin incidentes</v>
      </c>
      <c r="AF139" s="252">
        <f>IFERROR(__xludf.DUMMYFUNCTION("""COMPUTED_VALUE"""),1.0)</f>
        <v>1</v>
      </c>
      <c r="AG139" s="252" t="str">
        <f>IFERROR(__xludf.DUMMYFUNCTION("""COMPUTED_VALUE"""),"[BD-02 CCKZ72] - CATERPILLAR D6T")</f>
        <v>[BD-02 CCKZ72] - CATERPILLAR D6T</v>
      </c>
      <c r="AH139" s="252">
        <f>IFERROR(__xludf.DUMMYFUNCTION("""COMPUTED_VALUE"""),12396.0)</f>
        <v>12396</v>
      </c>
      <c r="AI139" s="252">
        <f>IFERROR(__xludf.DUMMYFUNCTION("""COMPUTED_VALUE"""),1.0)</f>
        <v>1</v>
      </c>
      <c r="AJ139" s="885">
        <f>IFERROR(__xludf.DUMMYFUNCTION("""COMPUTED_VALUE"""),46097.25472222222)</f>
        <v>46097.25472</v>
      </c>
      <c r="AK139" s="882">
        <f>IFERROR(__xludf.DUMMYFUNCTION("""COMPUTED_VALUE"""),46096.437569444446)</f>
        <v>46096.43757</v>
      </c>
      <c r="AL139" s="880">
        <f>IFERROR(__xludf.DUMMYFUNCTION("""COMPUTED_VALUE"""),12482.0)</f>
        <v>12482</v>
      </c>
      <c r="AM139" s="880" t="str">
        <f>IFERROR(__xludf.DUMMYFUNCTION("""COMPUTED_VALUE"""),"")</f>
        <v/>
      </c>
      <c r="AN139" s="252"/>
      <c r="AO139" s="252" t="str">
        <f>IFERROR(__xludf.DUMMYFUNCTION("""COMPUTED_VALUE"""),"Hr")</f>
        <v>Hr</v>
      </c>
      <c r="AP139" s="252"/>
      <c r="AQ139" s="252">
        <f>IFERROR(__xludf.DUMMYFUNCTION("""COMPUTED_VALUE"""),12207.0)</f>
        <v>12207</v>
      </c>
      <c r="AR139" s="252"/>
      <c r="AS139" s="881">
        <f>IFERROR(__xludf.DUMMYFUNCTION("""COMPUTED_VALUE"""),44927.0)</f>
        <v>44927</v>
      </c>
      <c r="AT139" s="881">
        <f>IFERROR(__xludf.DUMMYFUNCTION("""COMPUTED_VALUE"""),44927.0)</f>
        <v>44927</v>
      </c>
      <c r="AU139" s="252" t="str">
        <f>IFERROR(__xludf.DUMMYFUNCTION("""COMPUTED_VALUE"""),"RDC260316080453")</f>
        <v>RDC260316080453</v>
      </c>
      <c r="AV139" s="252" t="str">
        <f>IFERROR(__xludf.DUMMYFUNCTION("""COMPUTED_VALUE"""),"RCO260315122907")</f>
        <v>RCO260315122907</v>
      </c>
      <c r="AW139" s="252">
        <f>IFERROR(__xludf.DUMMYFUNCTION("""COMPUTED_VALUE"""),215.0)</f>
        <v>215</v>
      </c>
      <c r="AX139" s="252">
        <f>IFERROR(__xludf.DUMMYFUNCTION("""COMPUTED_VALUE"""),0.0)</f>
        <v>0</v>
      </c>
      <c r="AY139" s="252">
        <f>IFERROR(__xludf.DUMMYFUNCTION("""COMPUTED_VALUE"""),0.0)</f>
        <v>0</v>
      </c>
      <c r="AZ139" s="881">
        <f>IFERROR(__xludf.DUMMYFUNCTION("""COMPUTED_VALUE"""),46096.0)</f>
        <v>46096</v>
      </c>
    </row>
    <row r="140">
      <c r="A140" s="252" t="str">
        <f>IFERROR(__xludf.DUMMYFUNCTION("""COMPUTED_VALUE"""),"m000047")</f>
        <v>m000047</v>
      </c>
      <c r="B140" s="252" t="str">
        <f>IFERROR(__xludf.DUMMYFUNCTION("""COMPUTED_VALUE"""),"BD-03 KSRG22")</f>
        <v>BD-03 KSRG22</v>
      </c>
      <c r="C140" s="252" t="str">
        <f>IFERROR(__xludf.DUMMYFUNCTION("""COMPUTED_VALUE"""),"BULLDOZER")</f>
        <v>BULLDOZER</v>
      </c>
      <c r="D140" s="252" t="str">
        <f>IFERROR(__xludf.DUMMYFUNCTION("""COMPUTED_VALUE"""),"BULLDOZER")</f>
        <v>BULLDOZER</v>
      </c>
      <c r="E140" s="252" t="str">
        <f>IFERROR(__xludf.DUMMYFUNCTION("""COMPUTED_VALUE"""),"JOHN DEERE")</f>
        <v>JOHN DEERE</v>
      </c>
      <c r="F140" s="252" t="str">
        <f>IFERROR(__xludf.DUMMYFUNCTION("""COMPUTED_VALUE"""),"850J")</f>
        <v>850J</v>
      </c>
      <c r="G140" s="252">
        <f>IFERROR(__xludf.DUMMYFUNCTION("""COMPUTED_VALUE"""),2018.0)</f>
        <v>2018</v>
      </c>
      <c r="H140" s="252" t="str">
        <f>IFERROR(__xludf.DUMMYFUNCTION("""COMPUTED_VALUE"""),"J06090L017440")</f>
        <v>J06090L017440</v>
      </c>
      <c r="I140" s="252" t="str">
        <f>IFERROR(__xludf.DUMMYFUNCTION("""COMPUTED_VALUE"""),"1BZ850JAJJD000009")</f>
        <v>1BZ850JAJJD000009</v>
      </c>
      <c r="J140" s="252" t="str">
        <f>IFERROR(__xludf.DUMMYFUNCTION("""COMPUTED_VALUE"""),"KSRG22-7")</f>
        <v>KSRG22-7</v>
      </c>
      <c r="K140" s="252" t="str">
        <f>IFERROR(__xludf.DUMMYFUNCTION("""COMPUTED_VALUE"""),"BCI")</f>
        <v>BCI</v>
      </c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>
        <f>IFERROR(__xludf.DUMMYFUNCTION("""COMPUTED_VALUE"""),0.0)</f>
        <v>0</v>
      </c>
      <c r="W140" s="252">
        <f>IFERROR(__xludf.DUMMYFUNCTION("""COMPUTED_VALUE"""),7.0)</f>
        <v>7</v>
      </c>
      <c r="X140" s="252">
        <f>IFERROR(__xludf.DUMMYFUNCTION("""COMPUTED_VALUE"""),11.0)</f>
        <v>11</v>
      </c>
      <c r="Y140" s="252">
        <f>IFERROR(__xludf.DUMMYFUNCTION("""COMPUTED_VALUE"""),7.0)</f>
        <v>7</v>
      </c>
      <c r="Z140" s="252">
        <f>IFERROR(__xludf.DUMMYFUNCTION("""COMPUTED_VALUE"""),14.0)</f>
        <v>14</v>
      </c>
      <c r="AA140" s="252">
        <f>IFERROR(__xludf.DUMMYFUNCTION("""COMPUTED_VALUE"""),14.0)</f>
        <v>14</v>
      </c>
      <c r="AB140" s="252" t="str">
        <f>IFERROR(__xludf.DUMMYFUNCTION("""COMPUTED_VALUE"""),"En producción")</f>
        <v>En producción</v>
      </c>
      <c r="AC140" s="252"/>
      <c r="AD140" s="252">
        <f>IFERROR(__xludf.DUMMYFUNCTION("""COMPUTED_VALUE"""),961.0)</f>
        <v>961</v>
      </c>
      <c r="AE140" s="252" t="str">
        <f>IFERROR(__xludf.DUMMYFUNCTION("""COMPUTED_VALUE"""),"Alerta incidente")</f>
        <v>Alerta incidente</v>
      </c>
      <c r="AF140" s="252">
        <f>IFERROR(__xludf.DUMMYFUNCTION("""COMPUTED_VALUE"""),3.0)</f>
        <v>3</v>
      </c>
      <c r="AG140" s="252" t="str">
        <f>IFERROR(__xludf.DUMMYFUNCTION("""COMPUTED_VALUE"""),"[BD-03 KSRG22] - JOHN DEERE 850J")</f>
        <v>[BD-03 KSRG22] - JOHN DEERE 850J</v>
      </c>
      <c r="AH140" s="252">
        <f>IFERROR(__xludf.DUMMYFUNCTION("""COMPUTED_VALUE"""),11740.0)</f>
        <v>11740</v>
      </c>
      <c r="AI140" s="252">
        <f>IFERROR(__xludf.DUMMYFUNCTION("""COMPUTED_VALUE"""),1.0)</f>
        <v>1</v>
      </c>
      <c r="AJ140" s="882">
        <f>IFERROR(__xludf.DUMMYFUNCTION("""COMPUTED_VALUE"""),46095.58560185185)</f>
        <v>46095.5856</v>
      </c>
      <c r="AK140" s="882">
        <f>IFERROR(__xludf.DUMMYFUNCTION("""COMPUTED_VALUE"""),46095.58563657408)</f>
        <v>46095.58564</v>
      </c>
      <c r="AL140" s="880">
        <f>IFERROR(__xludf.DUMMYFUNCTION("""COMPUTED_VALUE"""),11711.0)</f>
        <v>11711</v>
      </c>
      <c r="AM140" s="252"/>
      <c r="AN140" s="252" t="str">
        <f>IFERROR(__xludf.DUMMYFUNCTION("""COMPUTED_VALUE"""),"OT251218100744")</f>
        <v>OT251218100744</v>
      </c>
      <c r="AO140" s="252" t="str">
        <f>IFERROR(__xludf.DUMMYFUNCTION("""COMPUTED_VALUE"""),"Hr")</f>
        <v>Hr</v>
      </c>
      <c r="AP140" s="252"/>
      <c r="AQ140" s="252">
        <f>IFERROR(__xludf.DUMMYFUNCTION("""COMPUTED_VALUE"""),10515.0)</f>
        <v>10515</v>
      </c>
      <c r="AR140" s="252"/>
      <c r="AS140" s="881">
        <f>IFERROR(__xludf.DUMMYFUNCTION("""COMPUTED_VALUE"""),44927.0)</f>
        <v>44927</v>
      </c>
      <c r="AT140" s="881">
        <f>IFERROR(__xludf.DUMMYFUNCTION("""COMPUTED_VALUE"""),44927.0)</f>
        <v>44927</v>
      </c>
      <c r="AU140" s="252" t="str">
        <f>IFERROR(__xludf.DUMMYFUNCTION("""COMPUTED_VALUE"""),"RDC260312121134")</f>
        <v>RDC260312121134</v>
      </c>
      <c r="AV140" s="252" t="str">
        <f>IFERROR(__xludf.DUMMYFUNCTION("""COMPUTED_VALUE"""),"RCO260314145354")</f>
        <v>RCO260314145354</v>
      </c>
      <c r="AW140" s="252">
        <f>IFERROR(__xludf.DUMMYFUNCTION("""COMPUTED_VALUE"""),151.0)</f>
        <v>151</v>
      </c>
      <c r="AX140" s="252">
        <f>IFERROR(__xludf.DUMMYFUNCTION("""COMPUTED_VALUE"""),10.0)</f>
        <v>10</v>
      </c>
      <c r="AY140" s="252">
        <f>IFERROR(__xludf.DUMMYFUNCTION("""COMPUTED_VALUE"""),0.0)</f>
        <v>0</v>
      </c>
      <c r="AZ140" s="883">
        <f>IFERROR(__xludf.DUMMYFUNCTION("""COMPUTED_VALUE"""),46095.0)</f>
        <v>46095</v>
      </c>
    </row>
    <row r="141">
      <c r="A141" s="252" t="str">
        <f>IFERROR(__xludf.DUMMYFUNCTION("""COMPUTED_VALUE"""),"m000050")</f>
        <v>m000050</v>
      </c>
      <c r="B141" s="252" t="str">
        <f>IFERROR(__xludf.DUMMYFUNCTION("""COMPUTED_VALUE"""),"CF-03 CKTG19")</f>
        <v>CF-03 CKTG19</v>
      </c>
      <c r="C141" s="252" t="str">
        <f>IFERROR(__xludf.DUMMYFUNCTION("""COMPUTED_VALUE"""),"CARGADOR FRONTAL")</f>
        <v>CARGADOR FRONTAL</v>
      </c>
      <c r="D141" s="252" t="str">
        <f>IFERROR(__xludf.DUMMYFUNCTION("""COMPUTED_VALUE"""),"CARGADOR FRONTAL")</f>
        <v>CARGADOR FRONTAL</v>
      </c>
      <c r="E141" s="252" t="str">
        <f>IFERROR(__xludf.DUMMYFUNCTION("""COMPUTED_VALUE"""),"NEW HOLAND")</f>
        <v>NEW HOLAND</v>
      </c>
      <c r="F141" s="252" t="str">
        <f>IFERROR(__xludf.DUMMYFUNCTION("""COMPUTED_VALUE"""),"W 190B")</f>
        <v>W 190B</v>
      </c>
      <c r="G141" s="252">
        <f>IFERROR(__xludf.DUMMYFUNCTION("""COMPUTED_VALUE"""),2010.0)</f>
        <v>2010</v>
      </c>
      <c r="H141" s="252">
        <f>IFERROR(__xludf.DUMMYFUNCTION("""COMPUTED_VALUE"""),373074.0)</f>
        <v>373074</v>
      </c>
      <c r="I141" s="252"/>
      <c r="J141" s="252" t="str">
        <f>IFERROR(__xludf.DUMMYFUNCTION("""COMPUTED_VALUE"""),"CKTG19")</f>
        <v>CKTG19</v>
      </c>
      <c r="K141" s="252" t="str">
        <f>IFERROR(__xludf.DUMMYFUNCTION("""COMPUTED_VALUE"""),"ECMA")</f>
        <v>ECMA</v>
      </c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>
        <f>IFERROR(__xludf.DUMMYFUNCTION("""COMPUTED_VALUE"""),0.0)</f>
        <v>0</v>
      </c>
      <c r="W141" s="252">
        <f>IFERROR(__xludf.DUMMYFUNCTION("""COMPUTED_VALUE"""),5.0)</f>
        <v>5</v>
      </c>
      <c r="X141" s="252">
        <f>IFERROR(__xludf.DUMMYFUNCTION("""COMPUTED_VALUE"""),6.0)</f>
        <v>6</v>
      </c>
      <c r="Y141" s="252">
        <f>IFERROR(__xludf.DUMMYFUNCTION("""COMPUTED_VALUE"""),5.0)</f>
        <v>5</v>
      </c>
      <c r="Z141" s="252">
        <f>IFERROR(__xludf.DUMMYFUNCTION("""COMPUTED_VALUE"""),9.0)</f>
        <v>9</v>
      </c>
      <c r="AA141" s="252">
        <f>IFERROR(__xludf.DUMMYFUNCTION("""COMPUTED_VALUE"""),9.0)</f>
        <v>9</v>
      </c>
      <c r="AB141" s="252" t="str">
        <f>IFERROR(__xludf.DUMMYFUNCTION("""COMPUTED_VALUE"""),"Patio LL")</f>
        <v>Patio LL</v>
      </c>
      <c r="AC141" s="252" t="str">
        <f>IFERROR(__xludf.DUMMYFUNCTION("""COMPUTED_VALUE"""),"MAQUINAS_Images/m000050.FOTO1.195936.jpg")</f>
        <v>MAQUINAS_Images/m000050.FOTO1.195936.jpg</v>
      </c>
      <c r="AD141" s="252">
        <f>IFERROR(__xludf.DUMMYFUNCTION("""COMPUTED_VALUE"""),983.0)</f>
        <v>983</v>
      </c>
      <c r="AE141" s="252" t="str">
        <f>IFERROR(__xludf.DUMMYFUNCTION("""COMPUTED_VALUE"""),"Alerta incidente")</f>
        <v>Alerta incidente</v>
      </c>
      <c r="AF141" s="252">
        <f>IFERROR(__xludf.DUMMYFUNCTION("""COMPUTED_VALUE"""),2.0)</f>
        <v>2</v>
      </c>
      <c r="AG141" s="252" t="str">
        <f>IFERROR(__xludf.DUMMYFUNCTION("""COMPUTED_VALUE"""),"[CF-03 CKTG19] - NEW HOLAND W 190B")</f>
        <v>[CF-03 CKTG19] - NEW HOLAND W 190B</v>
      </c>
      <c r="AH141" s="252">
        <f>IFERROR(__xludf.DUMMYFUNCTION("""COMPUTED_VALUE"""),11346.0)</f>
        <v>11346</v>
      </c>
      <c r="AI141" s="252">
        <f>IFERROR(__xludf.DUMMYFUNCTION("""COMPUTED_VALUE"""),1.0)</f>
        <v>1</v>
      </c>
      <c r="AJ141" s="882">
        <f>IFERROR(__xludf.DUMMYFUNCTION("""COMPUTED_VALUE"""),46095.61581018518)</f>
        <v>46095.61581</v>
      </c>
      <c r="AK141" s="882">
        <f>IFERROR(__xludf.DUMMYFUNCTION("""COMPUTED_VALUE"""),46095.430972222224)</f>
        <v>46095.43097</v>
      </c>
      <c r="AL141" s="880">
        <f>IFERROR(__xludf.DUMMYFUNCTION("""COMPUTED_VALUE"""),11421.0)</f>
        <v>11421</v>
      </c>
      <c r="AM141" s="880" t="str">
        <f>IFERROR(__xludf.DUMMYFUNCTION("""COMPUTED_VALUE"""),"")</f>
        <v/>
      </c>
      <c r="AN141" s="252" t="str">
        <f>IFERROR(__xludf.DUMMYFUNCTION("""COMPUTED_VALUE"""),"OT251210163252")</f>
        <v>OT251210163252</v>
      </c>
      <c r="AO141" s="252" t="str">
        <f>IFERROR(__xludf.DUMMYFUNCTION("""COMPUTED_VALUE"""),"Hr")</f>
        <v>Hr</v>
      </c>
      <c r="AP141" s="252"/>
      <c r="AQ141" s="252">
        <f>IFERROR(__xludf.DUMMYFUNCTION("""COMPUTED_VALUE"""),10788.0)</f>
        <v>10788</v>
      </c>
      <c r="AR141" s="252"/>
      <c r="AS141" s="881">
        <f>IFERROR(__xludf.DUMMYFUNCTION("""COMPUTED_VALUE"""),44927.0)</f>
        <v>44927</v>
      </c>
      <c r="AT141" s="881">
        <f>IFERROR(__xludf.DUMMYFUNCTION("""COMPUTED_VALUE"""),44927.0)</f>
        <v>44927</v>
      </c>
      <c r="AU141" s="252" t="str">
        <f>IFERROR(__xludf.DUMMYFUNCTION("""COMPUTED_VALUE"""),"RDC260314164546")</f>
        <v>RDC260314164546</v>
      </c>
      <c r="AV141" s="252" t="str">
        <f>IFERROR(__xludf.DUMMYFUNCTION("""COMPUTED_VALUE"""),"RCO260314121941")</f>
        <v>RCO260314121941</v>
      </c>
      <c r="AW141" s="252">
        <f>IFERROR(__xludf.DUMMYFUNCTION("""COMPUTED_VALUE"""),129.0)</f>
        <v>129</v>
      </c>
      <c r="AX141" s="252">
        <f>IFERROR(__xludf.DUMMYFUNCTION("""COMPUTED_VALUE"""),11.0)</f>
        <v>11</v>
      </c>
      <c r="AY141" s="252">
        <f>IFERROR(__xludf.DUMMYFUNCTION("""COMPUTED_VALUE"""),0.0)</f>
        <v>0</v>
      </c>
      <c r="AZ141" s="884">
        <f>IFERROR(__xludf.DUMMYFUNCTION("""COMPUTED_VALUE"""),46095.0)</f>
        <v>46095</v>
      </c>
    </row>
    <row r="142">
      <c r="A142" s="252" t="str">
        <f>IFERROR(__xludf.DUMMYFUNCTION("""COMPUTED_VALUE"""),"m000051")</f>
        <v>m000051</v>
      </c>
      <c r="B142" s="252" t="str">
        <f>IFERROR(__xludf.DUMMYFUNCTION("""COMPUTED_VALUE"""),"CF-04 DSLH27")</f>
        <v>CF-04 DSLH27</v>
      </c>
      <c r="C142" s="252" t="str">
        <f>IFERROR(__xludf.DUMMYFUNCTION("""COMPUTED_VALUE"""),"CARGADOR FRONTAL")</f>
        <v>CARGADOR FRONTAL</v>
      </c>
      <c r="D142" s="252" t="str">
        <f>IFERROR(__xludf.DUMMYFUNCTION("""COMPUTED_VALUE"""),"CARGADOR FRONTAL")</f>
        <v>CARGADOR FRONTAL</v>
      </c>
      <c r="E142" s="252" t="str">
        <f>IFERROR(__xludf.DUMMYFUNCTION("""COMPUTED_VALUE"""),"VOLVO")</f>
        <v>VOLVO</v>
      </c>
      <c r="F142" s="252" t="str">
        <f>IFERROR(__xludf.DUMMYFUNCTION("""COMPUTED_VALUE"""),"L150G")</f>
        <v>L150G</v>
      </c>
      <c r="G142" s="252">
        <f>IFERROR(__xludf.DUMMYFUNCTION("""COMPUTED_VALUE"""),2012.0)</f>
        <v>2012</v>
      </c>
      <c r="H142" s="252">
        <f>IFERROR(__xludf.DUMMYFUNCTION("""COMPUTED_VALUE"""),301814.0)</f>
        <v>301814</v>
      </c>
      <c r="I142" s="252" t="str">
        <f>IFERROR(__xludf.DUMMYFUNCTION("""COMPUTED_VALUE"""),"VCEL150GH00018626")</f>
        <v>VCEL150GH00018626</v>
      </c>
      <c r="J142" s="252" t="str">
        <f>IFERROR(__xludf.DUMMYFUNCTION("""COMPUTED_VALUE"""),"DSLH27-4")</f>
        <v>DSLH27-4</v>
      </c>
      <c r="K142" s="252" t="str">
        <f>IFERROR(__xludf.DUMMYFUNCTION("""COMPUTED_VALUE"""),"ECMA")</f>
        <v>ECMA</v>
      </c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>
        <f>IFERROR(__xludf.DUMMYFUNCTION("""COMPUTED_VALUE"""),0.0)</f>
        <v>0</v>
      </c>
      <c r="W142" s="252">
        <f>IFERROR(__xludf.DUMMYFUNCTION("""COMPUTED_VALUE"""),5.0)</f>
        <v>5</v>
      </c>
      <c r="X142" s="252">
        <f>IFERROR(__xludf.DUMMYFUNCTION("""COMPUTED_VALUE"""),6.0)</f>
        <v>6</v>
      </c>
      <c r="Y142" s="252">
        <f>IFERROR(__xludf.DUMMYFUNCTION("""COMPUTED_VALUE"""),5.0)</f>
        <v>5</v>
      </c>
      <c r="Z142" s="252">
        <f>IFERROR(__xludf.DUMMYFUNCTION("""COMPUTED_VALUE"""),9.0)</f>
        <v>9</v>
      </c>
      <c r="AA142" s="252">
        <f>IFERROR(__xludf.DUMMYFUNCTION("""COMPUTED_VALUE"""),9.0)</f>
        <v>9</v>
      </c>
      <c r="AB142" s="252" t="str">
        <f>IFERROR(__xludf.DUMMYFUNCTION("""COMPUTED_VALUE"""),"En producción")</f>
        <v>En producción</v>
      </c>
      <c r="AC142" s="252" t="str">
        <f>IFERROR(__xludf.DUMMYFUNCTION("""COMPUTED_VALUE"""),"MAQUINAS_Images/m000051.FOTO1.200227.jpg")</f>
        <v>MAQUINAS_Images/m000051.FOTO1.200227.jpg</v>
      </c>
      <c r="AD142" s="252">
        <f>IFERROR(__xludf.DUMMYFUNCTION("""COMPUTED_VALUE"""),18.0)</f>
        <v>18</v>
      </c>
      <c r="AE142" s="252" t="str">
        <f>IFERROR(__xludf.DUMMYFUNCTION("""COMPUTED_VALUE"""),"Alerta incidente")</f>
        <v>Alerta incidente</v>
      </c>
      <c r="AF142" s="252">
        <f>IFERROR(__xludf.DUMMYFUNCTION("""COMPUTED_VALUE"""),7.0)</f>
        <v>7</v>
      </c>
      <c r="AG142" s="252" t="str">
        <f>IFERROR(__xludf.DUMMYFUNCTION("""COMPUTED_VALUE"""),"[CF-04 DSLH27] - VOLVO L150G")</f>
        <v>[CF-04 DSLH27] - VOLVO L150G</v>
      </c>
      <c r="AH142" s="252">
        <f>IFERROR(__xludf.DUMMYFUNCTION("""COMPUTED_VALUE"""),7466.0)</f>
        <v>7466</v>
      </c>
      <c r="AI142" s="252">
        <f>IFERROR(__xludf.DUMMYFUNCTION("""COMPUTED_VALUE"""),1.0)</f>
        <v>1</v>
      </c>
      <c r="AJ142" s="882">
        <f>IFERROR(__xludf.DUMMYFUNCTION("""COMPUTED_VALUE"""),46097.260729166665)</f>
        <v>46097.26073</v>
      </c>
      <c r="AK142" s="882">
        <f>IFERROR(__xludf.DUMMYFUNCTION("""COMPUTED_VALUE"""),46097.260775462964)</f>
        <v>46097.26078</v>
      </c>
      <c r="AL142" s="880">
        <f>IFERROR(__xludf.DUMMYFUNCTION("""COMPUTED_VALUE"""),7465.0)</f>
        <v>7465</v>
      </c>
      <c r="AM142" s="880" t="str">
        <f>IFERROR(__xludf.DUMMYFUNCTION("""COMPUTED_VALUE"""),"")</f>
        <v/>
      </c>
      <c r="AN142" s="252" t="str">
        <f>IFERROR(__xludf.DUMMYFUNCTION("""COMPUTED_VALUE"""),"OT260120143232")</f>
        <v>OT260120143232</v>
      </c>
      <c r="AO142" s="252" t="str">
        <f>IFERROR(__xludf.DUMMYFUNCTION("""COMPUTED_VALUE"""),"Hr")</f>
        <v>Hr</v>
      </c>
      <c r="AP142" s="252" t="str">
        <f>IFERROR(__xludf.DUMMYFUNCTION("""COMPUTED_VALUE"""),"IS250324090503")</f>
        <v>IS250324090503</v>
      </c>
      <c r="AQ142" s="252">
        <f>IFERROR(__xludf.DUMMYFUNCTION("""COMPUTED_VALUE"""),5922.0)</f>
        <v>5922</v>
      </c>
      <c r="AR142" s="252"/>
      <c r="AS142" s="881">
        <f>IFERROR(__xludf.DUMMYFUNCTION("""COMPUTED_VALUE"""),44927.0)</f>
        <v>44927</v>
      </c>
      <c r="AT142" s="881">
        <f>IFERROR(__xludf.DUMMYFUNCTION("""COMPUTED_VALUE"""),44927.0)</f>
        <v>44927</v>
      </c>
      <c r="AU142" s="252" t="str">
        <f>IFERROR(__xludf.DUMMYFUNCTION("""COMPUTED_VALUE"""),"RDC260313182212")</f>
        <v>RDC260313182212</v>
      </c>
      <c r="AV142" s="252" t="str">
        <f>IFERROR(__xludf.DUMMYFUNCTION("""COMPUTED_VALUE"""),"RCO260316081034")</f>
        <v>RCO260316081034</v>
      </c>
      <c r="AW142" s="252">
        <f>IFERROR(__xludf.DUMMYFUNCTION("""COMPUTED_VALUE"""),134.0)</f>
        <v>134</v>
      </c>
      <c r="AX142" s="252">
        <f>IFERROR(__xludf.DUMMYFUNCTION("""COMPUTED_VALUE"""),8.0)</f>
        <v>8</v>
      </c>
      <c r="AY142" s="252">
        <f>IFERROR(__xludf.DUMMYFUNCTION("""COMPUTED_VALUE"""),0.0)</f>
        <v>0</v>
      </c>
      <c r="AZ142" s="884">
        <f>IFERROR(__xludf.DUMMYFUNCTION("""COMPUTED_VALUE"""),46097.0)</f>
        <v>46097</v>
      </c>
    </row>
    <row r="143">
      <c r="A143" s="252" t="str">
        <f>IFERROR(__xludf.DUMMYFUNCTION("""COMPUTED_VALUE"""),"m000052")</f>
        <v>m000052</v>
      </c>
      <c r="B143" s="252" t="str">
        <f>IFERROR(__xludf.DUMMYFUNCTION("""COMPUTED_VALUE"""),"CF-05 LZRC22")</f>
        <v>CF-05 LZRC22</v>
      </c>
      <c r="C143" s="252" t="str">
        <f>IFERROR(__xludf.DUMMYFUNCTION("""COMPUTED_VALUE"""),"CARGADOR FRONTAL")</f>
        <v>CARGADOR FRONTAL</v>
      </c>
      <c r="D143" s="252" t="str">
        <f>IFERROR(__xludf.DUMMYFUNCTION("""COMPUTED_VALUE"""),"CARGADOR FRONTAL")</f>
        <v>CARGADOR FRONTAL</v>
      </c>
      <c r="E143" s="252" t="str">
        <f>IFERROR(__xludf.DUMMYFUNCTION("""COMPUTED_VALUE"""),"CLINTON")</f>
        <v>CLINTON</v>
      </c>
      <c r="F143" s="252" t="str">
        <f>IFERROR(__xludf.DUMMYFUNCTION("""COMPUTED_VALUE"""),"LW 300 F")</f>
        <v>LW 300 F</v>
      </c>
      <c r="G143" s="252">
        <f>IFERROR(__xludf.DUMMYFUNCTION("""COMPUTED_VALUE"""),2012.0)</f>
        <v>2012</v>
      </c>
      <c r="H143" s="252" t="str">
        <f>IFERROR(__xludf.DUMMYFUNCTION("""COMPUTED_VALUE"""),"BB6G3B03110")</f>
        <v>BB6G3B03110</v>
      </c>
      <c r="I143" s="252">
        <f>IFERROR(__xludf.DUMMYFUNCTION("""COMPUTED_VALUE"""),1.1108135E7)</f>
        <v>11108135</v>
      </c>
      <c r="J143" s="252" t="str">
        <f>IFERROR(__xludf.DUMMYFUNCTION("""COMPUTED_VALUE"""),"LZRC22")</f>
        <v>LZRC22</v>
      </c>
      <c r="K143" s="252" t="str">
        <f>IFERROR(__xludf.DUMMYFUNCTION("""COMPUTED_VALUE"""),"ECMA")</f>
        <v>ECMA</v>
      </c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>
        <f>IFERROR(__xludf.DUMMYFUNCTION("""COMPUTED_VALUE"""),0.0)</f>
        <v>0</v>
      </c>
      <c r="W143" s="252">
        <f>IFERROR(__xludf.DUMMYFUNCTION("""COMPUTED_VALUE"""),5.0)</f>
        <v>5</v>
      </c>
      <c r="X143" s="252">
        <f>IFERROR(__xludf.DUMMYFUNCTION("""COMPUTED_VALUE"""),5.0)</f>
        <v>5</v>
      </c>
      <c r="Y143" s="252">
        <f>IFERROR(__xludf.DUMMYFUNCTION("""COMPUTED_VALUE"""),5.0)</f>
        <v>5</v>
      </c>
      <c r="Z143" s="252">
        <f>IFERROR(__xludf.DUMMYFUNCTION("""COMPUTED_VALUE"""),10.0)</f>
        <v>10</v>
      </c>
      <c r="AA143" s="252">
        <f>IFERROR(__xludf.DUMMYFUNCTION("""COMPUTED_VALUE"""),10.0)</f>
        <v>10</v>
      </c>
      <c r="AB143" s="252" t="str">
        <f>IFERROR(__xludf.DUMMYFUNCTION("""COMPUTED_VALUE"""),"Reparando en terreno")</f>
        <v>Reparando en terreno</v>
      </c>
      <c r="AC143" s="252" t="str">
        <f>IFERROR(__xludf.DUMMYFUNCTION("""COMPUTED_VALUE"""),"MAQUINAS_Images/m000052.FOTO1.172633.jpg")</f>
        <v>MAQUINAS_Images/m000052.FOTO1.172633.jpg</v>
      </c>
      <c r="AD143" s="252">
        <f>IFERROR(__xludf.DUMMYFUNCTION("""COMPUTED_VALUE"""),292.0)</f>
        <v>292</v>
      </c>
      <c r="AE143" s="252" t="str">
        <f>IFERROR(__xludf.DUMMYFUNCTION("""COMPUTED_VALUE"""),"Sin incidentes")</f>
        <v>Sin incidentes</v>
      </c>
      <c r="AF143" s="252">
        <f>IFERROR(__xludf.DUMMYFUNCTION("""COMPUTED_VALUE"""),1.0)</f>
        <v>1</v>
      </c>
      <c r="AG143" s="252" t="str">
        <f>IFERROR(__xludf.DUMMYFUNCTION("""COMPUTED_VALUE"""),"[CF-05 LZRC22] - CLINTON LW 300 F")</f>
        <v>[CF-05 LZRC22] - CLINTON LW 300 F</v>
      </c>
      <c r="AH143" s="252">
        <f>IFERROR(__xludf.DUMMYFUNCTION("""COMPUTED_VALUE"""),6372.0)</f>
        <v>6372</v>
      </c>
      <c r="AI143" s="252">
        <f>IFERROR(__xludf.DUMMYFUNCTION("""COMPUTED_VALUE"""),1.0)</f>
        <v>1</v>
      </c>
      <c r="AJ143" s="882">
        <f>IFERROR(__xludf.DUMMYFUNCTION("""COMPUTED_VALUE"""),46091.382256944446)</f>
        <v>46091.38226</v>
      </c>
      <c r="AK143" s="885">
        <f>IFERROR(__xludf.DUMMYFUNCTION("""COMPUTED_VALUE"""),46073.439097222225)</f>
        <v>46073.4391</v>
      </c>
      <c r="AL143" s="880">
        <f>IFERROR(__xludf.DUMMYFUNCTION("""COMPUTED_VALUE"""),6469.0)</f>
        <v>6469</v>
      </c>
      <c r="AM143" s="880" t="str">
        <f>IFERROR(__xludf.DUMMYFUNCTION("""COMPUTED_VALUE"""),"")</f>
        <v/>
      </c>
      <c r="AN143" s="252" t="str">
        <f>IFERROR(__xludf.DUMMYFUNCTION("""COMPUTED_VALUE"""),"OT251220094709")</f>
        <v>OT251220094709</v>
      </c>
      <c r="AO143" s="252" t="str">
        <f>IFERROR(__xludf.DUMMYFUNCTION("""COMPUTED_VALUE"""),"Hr")</f>
        <v>Hr</v>
      </c>
      <c r="AP143" s="252" t="str">
        <f>IFERROR(__xludf.DUMMYFUNCTION("""COMPUTED_VALUE"""),"IS250326162231")</f>
        <v>IS250326162231</v>
      </c>
      <c r="AQ143" s="252">
        <f>IFERROR(__xludf.DUMMYFUNCTION("""COMPUTED_VALUE"""),4948.0)</f>
        <v>4948</v>
      </c>
      <c r="AR143" s="252"/>
      <c r="AS143" s="881">
        <f>IFERROR(__xludf.DUMMYFUNCTION("""COMPUTED_VALUE"""),44927.0)</f>
        <v>44927</v>
      </c>
      <c r="AT143" s="881">
        <f>IFERROR(__xludf.DUMMYFUNCTION("""COMPUTED_VALUE"""),44927.0)</f>
        <v>44927</v>
      </c>
      <c r="AU143" s="252" t="str">
        <f>IFERROR(__xludf.DUMMYFUNCTION("""COMPUTED_VALUE"""),"RDC260221102248")</f>
        <v>RDC260221102248</v>
      </c>
      <c r="AV143" s="252" t="str">
        <f>IFERROR(__xludf.DUMMYFUNCTION("""COMPUTED_VALUE"""),"RCO260220122823")</f>
        <v>RCO260220122823</v>
      </c>
      <c r="AW143" s="252">
        <f>IFERROR(__xludf.DUMMYFUNCTION("""COMPUTED_VALUE"""),77.0)</f>
        <v>77</v>
      </c>
      <c r="AX143" s="252">
        <f>IFERROR(__xludf.DUMMYFUNCTION("""COMPUTED_VALUE"""),11.0)</f>
        <v>11</v>
      </c>
      <c r="AY143" s="252">
        <f>IFERROR(__xludf.DUMMYFUNCTION("""COMPUTED_VALUE"""),0.0)</f>
        <v>0</v>
      </c>
      <c r="AZ143" s="884">
        <f>IFERROR(__xludf.DUMMYFUNCTION("""COMPUTED_VALUE"""),46073.0)</f>
        <v>46073</v>
      </c>
    </row>
    <row r="144">
      <c r="A144" s="252" t="str">
        <f>IFERROR(__xludf.DUMMYFUNCTION("""COMPUTED_VALUE"""),"m000053")</f>
        <v>m000053</v>
      </c>
      <c r="B144" s="252" t="str">
        <f>IFERROR(__xludf.DUMMYFUNCTION("""COMPUTED_VALUE"""),"CF-06 PPFG75")</f>
        <v>CF-06 PPFG75</v>
      </c>
      <c r="C144" s="252" t="str">
        <f>IFERROR(__xludf.DUMMYFUNCTION("""COMPUTED_VALUE"""),"CARGADOR FRONTAL")</f>
        <v>CARGADOR FRONTAL</v>
      </c>
      <c r="D144" s="252" t="str">
        <f>IFERROR(__xludf.DUMMYFUNCTION("""COMPUTED_VALUE"""),"CARGADOR FRONTAL")</f>
        <v>CARGADOR FRONTAL</v>
      </c>
      <c r="E144" s="252" t="str">
        <f>IFERROR(__xludf.DUMMYFUNCTION("""COMPUTED_VALUE"""),"JOHN DEERE")</f>
        <v>JOHN DEERE</v>
      </c>
      <c r="F144" s="252" t="str">
        <f>IFERROR(__xludf.DUMMYFUNCTION("""COMPUTED_VALUE"""),"624K-II")</f>
        <v>624K-II</v>
      </c>
      <c r="G144" s="252"/>
      <c r="H144" s="252"/>
      <c r="I144" s="252" t="str">
        <f>IFERROR(__xludf.DUMMYFUNCTION("""COMPUTED_VALUE"""),"1BZ624KAHKD001403")</f>
        <v>1BZ624KAHKD001403</v>
      </c>
      <c r="J144" s="252" t="str">
        <f>IFERROR(__xludf.DUMMYFUNCTION("""COMPUTED_VALUE"""),"PPFG75")</f>
        <v>PPFG75</v>
      </c>
      <c r="K144" s="252" t="str">
        <f>IFERROR(__xludf.DUMMYFUNCTION("""COMPUTED_VALUE"""),"BCI")</f>
        <v>BCI</v>
      </c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>
        <f>IFERROR(__xludf.DUMMYFUNCTION("""COMPUTED_VALUE"""),0.0)</f>
        <v>0</v>
      </c>
      <c r="W144" s="252">
        <f>IFERROR(__xludf.DUMMYFUNCTION("""COMPUTED_VALUE"""),5.0)</f>
        <v>5</v>
      </c>
      <c r="X144" s="252">
        <f>IFERROR(__xludf.DUMMYFUNCTION("""COMPUTED_VALUE"""),5.0)</f>
        <v>5</v>
      </c>
      <c r="Y144" s="252">
        <f>IFERROR(__xludf.DUMMYFUNCTION("""COMPUTED_VALUE"""),5.0)</f>
        <v>5</v>
      </c>
      <c r="Z144" s="252">
        <f>IFERROR(__xludf.DUMMYFUNCTION("""COMPUTED_VALUE"""),10.0)</f>
        <v>10</v>
      </c>
      <c r="AA144" s="252">
        <f>IFERROR(__xludf.DUMMYFUNCTION("""COMPUTED_VALUE"""),10.0)</f>
        <v>10</v>
      </c>
      <c r="AB144" s="252" t="str">
        <f>IFERROR(__xludf.DUMMYFUNCTION("""COMPUTED_VALUE"""),"En producción")</f>
        <v>En producción</v>
      </c>
      <c r="AC144" s="252"/>
      <c r="AD144" s="252">
        <f>IFERROR(__xludf.DUMMYFUNCTION("""COMPUTED_VALUE"""),335.0)</f>
        <v>335</v>
      </c>
      <c r="AE144" s="252" t="str">
        <f>IFERROR(__xludf.DUMMYFUNCTION("""COMPUTED_VALUE"""),"Alerta incidente")</f>
        <v>Alerta incidente</v>
      </c>
      <c r="AF144" s="252">
        <f>IFERROR(__xludf.DUMMYFUNCTION("""COMPUTED_VALUE"""),3.0)</f>
        <v>3</v>
      </c>
      <c r="AG144" s="252" t="str">
        <f>IFERROR(__xludf.DUMMYFUNCTION("""COMPUTED_VALUE"""),"[CF-06 PPFG75] - JOHN DEERE 624K-II")</f>
        <v>[CF-06 PPFG75] - JOHN DEERE 624K-II</v>
      </c>
      <c r="AH144" s="252">
        <f>IFERROR(__xludf.DUMMYFUNCTION("""COMPUTED_VALUE"""),10723.0)</f>
        <v>10723</v>
      </c>
      <c r="AI144" s="252">
        <f>IFERROR(__xludf.DUMMYFUNCTION("""COMPUTED_VALUE"""),8832.0)</f>
        <v>8832</v>
      </c>
      <c r="AJ144" s="882">
        <f>IFERROR(__xludf.DUMMYFUNCTION("""COMPUTED_VALUE"""),46095.485972222225)</f>
        <v>46095.48597</v>
      </c>
      <c r="AK144" s="882">
        <f>IFERROR(__xludf.DUMMYFUNCTION("""COMPUTED_VALUE"""),46092.44280092593)</f>
        <v>46092.4428</v>
      </c>
      <c r="AL144" s="880">
        <f>IFERROR(__xludf.DUMMYFUNCTION("""COMPUTED_VALUE"""),10604.0)</f>
        <v>10604</v>
      </c>
      <c r="AM144" s="252"/>
      <c r="AN144" s="252" t="str">
        <f>IFERROR(__xludf.DUMMYFUNCTION("""COMPUTED_VALUE"""),"OT251024143958")</f>
        <v>OT251024143958</v>
      </c>
      <c r="AO144" s="252" t="str">
        <f>IFERROR(__xludf.DUMMYFUNCTION("""COMPUTED_VALUE"""),"Hr")</f>
        <v>Hr</v>
      </c>
      <c r="AP144" s="252"/>
      <c r="AQ144" s="252">
        <f>IFERROR(__xludf.DUMMYFUNCTION("""COMPUTED_VALUE"""),10506.0)</f>
        <v>10506</v>
      </c>
      <c r="AR144" s="252"/>
      <c r="AS144" s="881">
        <f>IFERROR(__xludf.DUMMYFUNCTION("""COMPUTED_VALUE"""),44927.0)</f>
        <v>44927</v>
      </c>
      <c r="AT144" s="881">
        <f>IFERROR(__xludf.DUMMYFUNCTION("""COMPUTED_VALUE"""),44927.0)</f>
        <v>44927</v>
      </c>
      <c r="AU144" s="252" t="str">
        <f>IFERROR(__xludf.DUMMYFUNCTION("""COMPUTED_VALUE"""),"RDC260314133844")</f>
        <v>RDC260314133844</v>
      </c>
      <c r="AV144" s="252" t="str">
        <f>IFERROR(__xludf.DUMMYFUNCTION("""COMPUTED_VALUE"""),"RCO260311123224")</f>
        <v>RCO260311123224</v>
      </c>
      <c r="AW144" s="252">
        <f>IFERROR(__xludf.DUMMYFUNCTION("""COMPUTED_VALUE"""),214.0)</f>
        <v>214</v>
      </c>
      <c r="AX144" s="252">
        <f>IFERROR(__xludf.DUMMYFUNCTION("""COMPUTED_VALUE"""),32.0)</f>
        <v>32</v>
      </c>
      <c r="AY144" s="252">
        <f>IFERROR(__xludf.DUMMYFUNCTION("""COMPUTED_VALUE"""),0.0)</f>
        <v>0</v>
      </c>
      <c r="AZ144" s="884">
        <f>IFERROR(__xludf.DUMMYFUNCTION("""COMPUTED_VALUE"""),46092.0)</f>
        <v>46092</v>
      </c>
    </row>
    <row r="145">
      <c r="A145" s="252" t="str">
        <f>IFERROR(__xludf.DUMMYFUNCTION("""COMPUTED_VALUE"""),"m000055")</f>
        <v>m000055</v>
      </c>
      <c r="B145" s="252" t="str">
        <f>IFERROR(__xludf.DUMMYFUNCTION("""COMPUTED_VALUE"""),"EX-02 ZX4320")</f>
        <v>EX-02 ZX4320</v>
      </c>
      <c r="C145" s="252" t="str">
        <f>IFERROR(__xludf.DUMMYFUNCTION("""COMPUTED_VALUE"""),"EXCAVADORA")</f>
        <v>EXCAVADORA</v>
      </c>
      <c r="D145" s="252" t="str">
        <f>IFERROR(__xludf.DUMMYFUNCTION("""COMPUTED_VALUE"""),"EXCAVADORA")</f>
        <v>EXCAVADORA</v>
      </c>
      <c r="E145" s="252" t="str">
        <f>IFERROR(__xludf.DUMMYFUNCTION("""COMPUTED_VALUE"""),"KOBELCO")</f>
        <v>KOBELCO</v>
      </c>
      <c r="F145" s="252" t="str">
        <f>IFERROR(__xludf.DUMMYFUNCTION("""COMPUTED_VALUE"""),"SK 200 LC IV")</f>
        <v>SK 200 LC IV</v>
      </c>
      <c r="G145" s="252">
        <f>IFERROR(__xludf.DUMMYFUNCTION("""COMPUTED_VALUE"""),1996.0)</f>
        <v>1996</v>
      </c>
      <c r="H145" s="252">
        <f>IFERROR(__xludf.DUMMYFUNCTION("""COMPUTED_VALUE"""),4.5274215E7)</f>
        <v>45274215</v>
      </c>
      <c r="I145" s="252" t="str">
        <f>IFERROR(__xludf.DUMMYFUNCTION("""COMPUTED_VALUE"""),"YQU2436")</f>
        <v>YQU2436</v>
      </c>
      <c r="J145" s="252" t="str">
        <f>IFERROR(__xludf.DUMMYFUNCTION("""COMPUTED_VALUE"""),"ZX4320-0")</f>
        <v>ZX4320-0</v>
      </c>
      <c r="K145" s="252" t="str">
        <f>IFERROR(__xludf.DUMMYFUNCTION("""COMPUTED_VALUE"""),"JHL")</f>
        <v>JHL</v>
      </c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  <c r="AA145" s="252"/>
      <c r="AB145" s="252" t="str">
        <f>IFERROR(__xludf.DUMMYFUNCTION("""COMPUTED_VALUE"""),"Patio LL")</f>
        <v>Patio LL</v>
      </c>
      <c r="AC145" s="252" t="str">
        <f>IFERROR(__xludf.DUMMYFUNCTION("""COMPUTED_VALUE"""),"MAQUINAS_Images/m000055.FOTO1.145713.jpg")</f>
        <v>MAQUINAS_Images/m000055.FOTO1.145713.jpg</v>
      </c>
      <c r="AD145" s="252"/>
      <c r="AE145" s="252" t="str">
        <f>IFERROR(__xludf.DUMMYFUNCTION("""COMPUTED_VALUE"""),"Sin incidentes")</f>
        <v>Sin incidentes</v>
      </c>
      <c r="AF145" s="252">
        <f>IFERROR(__xludf.DUMMYFUNCTION("""COMPUTED_VALUE"""),1.0)</f>
        <v>1</v>
      </c>
      <c r="AG145" s="252" t="str">
        <f>IFERROR(__xludf.DUMMYFUNCTION("""COMPUTED_VALUE"""),"[EX-02 ZX4320] - KOBELCO SK 200 LC IV")</f>
        <v>[EX-02 ZX4320] - KOBELCO SK 200 LC IV</v>
      </c>
      <c r="AH145" s="252">
        <f>IFERROR(__xludf.DUMMYFUNCTION("""COMPUTED_VALUE"""),1.0)</f>
        <v>1</v>
      </c>
      <c r="AI145" s="252">
        <f>IFERROR(__xludf.DUMMYFUNCTION("""COMPUTED_VALUE"""),1.0)</f>
        <v>1</v>
      </c>
      <c r="AJ145" s="882">
        <f>IFERROR(__xludf.DUMMYFUNCTION("""COMPUTED_VALUE"""),46085.32412037037)</f>
        <v>46085.32412</v>
      </c>
      <c r="AK145" s="882">
        <f>IFERROR(__xludf.DUMMYFUNCTION("""COMPUTED_VALUE"""),46085.32414351852)</f>
        <v>46085.32414</v>
      </c>
      <c r="AL145" s="880" t="str">
        <f>IFERROR(__xludf.DUMMYFUNCTION("""COMPUTED_VALUE"""),"")</f>
        <v/>
      </c>
      <c r="AM145" s="880" t="str">
        <f>IFERROR(__xludf.DUMMYFUNCTION("""COMPUTED_VALUE"""),"")</f>
        <v/>
      </c>
      <c r="AN145" s="252"/>
      <c r="AO145" s="252" t="str">
        <f>IFERROR(__xludf.DUMMYFUNCTION("""COMPUTED_VALUE"""),"Hr")</f>
        <v>Hr</v>
      </c>
      <c r="AP145" s="252"/>
      <c r="AQ145" s="252">
        <f>IFERROR(__xludf.DUMMYFUNCTION("""COMPUTED_VALUE"""),15427.0)</f>
        <v>15427</v>
      </c>
      <c r="AR145" s="252"/>
      <c r="AS145" s="881">
        <f>IFERROR(__xludf.DUMMYFUNCTION("""COMPUTED_VALUE"""),44927.0)</f>
        <v>44927</v>
      </c>
      <c r="AT145" s="881">
        <f>IFERROR(__xludf.DUMMYFUNCTION("""COMPUTED_VALUE"""),44927.0)</f>
        <v>44927</v>
      </c>
      <c r="AU145" s="252"/>
      <c r="AV145" s="252" t="str">
        <f>IFERROR(__xludf.DUMMYFUNCTION("""COMPUTED_VALUE"""),"RCO250609100724")</f>
        <v>RCO250609100724</v>
      </c>
      <c r="AW145" s="252">
        <f>IFERROR(__xludf.DUMMYFUNCTION("""COMPUTED_VALUE"""),169.0)</f>
        <v>169</v>
      </c>
      <c r="AX145" s="252"/>
      <c r="AY145" s="252"/>
      <c r="AZ145" s="881">
        <f>IFERROR(__xludf.DUMMYFUNCTION("""COMPUTED_VALUE"""),45817.0)</f>
        <v>45817</v>
      </c>
    </row>
    <row r="146">
      <c r="A146" s="252" t="str">
        <f>IFERROR(__xludf.DUMMYFUNCTION("""COMPUTED_VALUE"""),"m000056")</f>
        <v>m000056</v>
      </c>
      <c r="B146" s="252" t="str">
        <f>IFERROR(__xludf.DUMMYFUNCTION("""COMPUTED_VALUE"""),"EX-03")</f>
        <v>EX-03</v>
      </c>
      <c r="C146" s="252" t="str">
        <f>IFERROR(__xludf.DUMMYFUNCTION("""COMPUTED_VALUE"""),"EXCAVADORA")</f>
        <v>EXCAVADORA</v>
      </c>
      <c r="D146" s="252" t="str">
        <f>IFERROR(__xludf.DUMMYFUNCTION("""COMPUTED_VALUE"""),"EXCAVADORA")</f>
        <v>EXCAVADORA</v>
      </c>
      <c r="E146" s="252" t="str">
        <f>IFERROR(__xludf.DUMMYFUNCTION("""COMPUTED_VALUE"""),"JCB")</f>
        <v>JCB</v>
      </c>
      <c r="F146" s="252" t="str">
        <f>IFERROR(__xludf.DUMMYFUNCTION("""COMPUTED_VALUE"""),"JS 200 LC")</f>
        <v>JS 200 LC</v>
      </c>
      <c r="G146" s="252">
        <f>IFERROR(__xludf.DUMMYFUNCTION("""COMPUTED_VALUE"""),2006.0)</f>
        <v>2006</v>
      </c>
      <c r="H146" s="252" t="str">
        <f>IFERROR(__xludf.DUMMYFUNCTION("""COMPUTED_VALUE"""),"6BG1T-214095")</f>
        <v>6BG1T-214095</v>
      </c>
      <c r="I146" s="252" t="str">
        <f>IFERROR(__xludf.DUMMYFUNCTION("""COMPUTED_VALUE"""),"SLPJS20C6E1203158")</f>
        <v>SLPJS20C6E1203158</v>
      </c>
      <c r="J146" s="252" t="str">
        <f>IFERROR(__xludf.DUMMYFUNCTION("""COMPUTED_VALUE"""),"FPLK20-K")</f>
        <v>FPLK20-K</v>
      </c>
      <c r="K146" s="252" t="str">
        <f>IFERROR(__xludf.DUMMYFUNCTION("""COMPUTED_VALUE"""),"ECMA")</f>
        <v>ECMA</v>
      </c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>
        <f>IFERROR(__xludf.DUMMYFUNCTION("""COMPUTED_VALUE"""),0.0)</f>
        <v>0</v>
      </c>
      <c r="W146" s="252">
        <f>IFERROR(__xludf.DUMMYFUNCTION("""COMPUTED_VALUE"""),5.0)</f>
        <v>5</v>
      </c>
      <c r="X146" s="252">
        <f>IFERROR(__xludf.DUMMYFUNCTION("""COMPUTED_VALUE"""),6.0)</f>
        <v>6</v>
      </c>
      <c r="Y146" s="252">
        <f>IFERROR(__xludf.DUMMYFUNCTION("""COMPUTED_VALUE"""),5.0)</f>
        <v>5</v>
      </c>
      <c r="Z146" s="252">
        <f>IFERROR(__xludf.DUMMYFUNCTION("""COMPUTED_VALUE"""),8.0)</f>
        <v>8</v>
      </c>
      <c r="AA146" s="252">
        <f>IFERROR(__xludf.DUMMYFUNCTION("""COMPUTED_VALUE"""),8.0)</f>
        <v>8</v>
      </c>
      <c r="AB146" s="252" t="str">
        <f>IFERROR(__xludf.DUMMYFUNCTION("""COMPUTED_VALUE"""),"Reparando en terreno")</f>
        <v>Reparando en terreno</v>
      </c>
      <c r="AC146" s="252" t="str">
        <f>IFERROR(__xludf.DUMMYFUNCTION("""COMPUTED_VALUE"""),"MAQUINAS_Images/m000056.FOTO1.172144.jpg")</f>
        <v>MAQUINAS_Images/m000056.FOTO1.172144.jpg</v>
      </c>
      <c r="AD146" s="252">
        <f>IFERROR(__xludf.DUMMYFUNCTION("""COMPUTED_VALUE"""),794.0)</f>
        <v>794</v>
      </c>
      <c r="AE146" s="252" t="str">
        <f>IFERROR(__xludf.DUMMYFUNCTION("""COMPUTED_VALUE"""),"Sin incidentes")</f>
        <v>Sin incidentes</v>
      </c>
      <c r="AF146" s="252">
        <f>IFERROR(__xludf.DUMMYFUNCTION("""COMPUTED_VALUE"""),1.0)</f>
        <v>1</v>
      </c>
      <c r="AG146" s="252" t="str">
        <f>IFERROR(__xludf.DUMMYFUNCTION("""COMPUTED_VALUE"""),"[EX-03] - JCB JS 200 LC")</f>
        <v>[EX-03] - JCB JS 200 LC</v>
      </c>
      <c r="AH146" s="252">
        <f>IFERROR(__xludf.DUMMYFUNCTION("""COMPUTED_VALUE"""),8630.0)</f>
        <v>8630</v>
      </c>
      <c r="AI146" s="252">
        <f>IFERROR(__xludf.DUMMYFUNCTION("""COMPUTED_VALUE"""),1.0)</f>
        <v>1</v>
      </c>
      <c r="AJ146" s="882">
        <f>IFERROR(__xludf.DUMMYFUNCTION("""COMPUTED_VALUE"""),46064.33325231481)</f>
        <v>46064.33325</v>
      </c>
      <c r="AK146" s="885">
        <f>IFERROR(__xludf.DUMMYFUNCTION("""COMPUTED_VALUE"""),46064.333287037036)</f>
        <v>46064.33329</v>
      </c>
      <c r="AL146" s="880">
        <f>IFERROR(__xludf.DUMMYFUNCTION("""COMPUTED_VALUE"""),8828.0)</f>
        <v>8828</v>
      </c>
      <c r="AM146" s="880" t="str">
        <f>IFERROR(__xludf.DUMMYFUNCTION("""COMPUTED_VALUE"""),"")</f>
        <v/>
      </c>
      <c r="AN146" s="252" t="str">
        <f>IFERROR(__xludf.DUMMYFUNCTION("""COMPUTED_VALUE"""),"OT251117155751")</f>
        <v>OT251117155751</v>
      </c>
      <c r="AO146" s="252" t="str">
        <f>IFERROR(__xludf.DUMMYFUNCTION("""COMPUTED_VALUE"""),"Hr")</f>
        <v>Hr</v>
      </c>
      <c r="AP146" s="252"/>
      <c r="AQ146" s="252">
        <f>IFERROR(__xludf.DUMMYFUNCTION("""COMPUTED_VALUE"""),8038.0)</f>
        <v>8038</v>
      </c>
      <c r="AR146" s="252"/>
      <c r="AS146" s="881">
        <f>IFERROR(__xludf.DUMMYFUNCTION("""COMPUTED_VALUE"""),44927.0)</f>
        <v>44927</v>
      </c>
      <c r="AT146" s="881">
        <f>IFERROR(__xludf.DUMMYFUNCTION("""COMPUTED_VALUE"""),44927.0)</f>
        <v>44927</v>
      </c>
      <c r="AU146" s="252" t="str">
        <f>IFERROR(__xludf.DUMMYFUNCTION("""COMPUTED_VALUE"""),"RDC260119080017")</f>
        <v>RDC260119080017</v>
      </c>
      <c r="AV146" s="252" t="str">
        <f>IFERROR(__xludf.DUMMYFUNCTION("""COMPUTED_VALUE"""),"RCO260211095640")</f>
        <v>RCO260211095640</v>
      </c>
      <c r="AW146" s="252">
        <f>IFERROR(__xludf.DUMMYFUNCTION("""COMPUTED_VALUE"""),25.0)</f>
        <v>25</v>
      </c>
      <c r="AX146" s="252">
        <f>IFERROR(__xludf.DUMMYFUNCTION("""COMPUTED_VALUE"""),-7761.0)</f>
        <v>-7761</v>
      </c>
      <c r="AY146" s="252">
        <f>IFERROR(__xludf.DUMMYFUNCTION("""COMPUTED_VALUE"""),0.0)</f>
        <v>0</v>
      </c>
      <c r="AZ146" s="883">
        <f>IFERROR(__xludf.DUMMYFUNCTION("""COMPUTED_VALUE"""),46064.0)</f>
        <v>46064</v>
      </c>
    </row>
    <row r="147">
      <c r="A147" s="252" t="str">
        <f>IFERROR(__xludf.DUMMYFUNCTION("""COMPUTED_VALUE"""),"m000058")</f>
        <v>m000058</v>
      </c>
      <c r="B147" s="252" t="str">
        <f>IFERROR(__xludf.DUMMYFUNCTION("""COMPUTED_VALUE"""),"EX-06 DRXC28")</f>
        <v>EX-06 DRXC28</v>
      </c>
      <c r="C147" s="252" t="str">
        <f>IFERROR(__xludf.DUMMYFUNCTION("""COMPUTED_VALUE"""),"EXCAVADORA")</f>
        <v>EXCAVADORA</v>
      </c>
      <c r="D147" s="252" t="str">
        <f>IFERROR(__xludf.DUMMYFUNCTION("""COMPUTED_VALUE"""),"EXCAVADORA")</f>
        <v>EXCAVADORA</v>
      </c>
      <c r="E147" s="252" t="str">
        <f>IFERROR(__xludf.DUMMYFUNCTION("""COMPUTED_VALUE"""),"JCB")</f>
        <v>JCB</v>
      </c>
      <c r="F147" s="252" t="str">
        <f>IFERROR(__xludf.DUMMYFUNCTION("""COMPUTED_VALUE"""),"JS 330 LC AUTO")</f>
        <v>JS 330 LC AUTO</v>
      </c>
      <c r="G147" s="252">
        <f>IFERROR(__xludf.DUMMYFUNCTION("""COMPUTED_VALUE"""),2011.0)</f>
        <v>2011</v>
      </c>
      <c r="H147" s="252" t="str">
        <f>IFERROR(__xludf.DUMMYFUNCTION("""COMPUTED_VALUE"""),"6HK1XQB01556590")</f>
        <v>6HK1XQB01556590</v>
      </c>
      <c r="I147" s="252" t="str">
        <f>IFERROR(__xludf.DUMMYFUNCTION("""COMPUTED_VALUE"""),"JCBJS33CC01304874")</f>
        <v>JCBJS33CC01304874</v>
      </c>
      <c r="J147" s="252" t="str">
        <f>IFERROR(__xludf.DUMMYFUNCTION("""COMPUTED_VALUE"""),"DRXC28")</f>
        <v>DRXC28</v>
      </c>
      <c r="K147" s="252" t="str">
        <f>IFERROR(__xludf.DUMMYFUNCTION("""COMPUTED_VALUE"""),"ECMA")</f>
        <v>ECMA</v>
      </c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>
        <f>IFERROR(__xludf.DUMMYFUNCTION("""COMPUTED_VALUE"""),0.0)</f>
        <v>0</v>
      </c>
      <c r="W147" s="252">
        <f>IFERROR(__xludf.DUMMYFUNCTION("""COMPUTED_VALUE"""),5.0)</f>
        <v>5</v>
      </c>
      <c r="X147" s="252">
        <f>IFERROR(__xludf.DUMMYFUNCTION("""COMPUTED_VALUE"""),6.0)</f>
        <v>6</v>
      </c>
      <c r="Y147" s="252">
        <f>IFERROR(__xludf.DUMMYFUNCTION("""COMPUTED_VALUE"""),5.0)</f>
        <v>5</v>
      </c>
      <c r="Z147" s="252">
        <f>IFERROR(__xludf.DUMMYFUNCTION("""COMPUTED_VALUE"""),8.0)</f>
        <v>8</v>
      </c>
      <c r="AA147" s="252">
        <f>IFERROR(__xludf.DUMMYFUNCTION("""COMPUTED_VALUE"""),8.0)</f>
        <v>8</v>
      </c>
      <c r="AB147" s="252" t="str">
        <f>IFERROR(__xludf.DUMMYFUNCTION("""COMPUTED_VALUE"""),"En producción")</f>
        <v>En producción</v>
      </c>
      <c r="AC147" s="252"/>
      <c r="AD147" s="252">
        <f>IFERROR(__xludf.DUMMYFUNCTION("""COMPUTED_VALUE"""),440.0)</f>
        <v>440</v>
      </c>
      <c r="AE147" s="252" t="str">
        <f>IFERROR(__xludf.DUMMYFUNCTION("""COMPUTED_VALUE"""),"Sin incidentes")</f>
        <v>Sin incidentes</v>
      </c>
      <c r="AF147" s="252">
        <f>IFERROR(__xludf.DUMMYFUNCTION("""COMPUTED_VALUE"""),1.0)</f>
        <v>1</v>
      </c>
      <c r="AG147" s="252" t="str">
        <f>IFERROR(__xludf.DUMMYFUNCTION("""COMPUTED_VALUE"""),"[EX-06 DRXC28] - JCB JS 330 LC AUTO")</f>
        <v>[EX-06 DRXC28] - JCB JS 330 LC AUTO</v>
      </c>
      <c r="AH147" s="252">
        <f>IFERROR(__xludf.DUMMYFUNCTION("""COMPUTED_VALUE"""),16210.0)</f>
        <v>16210</v>
      </c>
      <c r="AI147" s="252">
        <f>IFERROR(__xludf.DUMMYFUNCTION("""COMPUTED_VALUE"""),1.0)</f>
        <v>1</v>
      </c>
      <c r="AJ147" s="882">
        <f>IFERROR(__xludf.DUMMYFUNCTION("""COMPUTED_VALUE"""),46094.81332175926)</f>
        <v>46094.81332</v>
      </c>
      <c r="AK147" s="882">
        <f>IFERROR(__xludf.DUMMYFUNCTION("""COMPUTED_VALUE"""),46094.2818287037)</f>
        <v>46094.28183</v>
      </c>
      <c r="AL147" s="880">
        <f>IFERROR(__xludf.DUMMYFUNCTION("""COMPUTED_VALUE"""),16294.0)</f>
        <v>16294</v>
      </c>
      <c r="AM147" s="880" t="str">
        <f>IFERROR(__xludf.DUMMYFUNCTION("""COMPUTED_VALUE"""),"")</f>
        <v/>
      </c>
      <c r="AN147" s="252" t="str">
        <f>IFERROR(__xludf.DUMMYFUNCTION("""COMPUTED_VALUE"""),"OT251127152206")</f>
        <v>OT251127152206</v>
      </c>
      <c r="AO147" s="252" t="str">
        <f>IFERROR(__xludf.DUMMYFUNCTION("""COMPUTED_VALUE"""),"Hr")</f>
        <v>Hr</v>
      </c>
      <c r="AP147" s="252"/>
      <c r="AQ147" s="252">
        <f>IFERROR(__xludf.DUMMYFUNCTION("""COMPUTED_VALUE"""),15564.0)</f>
        <v>15564</v>
      </c>
      <c r="AR147" s="252"/>
      <c r="AS147" s="881">
        <f>IFERROR(__xludf.DUMMYFUNCTION("""COMPUTED_VALUE"""),44927.0)</f>
        <v>44927</v>
      </c>
      <c r="AT147" s="881">
        <f>IFERROR(__xludf.DUMMYFUNCTION("""COMPUTED_VALUE"""),44927.0)</f>
        <v>44927</v>
      </c>
      <c r="AU147" s="252" t="str">
        <f>IFERROR(__xludf.DUMMYFUNCTION("""COMPUTED_VALUE"""),"RDC260313212926")</f>
        <v>RDC260313212926</v>
      </c>
      <c r="AV147" s="252" t="str">
        <f>IFERROR(__xludf.DUMMYFUNCTION("""COMPUTED_VALUE"""),"RCO260313083443")</f>
        <v>RCO260313083443</v>
      </c>
      <c r="AW147" s="252">
        <f>IFERROR(__xludf.DUMMYFUNCTION("""COMPUTED_VALUE"""),315.0)</f>
        <v>315</v>
      </c>
      <c r="AX147" s="252">
        <f>IFERROR(__xludf.DUMMYFUNCTION("""COMPUTED_VALUE"""),16.0)</f>
        <v>16</v>
      </c>
      <c r="AY147" s="252">
        <f>IFERROR(__xludf.DUMMYFUNCTION("""COMPUTED_VALUE"""),0.0)</f>
        <v>0</v>
      </c>
      <c r="AZ147" s="883">
        <f>IFERROR(__xludf.DUMMYFUNCTION("""COMPUTED_VALUE"""),46094.0)</f>
        <v>46094</v>
      </c>
    </row>
    <row r="148">
      <c r="A148" s="252" t="str">
        <f>IFERROR(__xludf.DUMMYFUNCTION("""COMPUTED_VALUE"""),"m000059")</f>
        <v>m000059</v>
      </c>
      <c r="B148" s="252" t="str">
        <f>IFERROR(__xludf.DUMMYFUNCTION("""COMPUTED_VALUE"""),"EX-07 JRKH82")</f>
        <v>EX-07 JRKH82</v>
      </c>
      <c r="C148" s="252" t="str">
        <f>IFERROR(__xludf.DUMMYFUNCTION("""COMPUTED_VALUE"""),"EXCAVADORA")</f>
        <v>EXCAVADORA</v>
      </c>
      <c r="D148" s="252" t="str">
        <f>IFERROR(__xludf.DUMMYFUNCTION("""COMPUTED_VALUE"""),"EXCAVADORA")</f>
        <v>EXCAVADORA</v>
      </c>
      <c r="E148" s="252" t="str">
        <f>IFERROR(__xludf.DUMMYFUNCTION("""COMPUTED_VALUE"""),"KOMATSU")</f>
        <v>KOMATSU</v>
      </c>
      <c r="F148" s="252" t="str">
        <f>IFERROR(__xludf.DUMMYFUNCTION("""COMPUTED_VALUE"""),"PC200 LC-8MO")</f>
        <v>PC200 LC-8MO</v>
      </c>
      <c r="G148" s="252">
        <f>IFERROR(__xludf.DUMMYFUNCTION("""COMPUTED_VALUE"""),2018.0)</f>
        <v>2018</v>
      </c>
      <c r="H148" s="252">
        <f>IFERROR(__xludf.DUMMYFUNCTION("""COMPUTED_VALUE"""),2.6669591E7)</f>
        <v>26669591</v>
      </c>
      <c r="I148" s="252">
        <f>IFERROR(__xludf.DUMMYFUNCTION("""COMPUTED_VALUE"""),401047.0)</f>
        <v>401047</v>
      </c>
      <c r="J148" s="252" t="str">
        <f>IFERROR(__xludf.DUMMYFUNCTION("""COMPUTED_VALUE"""),"JRKH82-1")</f>
        <v>JRKH82-1</v>
      </c>
      <c r="K148" s="252" t="str">
        <f>IFERROR(__xludf.DUMMYFUNCTION("""COMPUTED_VALUE"""),"ECMA")</f>
        <v>ECMA</v>
      </c>
      <c r="L148" s="252" t="str">
        <f>IFERROR(__xludf.DUMMYFUNCTION("""COMPUTED_VALUE"""),"143 HP")</f>
        <v>143 HP</v>
      </c>
      <c r="M148" s="252" t="str">
        <f>IFERROR(__xludf.DUMMYFUNCTION("""COMPUTED_VALUE"""),"9,48 MTS.")</f>
        <v>9,48 MTS.</v>
      </c>
      <c r="N148" s="252" t="str">
        <f>IFERROR(__xludf.DUMMYFUNCTION("""COMPUTED_VALUE"""),"2,80 MTS.")</f>
        <v>2,80 MTS.</v>
      </c>
      <c r="O148" s="252" t="str">
        <f>IFERROR(__xludf.DUMMYFUNCTION("""COMPUTED_VALUE"""),"2,9 MTS.")</f>
        <v>2,9 MTS.</v>
      </c>
      <c r="P148" s="252" t="str">
        <f>IFERROR(__xludf.DUMMYFUNCTION("""COMPUTED_VALUE"""),"19.200 KLS.")</f>
        <v>19.200 KLS.</v>
      </c>
      <c r="Q148" s="252"/>
      <c r="R148" s="252"/>
      <c r="S148" s="252"/>
      <c r="T148" s="252" t="str">
        <f>IFERROR(__xludf.DUMMYFUNCTION("""COMPUTED_VALUE"""),"1 MT3")</f>
        <v>1 MT3</v>
      </c>
      <c r="U148" s="252"/>
      <c r="V148" s="252">
        <f>IFERROR(__xludf.DUMMYFUNCTION("""COMPUTED_VALUE"""),0.0)</f>
        <v>0</v>
      </c>
      <c r="W148" s="252">
        <f>IFERROR(__xludf.DUMMYFUNCTION("""COMPUTED_VALUE"""),6.0)</f>
        <v>6</v>
      </c>
      <c r="X148" s="252">
        <f>IFERROR(__xludf.DUMMYFUNCTION("""COMPUTED_VALUE"""),8.0)</f>
        <v>8</v>
      </c>
      <c r="Y148" s="252">
        <f>IFERROR(__xludf.DUMMYFUNCTION("""COMPUTED_VALUE"""),6.0)</f>
        <v>6</v>
      </c>
      <c r="Z148" s="252">
        <f>IFERROR(__xludf.DUMMYFUNCTION("""COMPUTED_VALUE"""),12.0)</f>
        <v>12</v>
      </c>
      <c r="AA148" s="252">
        <f>IFERROR(__xludf.DUMMYFUNCTION("""COMPUTED_VALUE"""),12.0)</f>
        <v>12</v>
      </c>
      <c r="AB148" s="252" t="str">
        <f>IFERROR(__xludf.DUMMYFUNCTION("""COMPUTED_VALUE"""),"En producción")</f>
        <v>En producción</v>
      </c>
      <c r="AC148" s="252" t="str">
        <f>IFERROR(__xludf.DUMMYFUNCTION("""COMPUTED_VALUE"""),"MAQUINAS_Images/m000059.FOTO1.161341.jpg")</f>
        <v>MAQUINAS_Images/m000059.FOTO1.161341.jpg</v>
      </c>
      <c r="AD148" s="252">
        <f>IFERROR(__xludf.DUMMYFUNCTION("""COMPUTED_VALUE"""),936.0)</f>
        <v>936</v>
      </c>
      <c r="AE148" s="252" t="str">
        <f>IFERROR(__xludf.DUMMYFUNCTION("""COMPUTED_VALUE"""),"Sin incidentes")</f>
        <v>Sin incidentes</v>
      </c>
      <c r="AF148" s="252">
        <f>IFERROR(__xludf.DUMMYFUNCTION("""COMPUTED_VALUE"""),1.0)</f>
        <v>1</v>
      </c>
      <c r="AG148" s="252" t="str">
        <f>IFERROR(__xludf.DUMMYFUNCTION("""COMPUTED_VALUE"""),"[EX-07 JRKH82] - KOMATSU PC200 LC-8MO")</f>
        <v>[EX-07 JRKH82] - KOMATSU PC200 LC-8MO</v>
      </c>
      <c r="AH148" s="252">
        <f>IFERROR(__xludf.DUMMYFUNCTION("""COMPUTED_VALUE"""),16274.0)</f>
        <v>16274</v>
      </c>
      <c r="AI148" s="252">
        <f>IFERROR(__xludf.DUMMYFUNCTION("""COMPUTED_VALUE"""),1.0)</f>
        <v>1</v>
      </c>
      <c r="AJ148" s="882">
        <f>IFERROR(__xludf.DUMMYFUNCTION("""COMPUTED_VALUE"""),46097.25480324074)</f>
        <v>46097.2548</v>
      </c>
      <c r="AK148" s="885">
        <f>IFERROR(__xludf.DUMMYFUNCTION("""COMPUTED_VALUE"""),46096.43822916667)</f>
        <v>46096.43823</v>
      </c>
      <c r="AL148" s="880">
        <f>IFERROR(__xludf.DUMMYFUNCTION("""COMPUTED_VALUE"""),16310.0)</f>
        <v>16310</v>
      </c>
      <c r="AM148" s="880" t="str">
        <f>IFERROR(__xludf.DUMMYFUNCTION("""COMPUTED_VALUE"""),"")</f>
        <v/>
      </c>
      <c r="AN148" s="252" t="str">
        <f>IFERROR(__xludf.DUMMYFUNCTION("""COMPUTED_VALUE"""),"OT260209105634")</f>
        <v>OT260209105634</v>
      </c>
      <c r="AO148" s="252" t="str">
        <f>IFERROR(__xludf.DUMMYFUNCTION("""COMPUTED_VALUE"""),"Hr")</f>
        <v>Hr</v>
      </c>
      <c r="AP148" s="252"/>
      <c r="AQ148" s="252">
        <f>IFERROR(__xludf.DUMMYFUNCTION("""COMPUTED_VALUE"""),14483.0)</f>
        <v>14483</v>
      </c>
      <c r="AR148" s="252"/>
      <c r="AS148" s="881">
        <f>IFERROR(__xludf.DUMMYFUNCTION("""COMPUTED_VALUE"""),44927.0)</f>
        <v>44927</v>
      </c>
      <c r="AT148" s="881">
        <f>IFERROR(__xludf.DUMMYFUNCTION("""COMPUTED_VALUE"""),44927.0)</f>
        <v>44927</v>
      </c>
      <c r="AU148" s="252" t="str">
        <f>IFERROR(__xludf.DUMMYFUNCTION("""COMPUTED_VALUE"""),"RDC260316080532")</f>
        <v>RDC260316080532</v>
      </c>
      <c r="AV148" s="252" t="str">
        <f>IFERROR(__xludf.DUMMYFUNCTION("""COMPUTED_VALUE"""),"RCO260315122818")</f>
        <v>RCO260315122818</v>
      </c>
      <c r="AW148" s="252">
        <f>IFERROR(__xludf.DUMMYFUNCTION("""COMPUTED_VALUE"""),120.0)</f>
        <v>120</v>
      </c>
      <c r="AX148" s="252">
        <f>IFERROR(__xludf.DUMMYFUNCTION("""COMPUTED_VALUE"""),7.0)</f>
        <v>7</v>
      </c>
      <c r="AY148" s="252">
        <f>IFERROR(__xludf.DUMMYFUNCTION("""COMPUTED_VALUE"""),0.0)</f>
        <v>0</v>
      </c>
      <c r="AZ148" s="884">
        <f>IFERROR(__xludf.DUMMYFUNCTION("""COMPUTED_VALUE"""),46096.0)</f>
        <v>46096</v>
      </c>
    </row>
    <row r="149">
      <c r="A149" s="252" t="str">
        <f>IFERROR(__xludf.DUMMYFUNCTION("""COMPUTED_VALUE"""),"m000060")</f>
        <v>m000060</v>
      </c>
      <c r="B149" s="252" t="str">
        <f>IFERROR(__xludf.DUMMYFUNCTION("""COMPUTED_VALUE"""),"EX-08 JVXT34")</f>
        <v>EX-08 JVXT34</v>
      </c>
      <c r="C149" s="252" t="str">
        <f>IFERROR(__xludf.DUMMYFUNCTION("""COMPUTED_VALUE"""),"EXCAVADORA")</f>
        <v>EXCAVADORA</v>
      </c>
      <c r="D149" s="252" t="str">
        <f>IFERROR(__xludf.DUMMYFUNCTION("""COMPUTED_VALUE"""),"EXCAVADORA")</f>
        <v>EXCAVADORA</v>
      </c>
      <c r="E149" s="252" t="str">
        <f>IFERROR(__xludf.DUMMYFUNCTION("""COMPUTED_VALUE"""),"KOMATSU")</f>
        <v>KOMATSU</v>
      </c>
      <c r="F149" s="252" t="str">
        <f>IFERROR(__xludf.DUMMYFUNCTION("""COMPUTED_VALUE"""),"PC200LC 8MO")</f>
        <v>PC200LC 8MO</v>
      </c>
      <c r="G149" s="252">
        <f>IFERROR(__xludf.DUMMYFUNCTION("""COMPUTED_VALUE"""),2017.0)</f>
        <v>2017</v>
      </c>
      <c r="H149" s="252">
        <f>IFERROR(__xludf.DUMMYFUNCTION("""COMPUTED_VALUE"""),2.6667697E7)</f>
        <v>26667697</v>
      </c>
      <c r="I149" s="252">
        <f>IFERROR(__xludf.DUMMYFUNCTION("""COMPUTED_VALUE"""),400997.0)</f>
        <v>400997</v>
      </c>
      <c r="J149" s="252" t="str">
        <f>IFERROR(__xludf.DUMMYFUNCTION("""COMPUTED_VALUE"""),"JVXT34-7")</f>
        <v>JVXT34-7</v>
      </c>
      <c r="K149" s="252" t="str">
        <f>IFERROR(__xludf.DUMMYFUNCTION("""COMPUTED_VALUE"""),"ECMA")</f>
        <v>ECMA</v>
      </c>
      <c r="L149" s="252" t="str">
        <f>IFERROR(__xludf.DUMMYFUNCTION("""COMPUTED_VALUE"""),"143 HP")</f>
        <v>143 HP</v>
      </c>
      <c r="M149" s="252" t="str">
        <f>IFERROR(__xludf.DUMMYFUNCTION("""COMPUTED_VALUE"""),"9,48 MTS.")</f>
        <v>9,48 MTS.</v>
      </c>
      <c r="N149" s="252" t="str">
        <f>IFERROR(__xludf.DUMMYFUNCTION("""COMPUTED_VALUE"""),"2,80 MTS.")</f>
        <v>2,80 MTS.</v>
      </c>
      <c r="O149" s="252" t="str">
        <f>IFERROR(__xludf.DUMMYFUNCTION("""COMPUTED_VALUE"""),"2,9 MTS.")</f>
        <v>2,9 MTS.</v>
      </c>
      <c r="P149" s="252" t="str">
        <f>IFERROR(__xludf.DUMMYFUNCTION("""COMPUTED_VALUE"""),"19.200 KLS.")</f>
        <v>19.200 KLS.</v>
      </c>
      <c r="Q149" s="252"/>
      <c r="R149" s="252"/>
      <c r="S149" s="252"/>
      <c r="T149" s="252" t="str">
        <f>IFERROR(__xludf.DUMMYFUNCTION("""COMPUTED_VALUE"""),"1 MT3")</f>
        <v>1 MT3</v>
      </c>
      <c r="U149" s="252"/>
      <c r="V149" s="252">
        <f>IFERROR(__xludf.DUMMYFUNCTION("""COMPUTED_VALUE"""),0.0)</f>
        <v>0</v>
      </c>
      <c r="W149" s="252">
        <f>IFERROR(__xludf.DUMMYFUNCTION("""COMPUTED_VALUE"""),6.0)</f>
        <v>6</v>
      </c>
      <c r="X149" s="252">
        <f>IFERROR(__xludf.DUMMYFUNCTION("""COMPUTED_VALUE"""),8.0)</f>
        <v>8</v>
      </c>
      <c r="Y149" s="252">
        <f>IFERROR(__xludf.DUMMYFUNCTION("""COMPUTED_VALUE"""),6.0)</f>
        <v>6</v>
      </c>
      <c r="Z149" s="252">
        <f>IFERROR(__xludf.DUMMYFUNCTION("""COMPUTED_VALUE"""),12.0)</f>
        <v>12</v>
      </c>
      <c r="AA149" s="252">
        <f>IFERROR(__xludf.DUMMYFUNCTION("""COMPUTED_VALUE"""),12.0)</f>
        <v>12</v>
      </c>
      <c r="AB149" s="252" t="str">
        <f>IFERROR(__xludf.DUMMYFUNCTION("""COMPUTED_VALUE"""),"En producción")</f>
        <v>En producción</v>
      </c>
      <c r="AC149" s="252" t="str">
        <f>IFERROR(__xludf.DUMMYFUNCTION("""COMPUTED_VALUE"""),"MAQUINAS_Images/m000060.FOTO1.144140.jpg")</f>
        <v>MAQUINAS_Images/m000060.FOTO1.144140.jpg</v>
      </c>
      <c r="AD149" s="252">
        <f>IFERROR(__xludf.DUMMYFUNCTION("""COMPUTED_VALUE"""),967.0)</f>
        <v>967</v>
      </c>
      <c r="AE149" s="252" t="str">
        <f>IFERROR(__xludf.DUMMYFUNCTION("""COMPUTED_VALUE"""),"Sin incidentes")</f>
        <v>Sin incidentes</v>
      </c>
      <c r="AF149" s="252">
        <f>IFERROR(__xludf.DUMMYFUNCTION("""COMPUTED_VALUE"""),1.0)</f>
        <v>1</v>
      </c>
      <c r="AG149" s="252" t="str">
        <f>IFERROR(__xludf.DUMMYFUNCTION("""COMPUTED_VALUE"""),"[EX-08 JVXT34] - KOMATSU PC200LC 8MO")</f>
        <v>[EX-08 JVXT34] - KOMATSU PC200LC 8MO</v>
      </c>
      <c r="AH149" s="252">
        <f>IFERROR(__xludf.DUMMYFUNCTION("""COMPUTED_VALUE"""),11023.0)</f>
        <v>11023</v>
      </c>
      <c r="AI149" s="252">
        <f>IFERROR(__xludf.DUMMYFUNCTION("""COMPUTED_VALUE"""),1.0)</f>
        <v>1</v>
      </c>
      <c r="AJ149" s="882">
        <f>IFERROR(__xludf.DUMMYFUNCTION("""COMPUTED_VALUE"""),46097.27040509259)</f>
        <v>46097.27041</v>
      </c>
      <c r="AK149" s="885">
        <f>IFERROR(__xludf.DUMMYFUNCTION("""COMPUTED_VALUE"""),46096.437685185185)</f>
        <v>46096.43769</v>
      </c>
      <c r="AL149" s="880">
        <f>IFERROR(__xludf.DUMMYFUNCTION("""COMPUTED_VALUE"""),11157.0)</f>
        <v>11157</v>
      </c>
      <c r="AM149" s="880" t="str">
        <f>IFERROR(__xludf.DUMMYFUNCTION("""COMPUTED_VALUE"""),"")</f>
        <v/>
      </c>
      <c r="AN149" s="252" t="str">
        <f>IFERROR(__xludf.DUMMYFUNCTION("""COMPUTED_VALUE"""),"OT260213105700")</f>
        <v>OT260213105700</v>
      </c>
      <c r="AO149" s="252" t="str">
        <f>IFERROR(__xludf.DUMMYFUNCTION("""COMPUTED_VALUE"""),"Hr")</f>
        <v>Hr</v>
      </c>
      <c r="AP149" s="252"/>
      <c r="AQ149" s="252">
        <f>IFERROR(__xludf.DUMMYFUNCTION("""COMPUTED_VALUE"""),10002.0)</f>
        <v>10002</v>
      </c>
      <c r="AR149" s="252"/>
      <c r="AS149" s="881">
        <f>IFERROR(__xludf.DUMMYFUNCTION("""COMPUTED_VALUE"""),44927.0)</f>
        <v>44927</v>
      </c>
      <c r="AT149" s="881">
        <f>IFERROR(__xludf.DUMMYFUNCTION("""COMPUTED_VALUE"""),44927.0)</f>
        <v>44927</v>
      </c>
      <c r="AU149" s="252" t="str">
        <f>IFERROR(__xludf.DUMMYFUNCTION("""COMPUTED_VALUE"""),"RDC260316082808")</f>
        <v>RDC260316082808</v>
      </c>
      <c r="AV149" s="252" t="str">
        <f>IFERROR(__xludf.DUMMYFUNCTION("""COMPUTED_VALUE"""),"RCO260315122546")</f>
        <v>RCO260315122546</v>
      </c>
      <c r="AW149" s="252">
        <f>IFERROR(__xludf.DUMMYFUNCTION("""COMPUTED_VALUE"""),173.0)</f>
        <v>173</v>
      </c>
      <c r="AX149" s="252">
        <f>IFERROR(__xludf.DUMMYFUNCTION("""COMPUTED_VALUE"""),12.0)</f>
        <v>12</v>
      </c>
      <c r="AY149" s="252">
        <f>IFERROR(__xludf.DUMMYFUNCTION("""COMPUTED_VALUE"""),0.0)</f>
        <v>0</v>
      </c>
      <c r="AZ149" s="884">
        <f>IFERROR(__xludf.DUMMYFUNCTION("""COMPUTED_VALUE"""),46096.0)</f>
        <v>46096</v>
      </c>
    </row>
    <row r="150">
      <c r="A150" s="252" t="str">
        <f>IFERROR(__xludf.DUMMYFUNCTION("""COMPUTED_VALUE"""),"m000061")</f>
        <v>m000061</v>
      </c>
      <c r="B150" s="252" t="str">
        <f>IFERROR(__xludf.DUMMYFUNCTION("""COMPUTED_VALUE"""),"EX-09 RHDP26")</f>
        <v>EX-09 RHDP26</v>
      </c>
      <c r="C150" s="252" t="str">
        <f>IFERROR(__xludf.DUMMYFUNCTION("""COMPUTED_VALUE"""),"EXCAVADORA")</f>
        <v>EXCAVADORA</v>
      </c>
      <c r="D150" s="252" t="str">
        <f>IFERROR(__xludf.DUMMYFUNCTION("""COMPUTED_VALUE"""),"EXCAVADORA")</f>
        <v>EXCAVADORA</v>
      </c>
      <c r="E150" s="252" t="str">
        <f>IFERROR(__xludf.DUMMYFUNCTION("""COMPUTED_VALUE"""),"KOMATSU")</f>
        <v>KOMATSU</v>
      </c>
      <c r="F150" s="252" t="str">
        <f>IFERROR(__xludf.DUMMYFUNCTION("""COMPUTED_VALUE"""),"PC300LC-8")</f>
        <v>PC300LC-8</v>
      </c>
      <c r="G150" s="252">
        <f>IFERROR(__xludf.DUMMYFUNCTION("""COMPUTED_VALUE"""),2022.0)</f>
        <v>2022</v>
      </c>
      <c r="H150" s="252">
        <f>IFERROR(__xludf.DUMMYFUNCTION("""COMPUTED_VALUE"""),2.6888739E7)</f>
        <v>26888739</v>
      </c>
      <c r="I150" s="252">
        <f>IFERROR(__xludf.DUMMYFUNCTION("""COMPUTED_VALUE"""),64995.0)</f>
        <v>64995</v>
      </c>
      <c r="J150" s="252"/>
      <c r="K150" s="252" t="str">
        <f>IFERROR(__xludf.DUMMYFUNCTION("""COMPUTED_VALUE"""),"LEASING")</f>
        <v>LEASING</v>
      </c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>
        <f>IFERROR(__xludf.DUMMYFUNCTION("""COMPUTED_VALUE"""),0.0)</f>
        <v>0</v>
      </c>
      <c r="W150" s="252">
        <f>IFERROR(__xludf.DUMMYFUNCTION("""COMPUTED_VALUE"""),5.0)</f>
        <v>5</v>
      </c>
      <c r="X150" s="252">
        <f>IFERROR(__xludf.DUMMYFUNCTION("""COMPUTED_VALUE"""),7.0)</f>
        <v>7</v>
      </c>
      <c r="Y150" s="252">
        <f>IFERROR(__xludf.DUMMYFUNCTION("""COMPUTED_VALUE"""),5.0)</f>
        <v>5</v>
      </c>
      <c r="Z150" s="252">
        <f>IFERROR(__xludf.DUMMYFUNCTION("""COMPUTED_VALUE"""),11.0)</f>
        <v>11</v>
      </c>
      <c r="AA150" s="252">
        <f>IFERROR(__xludf.DUMMYFUNCTION("""COMPUTED_VALUE"""),15.0)</f>
        <v>15</v>
      </c>
      <c r="AB150" s="252" t="str">
        <f>IFERROR(__xludf.DUMMYFUNCTION("""COMPUTED_VALUE"""),"Reparando en terreno")</f>
        <v>Reparando en terreno</v>
      </c>
      <c r="AC150" s="252"/>
      <c r="AD150" s="252">
        <f>IFERROR(__xludf.DUMMYFUNCTION("""COMPUTED_VALUE"""),1042.0)</f>
        <v>1042</v>
      </c>
      <c r="AE150" s="252" t="str">
        <f>IFERROR(__xludf.DUMMYFUNCTION("""COMPUTED_VALUE"""),"Alerta incidente")</f>
        <v>Alerta incidente</v>
      </c>
      <c r="AF150" s="252">
        <f>IFERROR(__xludf.DUMMYFUNCTION("""COMPUTED_VALUE"""),9.0)</f>
        <v>9</v>
      </c>
      <c r="AG150" s="252" t="str">
        <f>IFERROR(__xludf.DUMMYFUNCTION("""COMPUTED_VALUE"""),"[EX-09 RHDP26] - KOMATSU PC300LC-8")</f>
        <v>[EX-09 RHDP26] - KOMATSU PC300LC-8</v>
      </c>
      <c r="AH150" s="252">
        <f>IFERROR(__xludf.DUMMYFUNCTION("""COMPUTED_VALUE"""),11734.0)</f>
        <v>11734</v>
      </c>
      <c r="AI150" s="252">
        <f>IFERROR(__xludf.DUMMYFUNCTION("""COMPUTED_VALUE"""),9005.0)</f>
        <v>9005</v>
      </c>
      <c r="AJ150" s="882">
        <f>IFERROR(__xludf.DUMMYFUNCTION("""COMPUTED_VALUE"""),46097.26850694444)</f>
        <v>46097.26851</v>
      </c>
      <c r="AK150" s="882">
        <f>IFERROR(__xludf.DUMMYFUNCTION("""COMPUTED_VALUE"""),46095.73888888889)</f>
        <v>46095.73889</v>
      </c>
      <c r="AL150" s="880">
        <f>IFERROR(__xludf.DUMMYFUNCTION("""COMPUTED_VALUE"""),11712.0)</f>
        <v>11712</v>
      </c>
      <c r="AM150" s="252"/>
      <c r="AN150" s="252" t="str">
        <f>IFERROR(__xludf.DUMMYFUNCTION("""COMPUTED_VALUE"""),"OT260129201056")</f>
        <v>OT260129201056</v>
      </c>
      <c r="AO150" s="252" t="str">
        <f>IFERROR(__xludf.DUMMYFUNCTION("""COMPUTED_VALUE"""),"Hr")</f>
        <v>Hr</v>
      </c>
      <c r="AP150" s="252"/>
      <c r="AQ150" s="252">
        <f>IFERROR(__xludf.DUMMYFUNCTION("""COMPUTED_VALUE"""),9986.0)</f>
        <v>9986</v>
      </c>
      <c r="AR150" s="252"/>
      <c r="AS150" s="881">
        <f>IFERROR(__xludf.DUMMYFUNCTION("""COMPUTED_VALUE"""),44927.0)</f>
        <v>44927</v>
      </c>
      <c r="AT150" s="881">
        <f>IFERROR(__xludf.DUMMYFUNCTION("""COMPUTED_VALUE"""),44927.0)</f>
        <v>44927</v>
      </c>
      <c r="AU150" s="252" t="str">
        <f>IFERROR(__xludf.DUMMYFUNCTION("""COMPUTED_VALUE"""),"RDC260316082529")</f>
        <v>RDC260316082529</v>
      </c>
      <c r="AV150" s="252" t="str">
        <f>IFERROR(__xludf.DUMMYFUNCTION("""COMPUTED_VALUE"""),"RCO260314194201")</f>
        <v>RCO260314194201</v>
      </c>
      <c r="AW150" s="252">
        <f>IFERROR(__xludf.DUMMYFUNCTION("""COMPUTED_VALUE"""),401.0)</f>
        <v>401</v>
      </c>
      <c r="AX150" s="252">
        <f>IFERROR(__xludf.DUMMYFUNCTION("""COMPUTED_VALUE"""),5.0)</f>
        <v>5</v>
      </c>
      <c r="AY150" s="252">
        <f>IFERROR(__xludf.DUMMYFUNCTION("""COMPUTED_VALUE"""),0.0)</f>
        <v>0</v>
      </c>
      <c r="AZ150" s="884">
        <f>IFERROR(__xludf.DUMMYFUNCTION("""COMPUTED_VALUE"""),46095.0)</f>
        <v>46095</v>
      </c>
    </row>
    <row r="151">
      <c r="A151" s="252" t="str">
        <f>IFERROR(__xludf.DUMMYFUNCTION("""COMPUTED_VALUE"""),"m000063")</f>
        <v>m000063</v>
      </c>
      <c r="B151" s="252" t="str">
        <f>IFERROR(__xludf.DUMMYFUNCTION("""COMPUTED_VALUE"""),"EX-11 KTRD37")</f>
        <v>EX-11 KTRD37</v>
      </c>
      <c r="C151" s="252" t="str">
        <f>IFERROR(__xludf.DUMMYFUNCTION("""COMPUTED_VALUE"""),"EXCAVADORA")</f>
        <v>EXCAVADORA</v>
      </c>
      <c r="D151" s="252" t="str">
        <f>IFERROR(__xludf.DUMMYFUNCTION("""COMPUTED_VALUE"""),"EXCAVADORA")</f>
        <v>EXCAVADORA</v>
      </c>
      <c r="E151" s="252" t="str">
        <f>IFERROR(__xludf.DUMMYFUNCTION("""COMPUTED_VALUE"""),"KOMATSU")</f>
        <v>KOMATSU</v>
      </c>
      <c r="F151" s="252" t="str">
        <f>IFERROR(__xludf.DUMMYFUNCTION("""COMPUTED_VALUE"""),"PC200LC-8MO")</f>
        <v>PC200LC-8MO</v>
      </c>
      <c r="G151" s="252">
        <f>IFERROR(__xludf.DUMMYFUNCTION("""COMPUTED_VALUE"""),2018.0)</f>
        <v>2018</v>
      </c>
      <c r="H151" s="252">
        <f>IFERROR(__xludf.DUMMYFUNCTION("""COMPUTED_VALUE"""),2.6689461E7)</f>
        <v>26689461</v>
      </c>
      <c r="I151" s="252">
        <f>IFERROR(__xludf.DUMMYFUNCTION("""COMPUTED_VALUE"""),401377.0)</f>
        <v>401377</v>
      </c>
      <c r="J151" s="252" t="str">
        <f>IFERROR(__xludf.DUMMYFUNCTION("""COMPUTED_VALUE"""),"KTRD-37")</f>
        <v>KTRD-37</v>
      </c>
      <c r="K151" s="252"/>
      <c r="L151" s="252" t="str">
        <f>IFERROR(__xludf.DUMMYFUNCTION("""COMPUTED_VALUE"""),"143 HP")</f>
        <v>143 HP</v>
      </c>
      <c r="M151" s="252" t="str">
        <f>IFERROR(__xludf.DUMMYFUNCTION("""COMPUTED_VALUE"""),"9,48 MTS.")</f>
        <v>9,48 MTS.</v>
      </c>
      <c r="N151" s="252" t="str">
        <f>IFERROR(__xludf.DUMMYFUNCTION("""COMPUTED_VALUE"""),"2,80 MTS.")</f>
        <v>2,80 MTS.</v>
      </c>
      <c r="O151" s="252" t="str">
        <f>IFERROR(__xludf.DUMMYFUNCTION("""COMPUTED_VALUE"""),"2,9 MTS.")</f>
        <v>2,9 MTS.</v>
      </c>
      <c r="P151" s="252" t="str">
        <f>IFERROR(__xludf.DUMMYFUNCTION("""COMPUTED_VALUE"""),"19.200 KLS.")</f>
        <v>19.200 KLS.</v>
      </c>
      <c r="Q151" s="252"/>
      <c r="R151" s="252"/>
      <c r="S151" s="252"/>
      <c r="T151" s="252" t="str">
        <f>IFERROR(__xludf.DUMMYFUNCTION("""COMPUTED_VALUE"""),"1 MT3")</f>
        <v>1 MT3</v>
      </c>
      <c r="U151" s="252"/>
      <c r="V151" s="252">
        <f>IFERROR(__xludf.DUMMYFUNCTION("""COMPUTED_VALUE"""),0.0)</f>
        <v>0</v>
      </c>
      <c r="W151" s="252">
        <f>IFERROR(__xludf.DUMMYFUNCTION("""COMPUTED_VALUE"""),6.0)</f>
        <v>6</v>
      </c>
      <c r="X151" s="252">
        <f>IFERROR(__xludf.DUMMYFUNCTION("""COMPUTED_VALUE"""),8.0)</f>
        <v>8</v>
      </c>
      <c r="Y151" s="252">
        <f>IFERROR(__xludf.DUMMYFUNCTION("""COMPUTED_VALUE"""),6.0)</f>
        <v>6</v>
      </c>
      <c r="Z151" s="252">
        <f>IFERROR(__xludf.DUMMYFUNCTION("""COMPUTED_VALUE"""),12.0)</f>
        <v>12</v>
      </c>
      <c r="AA151" s="252">
        <f>IFERROR(__xludf.DUMMYFUNCTION("""COMPUTED_VALUE"""),12.0)</f>
        <v>12</v>
      </c>
      <c r="AB151" s="252" t="str">
        <f>IFERROR(__xludf.DUMMYFUNCTION("""COMPUTED_VALUE"""),"En producción")</f>
        <v>En producción</v>
      </c>
      <c r="AC151" s="252"/>
      <c r="AD151" s="252">
        <f>IFERROR(__xludf.DUMMYFUNCTION("""COMPUTED_VALUE"""),723.0)</f>
        <v>723</v>
      </c>
      <c r="AE151" s="252" t="str">
        <f>IFERROR(__xludf.DUMMYFUNCTION("""COMPUTED_VALUE"""),"Sin incidentes")</f>
        <v>Sin incidentes</v>
      </c>
      <c r="AF151" s="252">
        <f>IFERROR(__xludf.DUMMYFUNCTION("""COMPUTED_VALUE"""),1.0)</f>
        <v>1</v>
      </c>
      <c r="AG151" s="252" t="str">
        <f>IFERROR(__xludf.DUMMYFUNCTION("""COMPUTED_VALUE"""),"[EX-11 KTRD37] - KOMATSU PC200LC-8MO")</f>
        <v>[EX-11 KTRD37] - KOMATSU PC200LC-8MO</v>
      </c>
      <c r="AH151" s="252">
        <f>IFERROR(__xludf.DUMMYFUNCTION("""COMPUTED_VALUE"""),11096.0)</f>
        <v>11096</v>
      </c>
      <c r="AI151" s="252">
        <f>IFERROR(__xludf.DUMMYFUNCTION("""COMPUTED_VALUE"""),1.0)</f>
        <v>1</v>
      </c>
      <c r="AJ151" s="882">
        <f>IFERROR(__xludf.DUMMYFUNCTION("""COMPUTED_VALUE"""),46096.43895833333)</f>
        <v>46096.43896</v>
      </c>
      <c r="AK151" s="882">
        <f>IFERROR(__xludf.DUMMYFUNCTION("""COMPUTED_VALUE"""),46096.438993055555)</f>
        <v>46096.43899</v>
      </c>
      <c r="AL151" s="880">
        <f>IFERROR(__xludf.DUMMYFUNCTION("""COMPUTED_VALUE"""),11298.0)</f>
        <v>11298</v>
      </c>
      <c r="AM151" s="880" t="str">
        <f>IFERROR(__xludf.DUMMYFUNCTION("""COMPUTED_VALUE"""),"")</f>
        <v/>
      </c>
      <c r="AN151" s="252" t="str">
        <f>IFERROR(__xludf.DUMMYFUNCTION("""COMPUTED_VALUE"""),"OT260225120020")</f>
        <v>OT260225120020</v>
      </c>
      <c r="AO151" s="252" t="str">
        <f>IFERROR(__xludf.DUMMYFUNCTION("""COMPUTED_VALUE"""),"Hr")</f>
        <v>Hr</v>
      </c>
      <c r="AP151" s="252"/>
      <c r="AQ151" s="252">
        <f>IFERROR(__xludf.DUMMYFUNCTION("""COMPUTED_VALUE"""),9754.0)</f>
        <v>9754</v>
      </c>
      <c r="AR151" s="252"/>
      <c r="AS151" s="881">
        <f>IFERROR(__xludf.DUMMYFUNCTION("""COMPUTED_VALUE"""),44927.0)</f>
        <v>44927</v>
      </c>
      <c r="AT151" s="881">
        <f>IFERROR(__xludf.DUMMYFUNCTION("""COMPUTED_VALUE"""),44927.0)</f>
        <v>44927</v>
      </c>
      <c r="AU151" s="252" t="str">
        <f>IFERROR(__xludf.DUMMYFUNCTION("""COMPUTED_VALUE"""),"RDC260313091205")</f>
        <v>RDC260313091205</v>
      </c>
      <c r="AV151" s="252" t="str">
        <f>IFERROR(__xludf.DUMMYFUNCTION("""COMPUTED_VALUE"""),"RCO260315122904")</f>
        <v>RCO260315122904</v>
      </c>
      <c r="AW151" s="252">
        <f>IFERROR(__xludf.DUMMYFUNCTION("""COMPUTED_VALUE"""),239.0)</f>
        <v>239</v>
      </c>
      <c r="AX151" s="252">
        <f>IFERROR(__xludf.DUMMYFUNCTION("""COMPUTED_VALUE"""),12.0)</f>
        <v>12</v>
      </c>
      <c r="AY151" s="252">
        <f>IFERROR(__xludf.DUMMYFUNCTION("""COMPUTED_VALUE"""),0.0)</f>
        <v>0</v>
      </c>
      <c r="AZ151" s="884">
        <f>IFERROR(__xludf.DUMMYFUNCTION("""COMPUTED_VALUE"""),46096.0)</f>
        <v>46096</v>
      </c>
    </row>
    <row r="152">
      <c r="A152" s="252" t="str">
        <f>IFERROR(__xludf.DUMMYFUNCTION("""COMPUTED_VALUE"""),"m000065")</f>
        <v>m000065</v>
      </c>
      <c r="B152" s="252" t="str">
        <f>IFERROR(__xludf.DUMMYFUNCTION("""COMPUTED_VALUE"""),"EX-13")</f>
        <v>EX-13</v>
      </c>
      <c r="C152" s="252" t="str">
        <f>IFERROR(__xludf.DUMMYFUNCTION("""COMPUTED_VALUE"""),"EXCAVADORA")</f>
        <v>EXCAVADORA</v>
      </c>
      <c r="D152" s="252" t="str">
        <f>IFERROR(__xludf.DUMMYFUNCTION("""COMPUTED_VALUE"""),"EXCAVADORA")</f>
        <v>EXCAVADORA</v>
      </c>
      <c r="E152" s="252" t="str">
        <f>IFERROR(__xludf.DUMMYFUNCTION("""COMPUTED_VALUE"""),"KOMATSU")</f>
        <v>KOMATSU</v>
      </c>
      <c r="F152" s="252" t="str">
        <f>IFERROR(__xludf.DUMMYFUNCTION("""COMPUTED_VALUE"""),"PC300LC-8")</f>
        <v>PC300LC-8</v>
      </c>
      <c r="G152" s="252">
        <f>IFERROR(__xludf.DUMMYFUNCTION("""COMPUTED_VALUE"""),2012.0)</f>
        <v>2012</v>
      </c>
      <c r="H152" s="252">
        <f>IFERROR(__xludf.DUMMYFUNCTION("""COMPUTED_VALUE"""),2.6863674E7)</f>
        <v>26863674</v>
      </c>
      <c r="I152" s="252">
        <f>IFERROR(__xludf.DUMMYFUNCTION("""COMPUTED_VALUE"""),62476.0)</f>
        <v>62476</v>
      </c>
      <c r="J152" s="252"/>
      <c r="K152" s="252"/>
      <c r="L152" s="252" t="str">
        <f>IFERROR(__xludf.DUMMYFUNCTION("""COMPUTED_VALUE"""),"247 HP")</f>
        <v>247 HP</v>
      </c>
      <c r="M152" s="252" t="str">
        <f>IFERROR(__xludf.DUMMYFUNCTION("""COMPUTED_VALUE"""),"11,14 MTS.")</f>
        <v>11,14 MTS.</v>
      </c>
      <c r="N152" s="252" t="str">
        <f>IFERROR(__xludf.DUMMYFUNCTION("""COMPUTED_VALUE"""),"3,29 MTS.")</f>
        <v>3,29 MTS.</v>
      </c>
      <c r="O152" s="252" t="str">
        <f>IFERROR(__xludf.DUMMYFUNCTION("""COMPUTED_VALUE"""),"3,28 MTS.")</f>
        <v>3,28 MTS.</v>
      </c>
      <c r="P152" s="252" t="str">
        <f>IFERROR(__xludf.DUMMYFUNCTION("""COMPUTED_VALUE"""),"31,600 KLS.")</f>
        <v>31,600 KLS.</v>
      </c>
      <c r="Q152" s="252"/>
      <c r="R152" s="252"/>
      <c r="S152" s="252"/>
      <c r="T152" s="252" t="str">
        <f>IFERROR(__xludf.DUMMYFUNCTION("""COMPUTED_VALUE"""),"1,4 MT3")</f>
        <v>1,4 MT3</v>
      </c>
      <c r="U152" s="252"/>
      <c r="V152" s="252">
        <f>IFERROR(__xludf.DUMMYFUNCTION("""COMPUTED_VALUE"""),0.0)</f>
        <v>0</v>
      </c>
      <c r="W152" s="252">
        <f>IFERROR(__xludf.DUMMYFUNCTION("""COMPUTED_VALUE"""),5.0)</f>
        <v>5</v>
      </c>
      <c r="X152" s="252">
        <f>IFERROR(__xludf.DUMMYFUNCTION("""COMPUTED_VALUE"""),7.0)</f>
        <v>7</v>
      </c>
      <c r="Y152" s="252">
        <f>IFERROR(__xludf.DUMMYFUNCTION("""COMPUTED_VALUE"""),5.0)</f>
        <v>5</v>
      </c>
      <c r="Z152" s="252">
        <f>IFERROR(__xludf.DUMMYFUNCTION("""COMPUTED_VALUE"""),11.0)</f>
        <v>11</v>
      </c>
      <c r="AA152" s="252">
        <f>IFERROR(__xludf.DUMMYFUNCTION("""COMPUTED_VALUE"""),15.0)</f>
        <v>15</v>
      </c>
      <c r="AB152" s="252" t="str">
        <f>IFERROR(__xludf.DUMMYFUNCTION("""COMPUTED_VALUE"""),"Discontinuado")</f>
        <v>Discontinuado</v>
      </c>
      <c r="AC152" s="252"/>
      <c r="AD152" s="252">
        <f>IFERROR(__xludf.DUMMYFUNCTION("""COMPUTED_VALUE"""),22.0)</f>
        <v>22</v>
      </c>
      <c r="AE152" s="252" t="str">
        <f>IFERROR(__xludf.DUMMYFUNCTION("""COMPUTED_VALUE"""),"Sin incidentes")</f>
        <v>Sin incidentes</v>
      </c>
      <c r="AF152" s="252">
        <f>IFERROR(__xludf.DUMMYFUNCTION("""COMPUTED_VALUE"""),1.0)</f>
        <v>1</v>
      </c>
      <c r="AG152" s="252" t="str">
        <f>IFERROR(__xludf.DUMMYFUNCTION("""COMPUTED_VALUE"""),"[EX-13] - KOMATSU PC300LC-8")</f>
        <v>[EX-13] - KOMATSU PC300LC-8</v>
      </c>
      <c r="AH152" s="252">
        <f>IFERROR(__xludf.DUMMYFUNCTION("""COMPUTED_VALUE"""),11376.0)</f>
        <v>11376</v>
      </c>
      <c r="AI152" s="252"/>
      <c r="AJ152" s="882">
        <f>IFERROR(__xludf.DUMMYFUNCTION("""COMPUTED_VALUE"""),45723.56240740741)</f>
        <v>45723.56241</v>
      </c>
      <c r="AK152" s="252"/>
      <c r="AL152" s="880">
        <f>IFERROR(__xludf.DUMMYFUNCTION("""COMPUTED_VALUE"""),11581.0)</f>
        <v>11581</v>
      </c>
      <c r="AM152" s="880" t="str">
        <f>IFERROR(__xludf.DUMMYFUNCTION("""COMPUTED_VALUE"""),"")</f>
        <v/>
      </c>
      <c r="AN152" s="252"/>
      <c r="AO152" s="252" t="str">
        <f>IFERROR(__xludf.DUMMYFUNCTION("""COMPUTED_VALUE"""),"Hr")</f>
        <v>Hr</v>
      </c>
      <c r="AP152" s="252" t="str">
        <f>IFERROR(__xludf.DUMMYFUNCTION("""COMPUTED_VALUE"""),"IS250312121413")</f>
        <v>IS250312121413</v>
      </c>
      <c r="AQ152" s="252">
        <f>IFERROR(__xludf.DUMMYFUNCTION("""COMPUTED_VALUE"""),11376.0)</f>
        <v>11376</v>
      </c>
      <c r="AR152" s="252"/>
      <c r="AS152" s="881">
        <f>IFERROR(__xludf.DUMMYFUNCTION("""COMPUTED_VALUE"""),44927.0)</f>
        <v>44927</v>
      </c>
      <c r="AT152" s="881">
        <f>IFERROR(__xludf.DUMMYFUNCTION("""COMPUTED_VALUE"""),44927.0)</f>
        <v>44927</v>
      </c>
      <c r="AU152" s="252" t="str">
        <f>IFERROR(__xludf.DUMMYFUNCTION("""COMPUTED_VALUE"""),"RDC240814081430")</f>
        <v>RDC240814081430</v>
      </c>
      <c r="AV152" s="252"/>
      <c r="AW152" s="252"/>
      <c r="AX152" s="252"/>
      <c r="AY152" s="252"/>
      <c r="AZ152" s="252"/>
    </row>
    <row r="153">
      <c r="A153" s="252" t="str">
        <f>IFERROR(__xludf.DUMMYFUNCTION("""COMPUTED_VALUE"""),"m000066")</f>
        <v>m000066</v>
      </c>
      <c r="B153" s="252" t="str">
        <f>IFERROR(__xludf.DUMMYFUNCTION("""COMPUTED_VALUE"""),"EX-14 KFZK38")</f>
        <v>EX-14 KFZK38</v>
      </c>
      <c r="C153" s="252" t="str">
        <f>IFERROR(__xludf.DUMMYFUNCTION("""COMPUTED_VALUE"""),"EXCAVADORA")</f>
        <v>EXCAVADORA</v>
      </c>
      <c r="D153" s="252" t="str">
        <f>IFERROR(__xludf.DUMMYFUNCTION("""COMPUTED_VALUE"""),"EXCAVADORA")</f>
        <v>EXCAVADORA</v>
      </c>
      <c r="E153" s="252" t="str">
        <f>IFERROR(__xludf.DUMMYFUNCTION("""COMPUTED_VALUE"""),"KOMATSU")</f>
        <v>KOMATSU</v>
      </c>
      <c r="F153" s="252" t="str">
        <f>IFERROR(__xludf.DUMMYFUNCTION("""COMPUTED_VALUE"""),"PC200LC-8M0")</f>
        <v>PC200LC-8M0</v>
      </c>
      <c r="G153" s="252">
        <f>IFERROR(__xludf.DUMMYFUNCTION("""COMPUTED_VALUE"""),2018.0)</f>
        <v>2018</v>
      </c>
      <c r="H153" s="252">
        <f>IFERROR(__xludf.DUMMYFUNCTION("""COMPUTED_VALUE"""),2.6677915E7)</f>
        <v>26677915</v>
      </c>
      <c r="I153" s="252">
        <f>IFERROR(__xludf.DUMMYFUNCTION("""COMPUTED_VALUE"""),401200.0)</f>
        <v>401200</v>
      </c>
      <c r="J153" s="252" t="str">
        <f>IFERROR(__xludf.DUMMYFUNCTION("""COMPUTED_VALUE"""),"KFZK38-5")</f>
        <v>KFZK38-5</v>
      </c>
      <c r="K153" s="252" t="str">
        <f>IFERROR(__xludf.DUMMYFUNCTION("""COMPUTED_VALUE"""),"ECMA")</f>
        <v>ECMA</v>
      </c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  <c r="AA153" s="252"/>
      <c r="AB153" s="252" t="str">
        <f>IFERROR(__xludf.DUMMYFUNCTION("""COMPUTED_VALUE"""),"En producción")</f>
        <v>En producción</v>
      </c>
      <c r="AC153" s="252"/>
      <c r="AD153" s="252">
        <f>IFERROR(__xludf.DUMMYFUNCTION("""COMPUTED_VALUE"""),980.0)</f>
        <v>980</v>
      </c>
      <c r="AE153" s="252" t="str">
        <f>IFERROR(__xludf.DUMMYFUNCTION("""COMPUTED_VALUE"""),"Sin incidentes")</f>
        <v>Sin incidentes</v>
      </c>
      <c r="AF153" s="252">
        <f>IFERROR(__xludf.DUMMYFUNCTION("""COMPUTED_VALUE"""),1.0)</f>
        <v>1</v>
      </c>
      <c r="AG153" s="252" t="str">
        <f>IFERROR(__xludf.DUMMYFUNCTION("""COMPUTED_VALUE"""),"[EX-14 KFZK38] - KOMATSU PC200LC-8M0")</f>
        <v>[EX-14 KFZK38] - KOMATSU PC200LC-8M0</v>
      </c>
      <c r="AH153" s="252">
        <f>IFERROR(__xludf.DUMMYFUNCTION("""COMPUTED_VALUE"""),9932.0)</f>
        <v>9932</v>
      </c>
      <c r="AI153" s="252">
        <f>IFERROR(__xludf.DUMMYFUNCTION("""COMPUTED_VALUE"""),1.0)</f>
        <v>1</v>
      </c>
      <c r="AJ153" s="882">
        <f>IFERROR(__xludf.DUMMYFUNCTION("""COMPUTED_VALUE"""),46097.20474537037)</f>
        <v>46097.20475</v>
      </c>
      <c r="AK153" s="882">
        <f>IFERROR(__xludf.DUMMYFUNCTION("""COMPUTED_VALUE"""),46095.58608796296)</f>
        <v>46095.58609</v>
      </c>
      <c r="AL153" s="880">
        <f>IFERROR(__xludf.DUMMYFUNCTION("""COMPUTED_VALUE"""),10264.0)</f>
        <v>10264</v>
      </c>
      <c r="AM153" s="880" t="str">
        <f>IFERROR(__xludf.DUMMYFUNCTION("""COMPUTED_VALUE"""),"")</f>
        <v/>
      </c>
      <c r="AN153" s="252" t="str">
        <f>IFERROR(__xludf.DUMMYFUNCTION("""COMPUTED_VALUE"""),"OT260314130504")</f>
        <v>OT260314130504</v>
      </c>
      <c r="AO153" s="252" t="str">
        <f>IFERROR(__xludf.DUMMYFUNCTION("""COMPUTED_VALUE"""),"Hr")</f>
        <v>Hr</v>
      </c>
      <c r="AP153" s="252"/>
      <c r="AQ153" s="252">
        <f>IFERROR(__xludf.DUMMYFUNCTION("""COMPUTED_VALUE"""),8194.0)</f>
        <v>8194</v>
      </c>
      <c r="AR153" s="252"/>
      <c r="AS153" s="881">
        <f>IFERROR(__xludf.DUMMYFUNCTION("""COMPUTED_VALUE"""),44927.0)</f>
        <v>44927</v>
      </c>
      <c r="AT153" s="881">
        <f>IFERROR(__xludf.DUMMYFUNCTION("""COMPUTED_VALUE"""),44927.0)</f>
        <v>44927</v>
      </c>
      <c r="AU153" s="252" t="str">
        <f>IFERROR(__xludf.DUMMYFUNCTION("""COMPUTED_VALUE"""),"RDC260316065314")</f>
        <v>RDC260316065314</v>
      </c>
      <c r="AV153" s="252" t="str">
        <f>IFERROR(__xludf.DUMMYFUNCTION("""COMPUTED_VALUE"""),"RCO260314145818")</f>
        <v>RCO260314145818</v>
      </c>
      <c r="AW153" s="252">
        <f>IFERROR(__xludf.DUMMYFUNCTION("""COMPUTED_VALUE"""),222.0)</f>
        <v>222</v>
      </c>
      <c r="AX153" s="252">
        <f>IFERROR(__xludf.DUMMYFUNCTION("""COMPUTED_VALUE"""),7.0)</f>
        <v>7</v>
      </c>
      <c r="AY153" s="252">
        <f>IFERROR(__xludf.DUMMYFUNCTION("""COMPUTED_VALUE"""),0.0)</f>
        <v>0</v>
      </c>
      <c r="AZ153" s="884">
        <f>IFERROR(__xludf.DUMMYFUNCTION("""COMPUTED_VALUE"""),46095.0)</f>
        <v>46095</v>
      </c>
    </row>
    <row r="154">
      <c r="A154" s="252" t="str">
        <f>IFERROR(__xludf.DUMMYFUNCTION("""COMPUTED_VALUE"""),"m000067")</f>
        <v>m000067</v>
      </c>
      <c r="B154" s="252" t="str">
        <f>IFERROR(__xludf.DUMMYFUNCTION("""COMPUTED_VALUE"""),"EX-15 THYP52")</f>
        <v>EX-15 THYP52</v>
      </c>
      <c r="C154" s="252" t="str">
        <f>IFERROR(__xludf.DUMMYFUNCTION("""COMPUTED_VALUE"""),"EXCAVADORA")</f>
        <v>EXCAVADORA</v>
      </c>
      <c r="D154" s="252" t="str">
        <f>IFERROR(__xludf.DUMMYFUNCTION("""COMPUTED_VALUE"""),"EXCAVADORA")</f>
        <v>EXCAVADORA</v>
      </c>
      <c r="E154" s="252" t="str">
        <f>IFERROR(__xludf.DUMMYFUNCTION("""COMPUTED_VALUE"""),"KOMATSU")</f>
        <v>KOMATSU</v>
      </c>
      <c r="F154" s="252" t="str">
        <f>IFERROR(__xludf.DUMMYFUNCTION("""COMPUTED_VALUE"""),"PC210 LC")</f>
        <v>PC210 LC</v>
      </c>
      <c r="G154" s="252"/>
      <c r="H154" s="252"/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  <c r="AA154" s="252"/>
      <c r="AB154" s="252" t="str">
        <f>IFERROR(__xludf.DUMMYFUNCTION("""COMPUTED_VALUE"""),"En producción")</f>
        <v>En producción</v>
      </c>
      <c r="AC154" s="252"/>
      <c r="AD154" s="252">
        <f>IFERROR(__xludf.DUMMYFUNCTION("""COMPUTED_VALUE"""),1028.0)</f>
        <v>1028</v>
      </c>
      <c r="AE154" s="252" t="str">
        <f>IFERROR(__xludf.DUMMYFUNCTION("""COMPUTED_VALUE"""),"Sin incidentes")</f>
        <v>Sin incidentes</v>
      </c>
      <c r="AF154" s="252">
        <f>IFERROR(__xludf.DUMMYFUNCTION("""COMPUTED_VALUE"""),1.0)</f>
        <v>1</v>
      </c>
      <c r="AG154" s="252" t="str">
        <f>IFERROR(__xludf.DUMMYFUNCTION("""COMPUTED_VALUE"""),"[EX-15 THYP52] - KOMATSU PC210 LC")</f>
        <v>[EX-15 THYP52] - KOMATSU PC210 LC</v>
      </c>
      <c r="AH154" s="252">
        <f>IFERROR(__xludf.DUMMYFUNCTION("""COMPUTED_VALUE"""),3801.0)</f>
        <v>3801</v>
      </c>
      <c r="AI154" s="252">
        <f>IFERROR(__xludf.DUMMYFUNCTION("""COMPUTED_VALUE"""),1.0)</f>
        <v>1</v>
      </c>
      <c r="AJ154" s="882">
        <f>IFERROR(__xludf.DUMMYFUNCTION("""COMPUTED_VALUE"""),46093.52777777778)</f>
        <v>46093.52778</v>
      </c>
      <c r="AK154" s="885">
        <f>IFERROR(__xludf.DUMMYFUNCTION("""COMPUTED_VALUE"""),46090.4175)</f>
        <v>46090.4175</v>
      </c>
      <c r="AL154" s="880">
        <f>IFERROR(__xludf.DUMMYFUNCTION("""COMPUTED_VALUE"""),3762.0)</f>
        <v>3762</v>
      </c>
      <c r="AM154" s="880" t="str">
        <f>IFERROR(__xludf.DUMMYFUNCTION("""COMPUTED_VALUE"""),"")</f>
        <v/>
      </c>
      <c r="AN154" s="252" t="str">
        <f>IFERROR(__xludf.DUMMYFUNCTION("""COMPUTED_VALUE"""),"OT251205143657")</f>
        <v>OT251205143657</v>
      </c>
      <c r="AO154" s="252" t="str">
        <f>IFERROR(__xludf.DUMMYFUNCTION("""COMPUTED_VALUE"""),"Hr")</f>
        <v>Hr</v>
      </c>
      <c r="AP154" s="252"/>
      <c r="AQ154" s="252">
        <f>IFERROR(__xludf.DUMMYFUNCTION("""COMPUTED_VALUE"""),2240.0)</f>
        <v>2240</v>
      </c>
      <c r="AR154" s="252"/>
      <c r="AS154" s="881">
        <f>IFERROR(__xludf.DUMMYFUNCTION("""COMPUTED_VALUE"""),44927.0)</f>
        <v>44927</v>
      </c>
      <c r="AT154" s="881">
        <f>IFERROR(__xludf.DUMMYFUNCTION("""COMPUTED_VALUE"""),44927.0)</f>
        <v>44927</v>
      </c>
      <c r="AU154" s="252" t="str">
        <f>IFERROR(__xludf.DUMMYFUNCTION("""COMPUTED_VALUE"""),"RDC260312124026")</f>
        <v>RDC260312124026</v>
      </c>
      <c r="AV154" s="252" t="str">
        <f>IFERROR(__xludf.DUMMYFUNCTION("""COMPUTED_VALUE"""),"RCO260309115853")</f>
        <v>RCO260309115853</v>
      </c>
      <c r="AW154" s="252">
        <f>IFERROR(__xludf.DUMMYFUNCTION("""COMPUTED_VALUE"""),205.0)</f>
        <v>205</v>
      </c>
      <c r="AX154" s="252">
        <f>IFERROR(__xludf.DUMMYFUNCTION("""COMPUTED_VALUE"""),-27.0)</f>
        <v>-27</v>
      </c>
      <c r="AY154" s="252">
        <f>IFERROR(__xludf.DUMMYFUNCTION("""COMPUTED_VALUE"""),0.0)</f>
        <v>0</v>
      </c>
      <c r="AZ154" s="883">
        <f>IFERROR(__xludf.DUMMYFUNCTION("""COMPUTED_VALUE"""),46090.0)</f>
        <v>46090</v>
      </c>
    </row>
    <row r="155">
      <c r="A155" s="252" t="str">
        <f>IFERROR(__xludf.DUMMYFUNCTION("""COMPUTED_VALUE"""),"m000068")</f>
        <v>m000068</v>
      </c>
      <c r="B155" s="252" t="str">
        <f>IFERROR(__xludf.DUMMYFUNCTION("""COMPUTED_VALUE"""),"EX-16 SJTT92")</f>
        <v>EX-16 SJTT92</v>
      </c>
      <c r="C155" s="252" t="str">
        <f>IFERROR(__xludf.DUMMYFUNCTION("""COMPUTED_VALUE"""),"EXCAVADORA")</f>
        <v>EXCAVADORA</v>
      </c>
      <c r="D155" s="252" t="str">
        <f>IFERROR(__xludf.DUMMYFUNCTION("""COMPUTED_VALUE"""),"EXCAVADORA")</f>
        <v>EXCAVADORA</v>
      </c>
      <c r="E155" s="252" t="str">
        <f>IFERROR(__xludf.DUMMYFUNCTION("""COMPUTED_VALUE"""),"KOMATSU")</f>
        <v>KOMATSU</v>
      </c>
      <c r="F155" s="252" t="str">
        <f>IFERROR(__xludf.DUMMYFUNCTION("""COMPUTED_VALUE"""),"PC300LC-8")</f>
        <v>PC300LC-8</v>
      </c>
      <c r="G155" s="252">
        <f>IFERROR(__xludf.DUMMYFUNCTION("""COMPUTED_VALUE"""),2024.0)</f>
        <v>2024</v>
      </c>
      <c r="H155" s="252">
        <f>IFERROR(__xludf.DUMMYFUNCTION("""COMPUTED_VALUE"""),2.6894209E7)</f>
        <v>26894209</v>
      </c>
      <c r="I155" s="252" t="str">
        <f>IFERROR(__xludf.DUMMYFUNCTION("""COMPUTED_VALUE"""),"SAA6D114E")</f>
        <v>SAA6D114E</v>
      </c>
      <c r="J155" s="252" t="str">
        <f>IFERROR(__xludf.DUMMYFUNCTION("""COMPUTED_VALUE"""),"SJTT92")</f>
        <v>SJTT92</v>
      </c>
      <c r="K155" s="252" t="str">
        <f>IFERROR(__xludf.DUMMYFUNCTION("""COMPUTED_VALUE"""),"ECMA")</f>
        <v>ECMA</v>
      </c>
      <c r="L155" s="252"/>
      <c r="M155" s="252"/>
      <c r="N155" s="252"/>
      <c r="O155" s="252"/>
      <c r="P155" s="252"/>
      <c r="Q155" s="252"/>
      <c r="R155" s="252"/>
      <c r="S155" s="252" t="str">
        <f>IFERROR(__xludf.DUMMYFUNCTION("""COMPUTED_VALUE"""),"65226")</f>
        <v>65226</v>
      </c>
      <c r="T155" s="252"/>
      <c r="U155" s="252"/>
      <c r="V155" s="252"/>
      <c r="W155" s="252"/>
      <c r="X155" s="252"/>
      <c r="Y155" s="252"/>
      <c r="Z155" s="252"/>
      <c r="AA155" s="252"/>
      <c r="AB155" s="252" t="str">
        <f>IFERROR(__xludf.DUMMYFUNCTION("""COMPUTED_VALUE"""),"En producción")</f>
        <v>En producción</v>
      </c>
      <c r="AC155" s="252"/>
      <c r="AD155" s="252">
        <f>IFERROR(__xludf.DUMMYFUNCTION("""COMPUTED_VALUE"""),935.0)</f>
        <v>935</v>
      </c>
      <c r="AE155" s="252" t="str">
        <f>IFERROR(__xludf.DUMMYFUNCTION("""COMPUTED_VALUE"""),"Alerta incidente")</f>
        <v>Alerta incidente</v>
      </c>
      <c r="AF155" s="252">
        <f>IFERROR(__xludf.DUMMYFUNCTION("""COMPUTED_VALUE"""),2.0)</f>
        <v>2</v>
      </c>
      <c r="AG155" s="252" t="str">
        <f>IFERROR(__xludf.DUMMYFUNCTION("""COMPUTED_VALUE"""),"[EX-16 SJTT92] - KOMATSU PC300LC-8")</f>
        <v>[EX-16 SJTT92] - KOMATSU PC300LC-8</v>
      </c>
      <c r="AH155" s="252">
        <f>IFERROR(__xludf.DUMMYFUNCTION("""COMPUTED_VALUE"""),4242.0)</f>
        <v>4242</v>
      </c>
      <c r="AI155" s="252">
        <f>IFERROR(__xludf.DUMMYFUNCTION("""COMPUTED_VALUE"""),1715.0)</f>
        <v>1715</v>
      </c>
      <c r="AJ155" s="882">
        <f>IFERROR(__xludf.DUMMYFUNCTION("""COMPUTED_VALUE"""),46096.89796296296)</f>
        <v>46096.89796</v>
      </c>
      <c r="AK155" s="882">
        <f>IFERROR(__xludf.DUMMYFUNCTION("""COMPUTED_VALUE"""),46096.89802083333)</f>
        <v>46096.89802</v>
      </c>
      <c r="AL155" s="880">
        <f>IFERROR(__xludf.DUMMYFUNCTION("""COMPUTED_VALUE"""),4243.0)</f>
        <v>4243</v>
      </c>
      <c r="AM155" s="252"/>
      <c r="AN155" s="252" t="str">
        <f>IFERROR(__xludf.DUMMYFUNCTION("""COMPUTED_VALUE"""),"OT260209110647")</f>
        <v>OT260209110647</v>
      </c>
      <c r="AO155" s="252" t="str">
        <f>IFERROR(__xludf.DUMMYFUNCTION("""COMPUTED_VALUE"""),"Hr")</f>
        <v>Hr</v>
      </c>
      <c r="AP155" s="252"/>
      <c r="AQ155" s="252">
        <f>IFERROR(__xludf.DUMMYFUNCTION("""COMPUTED_VALUE"""),1937.0)</f>
        <v>1937</v>
      </c>
      <c r="AR155" s="252"/>
      <c r="AS155" s="881">
        <f>IFERROR(__xludf.DUMMYFUNCTION("""COMPUTED_VALUE"""),44927.0)</f>
        <v>44927</v>
      </c>
      <c r="AT155" s="881">
        <f>IFERROR(__xludf.DUMMYFUNCTION("""COMPUTED_VALUE"""),44927.0)</f>
        <v>44927</v>
      </c>
      <c r="AU155" s="252" t="str">
        <f>IFERROR(__xludf.DUMMYFUNCTION("""COMPUTED_VALUE"""),"RDC260315232349")</f>
        <v>RDC260315232349</v>
      </c>
      <c r="AV155" s="252" t="str">
        <f>IFERROR(__xludf.DUMMYFUNCTION("""COMPUTED_VALUE"""),"RCO260315233200")</f>
        <v>RCO260315233200</v>
      </c>
      <c r="AW155" s="252">
        <f>IFERROR(__xludf.DUMMYFUNCTION("""COMPUTED_VALUE"""),216.0)</f>
        <v>216</v>
      </c>
      <c r="AX155" s="252">
        <f>IFERROR(__xludf.DUMMYFUNCTION("""COMPUTED_VALUE"""),0.0)</f>
        <v>0</v>
      </c>
      <c r="AY155" s="252">
        <f>IFERROR(__xludf.DUMMYFUNCTION("""COMPUTED_VALUE"""),0.0)</f>
        <v>0</v>
      </c>
      <c r="AZ155" s="884">
        <f>IFERROR(__xludf.DUMMYFUNCTION("""COMPUTED_VALUE"""),46096.0)</f>
        <v>46096</v>
      </c>
    </row>
    <row r="156">
      <c r="A156" s="252" t="str">
        <f>IFERROR(__xludf.DUMMYFUNCTION("""COMPUTED_VALUE"""),"m000069")</f>
        <v>m000069</v>
      </c>
      <c r="B156" s="252" t="str">
        <f>IFERROR(__xludf.DUMMYFUNCTION("""COMPUTED_VALUE"""),"MC-01")</f>
        <v>MC-01</v>
      </c>
      <c r="C156" s="252" t="str">
        <f>IFERROR(__xludf.DUMMYFUNCTION("""COMPUTED_VALUE"""),"CARGADOR FRONTAL")</f>
        <v>CARGADOR FRONTAL</v>
      </c>
      <c r="D156" s="252" t="str">
        <f>IFERROR(__xludf.DUMMYFUNCTION("""COMPUTED_VALUE"""),"MINI-CARGADOR")</f>
        <v>MINI-CARGADOR</v>
      </c>
      <c r="E156" s="252" t="str">
        <f>IFERROR(__xludf.DUMMYFUNCTION("""COMPUTED_VALUE"""),"JOHN DEERE")</f>
        <v>JOHN DEERE</v>
      </c>
      <c r="F156" s="252">
        <f>IFERROR(__xludf.DUMMYFUNCTION("""COMPUTED_VALUE"""),250.0)</f>
        <v>250</v>
      </c>
      <c r="G156" s="252"/>
      <c r="H156" s="252"/>
      <c r="I156" s="252" t="str">
        <f>IFERROR(__xludf.DUMMYFUNCTION("""COMPUTED_VALUE"""),"T00250A922637")</f>
        <v>T00250A922637</v>
      </c>
      <c r="J156" s="252"/>
      <c r="K156" s="252" t="str">
        <f>IFERROR(__xludf.DUMMYFUNCTION("""COMPUTED_VALUE"""),"JHL")</f>
        <v>JHL</v>
      </c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>
        <f>IFERROR(__xludf.DUMMYFUNCTION("""COMPUTED_VALUE"""),0.0)</f>
        <v>0</v>
      </c>
      <c r="W156" s="252">
        <f>IFERROR(__xludf.DUMMYFUNCTION("""COMPUTED_VALUE"""),5.0)</f>
        <v>5</v>
      </c>
      <c r="X156" s="252">
        <f>IFERROR(__xludf.DUMMYFUNCTION("""COMPUTED_VALUE"""),5.0)</f>
        <v>5</v>
      </c>
      <c r="Y156" s="252">
        <f>IFERROR(__xludf.DUMMYFUNCTION("""COMPUTED_VALUE"""),5.0)</f>
        <v>5</v>
      </c>
      <c r="Z156" s="252">
        <f>IFERROR(__xludf.DUMMYFUNCTION("""COMPUTED_VALUE"""),10.0)</f>
        <v>10</v>
      </c>
      <c r="AA156" s="252">
        <f>IFERROR(__xludf.DUMMYFUNCTION("""COMPUTED_VALUE"""),10.0)</f>
        <v>10</v>
      </c>
      <c r="AB156" s="252" t="str">
        <f>IFERROR(__xludf.DUMMYFUNCTION("""COMPUTED_VALUE"""),"Discontinuado")</f>
        <v>Discontinuado</v>
      </c>
      <c r="AC156" s="252" t="str">
        <f>IFERROR(__xludf.DUMMYFUNCTION("""COMPUTED_VALUE"""),"MAQUINAS_Images/m000069.FOTO1.145900.jpg")</f>
        <v>MAQUINAS_Images/m000069.FOTO1.145900.jpg</v>
      </c>
      <c r="AD156" s="252"/>
      <c r="AE156" s="252" t="str">
        <f>IFERROR(__xludf.DUMMYFUNCTION("""COMPUTED_VALUE"""),"Sin incidentes")</f>
        <v>Sin incidentes</v>
      </c>
      <c r="AF156" s="252">
        <f>IFERROR(__xludf.DUMMYFUNCTION("""COMPUTED_VALUE"""),1.0)</f>
        <v>1</v>
      </c>
      <c r="AG156" s="252" t="str">
        <f>IFERROR(__xludf.DUMMYFUNCTION("""COMPUTED_VALUE"""),"[MC-01] - JOHN DEERE 250")</f>
        <v>[MC-01] - JOHN DEERE 250</v>
      </c>
      <c r="AH156" s="252"/>
      <c r="AI156" s="252"/>
      <c r="AJ156" s="252"/>
      <c r="AK156" s="252"/>
      <c r="AL156" s="880" t="str">
        <f>IFERROR(__xludf.DUMMYFUNCTION("""COMPUTED_VALUE"""),"")</f>
        <v/>
      </c>
      <c r="AM156" s="880" t="str">
        <f>IFERROR(__xludf.DUMMYFUNCTION("""COMPUTED_VALUE"""),"")</f>
        <v/>
      </c>
      <c r="AN156" s="252"/>
      <c r="AO156" s="252" t="str">
        <f>IFERROR(__xludf.DUMMYFUNCTION("""COMPUTED_VALUE"""),"N/A")</f>
        <v>N/A</v>
      </c>
      <c r="AP156" s="252" t="str">
        <f>IFERROR(__xludf.DUMMYFUNCTION("""COMPUTED_VALUE"""),"IS250312121937")</f>
        <v>IS250312121937</v>
      </c>
      <c r="AQ156" s="252"/>
      <c r="AR156" s="252"/>
      <c r="AS156" s="881">
        <f>IFERROR(__xludf.DUMMYFUNCTION("""COMPUTED_VALUE"""),44927.0)</f>
        <v>44927</v>
      </c>
      <c r="AT156" s="881">
        <f>IFERROR(__xludf.DUMMYFUNCTION("""COMPUTED_VALUE"""),44927.0)</f>
        <v>44927</v>
      </c>
      <c r="AU156" s="252"/>
      <c r="AV156" s="252"/>
      <c r="AW156" s="252"/>
      <c r="AX156" s="252"/>
      <c r="AY156" s="252"/>
      <c r="AZ156" s="252"/>
    </row>
    <row r="157">
      <c r="A157" s="252" t="str">
        <f>IFERROR(__xludf.DUMMYFUNCTION("""COMPUTED_VALUE"""),"m000070")</f>
        <v>m000070</v>
      </c>
      <c r="B157" s="252" t="str">
        <f>IFERROR(__xludf.DUMMYFUNCTION("""COMPUTED_VALUE"""),"MC-02")</f>
        <v>MC-02</v>
      </c>
      <c r="C157" s="252" t="str">
        <f>IFERROR(__xludf.DUMMYFUNCTION("""COMPUTED_VALUE"""),"CARGADOR FRONTAL")</f>
        <v>CARGADOR FRONTAL</v>
      </c>
      <c r="D157" s="252" t="str">
        <f>IFERROR(__xludf.DUMMYFUNCTION("""COMPUTED_VALUE"""),"MINI-CARGADOR")</f>
        <v>MINI-CARGADOR</v>
      </c>
      <c r="E157" s="252" t="str">
        <f>IFERROR(__xludf.DUMMYFUNCTION("""COMPUTED_VALUE"""),"LUIGONG")</f>
        <v>LUIGONG</v>
      </c>
      <c r="F157" s="252" t="str">
        <f>IFERROR(__xludf.DUMMYFUNCTION("""COMPUTED_VALUE"""),"A375")</f>
        <v>A375</v>
      </c>
      <c r="G157" s="252">
        <f>IFERROR(__xludf.DUMMYFUNCTION("""COMPUTED_VALUE"""),2015.0)</f>
        <v>2015</v>
      </c>
      <c r="H157" s="252" t="str">
        <f>IFERROR(__xludf.DUMMYFUNCTION("""COMPUTED_VALUE"""),"P4482")</f>
        <v>P4482</v>
      </c>
      <c r="I157" s="252" t="str">
        <f>IFERROR(__xludf.DUMMYFUNCTION("""COMPUTED_VALUE"""),"CL G037 5A VDS001766")</f>
        <v>CL G037 5A VDS001766</v>
      </c>
      <c r="J157" s="252" t="str">
        <f>IFERROR(__xludf.DUMMYFUNCTION("""COMPUTED_VALUE"""),"GXVV46-8")</f>
        <v>GXVV46-8</v>
      </c>
      <c r="K157" s="252" t="str">
        <f>IFERROR(__xludf.DUMMYFUNCTION("""COMPUTED_VALUE"""),"ECMA")</f>
        <v>ECMA</v>
      </c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>
        <f>IFERROR(__xludf.DUMMYFUNCTION("""COMPUTED_VALUE"""),0.0)</f>
        <v>0</v>
      </c>
      <c r="W157" s="252">
        <f>IFERROR(__xludf.DUMMYFUNCTION("""COMPUTED_VALUE"""),5.0)</f>
        <v>5</v>
      </c>
      <c r="X157" s="252">
        <f>IFERROR(__xludf.DUMMYFUNCTION("""COMPUTED_VALUE"""),5.0)</f>
        <v>5</v>
      </c>
      <c r="Y157" s="252">
        <f>IFERROR(__xludf.DUMMYFUNCTION("""COMPUTED_VALUE"""),5.0)</f>
        <v>5</v>
      </c>
      <c r="Z157" s="252">
        <f>IFERROR(__xludf.DUMMYFUNCTION("""COMPUTED_VALUE"""),10.0)</f>
        <v>10</v>
      </c>
      <c r="AA157" s="252">
        <f>IFERROR(__xludf.DUMMYFUNCTION("""COMPUTED_VALUE"""),10.0)</f>
        <v>10</v>
      </c>
      <c r="AB157" s="252" t="str">
        <f>IFERROR(__xludf.DUMMYFUNCTION("""COMPUTED_VALUE"""),"Discontinuado")</f>
        <v>Discontinuado</v>
      </c>
      <c r="AC157" s="252"/>
      <c r="AD157" s="252"/>
      <c r="AE157" s="252" t="str">
        <f>IFERROR(__xludf.DUMMYFUNCTION("""COMPUTED_VALUE"""),"Sin incidentes")</f>
        <v>Sin incidentes</v>
      </c>
      <c r="AF157" s="252">
        <f>IFERROR(__xludf.DUMMYFUNCTION("""COMPUTED_VALUE"""),1.0)</f>
        <v>1</v>
      </c>
      <c r="AG157" s="252" t="str">
        <f>IFERROR(__xludf.DUMMYFUNCTION("""COMPUTED_VALUE"""),"[MC-02] - LUIGONG A375")</f>
        <v>[MC-02] - LUIGONG A375</v>
      </c>
      <c r="AH157" s="252"/>
      <c r="AI157" s="252"/>
      <c r="AJ157" s="252"/>
      <c r="AK157" s="252"/>
      <c r="AL157" s="880" t="str">
        <f>IFERROR(__xludf.DUMMYFUNCTION("""COMPUTED_VALUE"""),"")</f>
        <v/>
      </c>
      <c r="AM157" s="880" t="str">
        <f>IFERROR(__xludf.DUMMYFUNCTION("""COMPUTED_VALUE"""),"")</f>
        <v/>
      </c>
      <c r="AN157" s="252"/>
      <c r="AO157" s="252" t="str">
        <f>IFERROR(__xludf.DUMMYFUNCTION("""COMPUTED_VALUE"""),"N/A")</f>
        <v>N/A</v>
      </c>
      <c r="AP157" s="252"/>
      <c r="AQ157" s="252"/>
      <c r="AR157" s="252"/>
      <c r="AS157" s="881">
        <f>IFERROR(__xludf.DUMMYFUNCTION("""COMPUTED_VALUE"""),44927.0)</f>
        <v>44927</v>
      </c>
      <c r="AT157" s="881">
        <f>IFERROR(__xludf.DUMMYFUNCTION("""COMPUTED_VALUE"""),44927.0)</f>
        <v>44927</v>
      </c>
      <c r="AU157" s="252"/>
      <c r="AV157" s="252"/>
      <c r="AW157" s="252"/>
      <c r="AX157" s="252"/>
      <c r="AY157" s="252"/>
      <c r="AZ157" s="252"/>
    </row>
    <row r="158">
      <c r="A158" s="252" t="str">
        <f>IFERROR(__xludf.DUMMYFUNCTION("""COMPUTED_VALUE"""),"m000071")</f>
        <v>m000071</v>
      </c>
      <c r="B158" s="252" t="str">
        <f>IFERROR(__xludf.DUMMYFUNCTION("""COMPUTED_VALUE"""),"MC-03")</f>
        <v>MC-03</v>
      </c>
      <c r="C158" s="252" t="str">
        <f>IFERROR(__xludf.DUMMYFUNCTION("""COMPUTED_VALUE"""),"MAQUINARIA")</f>
        <v>MAQUINARIA</v>
      </c>
      <c r="D158" s="252" t="str">
        <f>IFERROR(__xludf.DUMMYFUNCTION("""COMPUTED_VALUE"""),"GRUA HORQUILLA")</f>
        <v>GRUA HORQUILLA</v>
      </c>
      <c r="E158" s="252" t="str">
        <f>IFERROR(__xludf.DUMMYFUNCTION("""COMPUTED_VALUE"""),"TOYOTA")</f>
        <v>TOYOTA</v>
      </c>
      <c r="F158" s="252" t="str">
        <f>IFERROR(__xludf.DUMMYFUNCTION("""COMPUTED_VALUE"""),"42-5F625")</f>
        <v>42-5F625</v>
      </c>
      <c r="G158" s="252">
        <f>IFERROR(__xludf.DUMMYFUNCTION("""COMPUTED_VALUE"""),1993.0)</f>
        <v>1993</v>
      </c>
      <c r="H158" s="252" t="str">
        <f>IFERROR(__xludf.DUMMYFUNCTION("""COMPUTED_VALUE"""),"4050F625-64886")</f>
        <v>4050F625-64886</v>
      </c>
      <c r="I158" s="252"/>
      <c r="J158" s="252"/>
      <c r="K158" s="252" t="str">
        <f>IFERROR(__xludf.DUMMYFUNCTION("""COMPUTED_VALUE"""),"ECMA")</f>
        <v>ECMA</v>
      </c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  <c r="AA158" s="252"/>
      <c r="AB158" s="252" t="str">
        <f>IFERROR(__xludf.DUMMYFUNCTION("""COMPUTED_VALUE"""),"En producción")</f>
        <v>En producción</v>
      </c>
      <c r="AC158" s="252" t="str">
        <f>IFERROR(__xludf.DUMMYFUNCTION("""COMPUTED_VALUE"""),"MAQUINAS_Images/m000071.FOTO1.200122.jpg")</f>
        <v>MAQUINAS_Images/m000071.FOTO1.200122.jpg</v>
      </c>
      <c r="AD158" s="252">
        <f>IFERROR(__xludf.DUMMYFUNCTION("""COMPUTED_VALUE"""),660.0)</f>
        <v>660</v>
      </c>
      <c r="AE158" s="252" t="str">
        <f>IFERROR(__xludf.DUMMYFUNCTION("""COMPUTED_VALUE"""),"Sin incidentes")</f>
        <v>Sin incidentes</v>
      </c>
      <c r="AF158" s="252">
        <f>IFERROR(__xludf.DUMMYFUNCTION("""COMPUTED_VALUE"""),1.0)</f>
        <v>1</v>
      </c>
      <c r="AG158" s="252" t="str">
        <f>IFERROR(__xludf.DUMMYFUNCTION("""COMPUTED_VALUE"""),"[MC-03] - TOYOTA 42-5F625")</f>
        <v>[MC-03] - TOYOTA 42-5F625</v>
      </c>
      <c r="AH158" s="252">
        <f>IFERROR(__xludf.DUMMYFUNCTION("""COMPUTED_VALUE"""),18715.0)</f>
        <v>18715</v>
      </c>
      <c r="AI158" s="252"/>
      <c r="AJ158" s="882">
        <f>IFERROR(__xludf.DUMMYFUNCTION("""COMPUTED_VALUE"""),46094.65650462963)</f>
        <v>46094.6565</v>
      </c>
      <c r="AK158" s="885">
        <f>IFERROR(__xludf.DUMMYFUNCTION("""COMPUTED_VALUE"""),45951.58877314815)</f>
        <v>45951.58877</v>
      </c>
      <c r="AL158" s="880">
        <f>IFERROR(__xludf.DUMMYFUNCTION("""COMPUTED_VALUE"""),18671.0)</f>
        <v>18671</v>
      </c>
      <c r="AM158" s="880" t="str">
        <f>IFERROR(__xludf.DUMMYFUNCTION("""COMPUTED_VALUE"""),"")</f>
        <v/>
      </c>
      <c r="AN158" s="252" t="str">
        <f>IFERROR(__xludf.DUMMYFUNCTION("""COMPUTED_VALUE"""),"OT250429112641")</f>
        <v>OT250429112641</v>
      </c>
      <c r="AO158" s="252" t="str">
        <f>IFERROR(__xludf.DUMMYFUNCTION("""COMPUTED_VALUE"""),"Hr")</f>
        <v>Hr</v>
      </c>
      <c r="AP158" s="252"/>
      <c r="AQ158" s="252">
        <f>IFERROR(__xludf.DUMMYFUNCTION("""COMPUTED_VALUE"""),18262.0)</f>
        <v>18262</v>
      </c>
      <c r="AR158" s="252"/>
      <c r="AS158" s="881">
        <f>IFERROR(__xludf.DUMMYFUNCTION("""COMPUTED_VALUE"""),44927.0)</f>
        <v>44927</v>
      </c>
      <c r="AT158" s="881">
        <f>IFERROR(__xludf.DUMMYFUNCTION("""COMPUTED_VALUE"""),44927.0)</f>
        <v>44927</v>
      </c>
      <c r="AU158" s="252" t="str">
        <f>IFERROR(__xludf.DUMMYFUNCTION("""COMPUTED_VALUE"""),"RDC260313131316")</f>
        <v>RDC260313131316</v>
      </c>
      <c r="AV158" s="252"/>
      <c r="AW158" s="252"/>
      <c r="AX158" s="252"/>
      <c r="AY158" s="252"/>
      <c r="AZ158" s="252"/>
    </row>
    <row r="159">
      <c r="A159" s="252" t="str">
        <f>IFERROR(__xludf.DUMMYFUNCTION("""COMPUTED_VALUE"""),"m000072")</f>
        <v>m000072</v>
      </c>
      <c r="B159" s="252" t="str">
        <f>IFERROR(__xludf.DUMMYFUNCTION("""COMPUTED_VALUE"""),"MN-01 YE3487")</f>
        <v>MN-01 YE3487</v>
      </c>
      <c r="C159" s="252" t="str">
        <f>IFERROR(__xludf.DUMMYFUNCTION("""COMPUTED_VALUE"""),"MOTONIVELADORA")</f>
        <v>MOTONIVELADORA</v>
      </c>
      <c r="D159" s="252" t="str">
        <f>IFERROR(__xludf.DUMMYFUNCTION("""COMPUTED_VALUE"""),"MOTO NIVELADORA")</f>
        <v>MOTO NIVELADORA</v>
      </c>
      <c r="E159" s="252" t="str">
        <f>IFERROR(__xludf.DUMMYFUNCTION("""COMPUTED_VALUE"""),"JOHN DEERE")</f>
        <v>JOHN DEERE</v>
      </c>
      <c r="F159" s="252" t="str">
        <f>IFERROR(__xludf.DUMMYFUNCTION("""COMPUTED_VALUE"""),"770 CH")</f>
        <v>770 CH</v>
      </c>
      <c r="G159" s="252">
        <f>IFERROR(__xludf.DUMMYFUNCTION("""COMPUTED_VALUE"""),2005.0)</f>
        <v>2005</v>
      </c>
      <c r="H159" s="252" t="str">
        <f>IFERROR(__xludf.DUMMYFUNCTION("""COMPUTED_VALUE"""),"RG6081H166319-6081HDW10")</f>
        <v>RG6081H166319-6081HDW10</v>
      </c>
      <c r="I159" s="252" t="str">
        <f>IFERROR(__xludf.DUMMYFUNCTION("""COMPUTED_VALUE"""),"DW770CH593103")</f>
        <v>DW770CH593103</v>
      </c>
      <c r="J159" s="252" t="str">
        <f>IFERROR(__xludf.DUMMYFUNCTION("""COMPUTED_VALUE"""),"YE3487")</f>
        <v>YE3487</v>
      </c>
      <c r="K159" s="252" t="str">
        <f>IFERROR(__xludf.DUMMYFUNCTION("""COMPUTED_VALUE"""),"ECMA")</f>
        <v>ECMA</v>
      </c>
      <c r="L159" s="252" t="str">
        <f>IFERROR(__xludf.DUMMYFUNCTION("""COMPUTED_VALUE"""),"185 HP")</f>
        <v>185 HP</v>
      </c>
      <c r="M159" s="252"/>
      <c r="N159" s="252"/>
      <c r="O159" s="252"/>
      <c r="P159" s="252"/>
      <c r="Q159" s="252"/>
      <c r="R159" s="252"/>
      <c r="S159" s="252"/>
      <c r="T159" s="252"/>
      <c r="U159" s="252"/>
      <c r="V159" s="252">
        <f>IFERROR(__xludf.DUMMYFUNCTION("""COMPUTED_VALUE"""),0.0)</f>
        <v>0</v>
      </c>
      <c r="W159" s="252">
        <f>IFERROR(__xludf.DUMMYFUNCTION("""COMPUTED_VALUE"""),5.0)</f>
        <v>5</v>
      </c>
      <c r="X159" s="252">
        <f>IFERROR(__xludf.DUMMYFUNCTION("""COMPUTED_VALUE"""),5.0)</f>
        <v>5</v>
      </c>
      <c r="Y159" s="252">
        <f>IFERROR(__xludf.DUMMYFUNCTION("""COMPUTED_VALUE"""),5.0)</f>
        <v>5</v>
      </c>
      <c r="Z159" s="252">
        <f>IFERROR(__xludf.DUMMYFUNCTION("""COMPUTED_VALUE"""),9.0)</f>
        <v>9</v>
      </c>
      <c r="AA159" s="252">
        <f>IFERROR(__xludf.DUMMYFUNCTION("""COMPUTED_VALUE"""),9.0)</f>
        <v>9</v>
      </c>
      <c r="AB159" s="252" t="str">
        <f>IFERROR(__xludf.DUMMYFUNCTION("""COMPUTED_VALUE"""),"Discontinuado")</f>
        <v>Discontinuado</v>
      </c>
      <c r="AC159" s="252"/>
      <c r="AD159" s="252"/>
      <c r="AE159" s="252" t="str">
        <f>IFERROR(__xludf.DUMMYFUNCTION("""COMPUTED_VALUE"""),"Sin incidentes")</f>
        <v>Sin incidentes</v>
      </c>
      <c r="AF159" s="252">
        <f>IFERROR(__xludf.DUMMYFUNCTION("""COMPUTED_VALUE"""),1.0)</f>
        <v>1</v>
      </c>
      <c r="AG159" s="252" t="str">
        <f>IFERROR(__xludf.DUMMYFUNCTION("""COMPUTED_VALUE"""),"[MN-01 YE3487] - JOHN DEERE 770 CH")</f>
        <v>[MN-01 YE3487] - JOHN DEERE 770 CH</v>
      </c>
      <c r="AH159" s="252">
        <f>IFERROR(__xludf.DUMMYFUNCTION("""COMPUTED_VALUE"""),15343.0)</f>
        <v>15343</v>
      </c>
      <c r="AI159" s="252"/>
      <c r="AJ159" s="252"/>
      <c r="AK159" s="252"/>
      <c r="AL159" s="880">
        <f>IFERROR(__xludf.DUMMYFUNCTION("""COMPUTED_VALUE"""),15550.0)</f>
        <v>15550</v>
      </c>
      <c r="AM159" s="880" t="str">
        <f>IFERROR(__xludf.DUMMYFUNCTION("""COMPUTED_VALUE"""),"")</f>
        <v/>
      </c>
      <c r="AN159" s="252"/>
      <c r="AO159" s="252" t="str">
        <f>IFERROR(__xludf.DUMMYFUNCTION("""COMPUTED_VALUE"""),"Hr")</f>
        <v>Hr</v>
      </c>
      <c r="AP159" s="252"/>
      <c r="AQ159" s="252">
        <f>IFERROR(__xludf.DUMMYFUNCTION("""COMPUTED_VALUE"""),15343.0)</f>
        <v>15343</v>
      </c>
      <c r="AR159" s="252"/>
      <c r="AS159" s="881">
        <f>IFERROR(__xludf.DUMMYFUNCTION("""COMPUTED_VALUE"""),44927.0)</f>
        <v>44927</v>
      </c>
      <c r="AT159" s="881">
        <f>IFERROR(__xludf.DUMMYFUNCTION("""COMPUTED_VALUE"""),44927.0)</f>
        <v>44927</v>
      </c>
      <c r="AU159" s="252"/>
      <c r="AV159" s="252"/>
      <c r="AW159" s="252"/>
      <c r="AX159" s="252"/>
      <c r="AY159" s="252"/>
      <c r="AZ159" s="252"/>
    </row>
    <row r="160">
      <c r="A160" s="252" t="str">
        <f>IFERROR(__xludf.DUMMYFUNCTION("""COMPUTED_VALUE"""),"m000073")</f>
        <v>m000073</v>
      </c>
      <c r="B160" s="252" t="str">
        <f>IFERROR(__xludf.DUMMYFUNCTION("""COMPUTED_VALUE"""),"MN-02 CKPV95")</f>
        <v>MN-02 CKPV95</v>
      </c>
      <c r="C160" s="252" t="str">
        <f>IFERROR(__xludf.DUMMYFUNCTION("""COMPUTED_VALUE"""),"MAQUINARIA")</f>
        <v>MAQUINARIA</v>
      </c>
      <c r="D160" s="252" t="str">
        <f>IFERROR(__xludf.DUMMYFUNCTION("""COMPUTED_VALUE"""),"MOTO NIVELADORA")</f>
        <v>MOTO NIVELADORA</v>
      </c>
      <c r="E160" s="252" t="str">
        <f>IFERROR(__xludf.DUMMYFUNCTION("""COMPUTED_VALUE"""),"KOMATSU")</f>
        <v>KOMATSU</v>
      </c>
      <c r="F160" s="252" t="str">
        <f>IFERROR(__xludf.DUMMYFUNCTION("""COMPUTED_VALUE"""),"GD675-3EO")</f>
        <v>GD675-3EO</v>
      </c>
      <c r="G160" s="252">
        <f>IFERROR(__xludf.DUMMYFUNCTION("""COMPUTED_VALUE"""),2010.0)</f>
        <v>2010</v>
      </c>
      <c r="H160" s="252">
        <f>IFERROR(__xludf.DUMMYFUNCTION("""COMPUTED_VALUE"""),2.8859189E7)</f>
        <v>28859189</v>
      </c>
      <c r="I160" s="252" t="str">
        <f>IFERROR(__xludf.DUMMYFUNCTION("""COMPUTED_VALUE"""),"KMTGD023K01051386")</f>
        <v>KMTGD023K01051386</v>
      </c>
      <c r="J160" s="252" t="str">
        <f>IFERROR(__xludf.DUMMYFUNCTION("""COMPUTED_VALUE"""),"CKPV.95-2")</f>
        <v>CKPV.95-2</v>
      </c>
      <c r="K160" s="252" t="str">
        <f>IFERROR(__xludf.DUMMYFUNCTION("""COMPUTED_VALUE"""),"ECMA")</f>
        <v>ECMA</v>
      </c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>
        <f>IFERROR(__xludf.DUMMYFUNCTION("""COMPUTED_VALUE"""),0.0)</f>
        <v>0</v>
      </c>
      <c r="W160" s="252">
        <f>IFERROR(__xludf.DUMMYFUNCTION("""COMPUTED_VALUE"""),4.0)</f>
        <v>4</v>
      </c>
      <c r="X160" s="252">
        <f>IFERROR(__xludf.DUMMYFUNCTION("""COMPUTED_VALUE"""),4.0)</f>
        <v>4</v>
      </c>
      <c r="Y160" s="252">
        <f>IFERROR(__xludf.DUMMYFUNCTION("""COMPUTED_VALUE"""),4.0)</f>
        <v>4</v>
      </c>
      <c r="Z160" s="252">
        <f>IFERROR(__xludf.DUMMYFUNCTION("""COMPUTED_VALUE"""),6.0)</f>
        <v>6</v>
      </c>
      <c r="AA160" s="252">
        <f>IFERROR(__xludf.DUMMYFUNCTION("""COMPUTED_VALUE"""),6.0)</f>
        <v>6</v>
      </c>
      <c r="AB160" s="252" t="str">
        <f>IFERROR(__xludf.DUMMYFUNCTION("""COMPUTED_VALUE"""),"Patio LL")</f>
        <v>Patio LL</v>
      </c>
      <c r="AC160" s="252" t="str">
        <f>IFERROR(__xludf.DUMMYFUNCTION("""COMPUTED_VALUE"""),"MAQUINAS_Images/m000073.FOTO1.172522.jpg")</f>
        <v>MAQUINAS_Images/m000073.FOTO1.172522.jpg</v>
      </c>
      <c r="AD160" s="252">
        <f>IFERROR(__xludf.DUMMYFUNCTION("""COMPUTED_VALUE"""),803.0)</f>
        <v>803</v>
      </c>
      <c r="AE160" s="252" t="str">
        <f>IFERROR(__xludf.DUMMYFUNCTION("""COMPUTED_VALUE"""),"Sin incidentes")</f>
        <v>Sin incidentes</v>
      </c>
      <c r="AF160" s="252">
        <f>IFERROR(__xludf.DUMMYFUNCTION("""COMPUTED_VALUE"""),3.0)</f>
        <v>3</v>
      </c>
      <c r="AG160" s="252" t="str">
        <f>IFERROR(__xludf.DUMMYFUNCTION("""COMPUTED_VALUE"""),"[MN-02 CKPV95] - KOMATSU GD675-3EO")</f>
        <v>[MN-02 CKPV95] - KOMATSU GD675-3EO</v>
      </c>
      <c r="AH160" s="252">
        <f>IFERROR(__xludf.DUMMYFUNCTION("""COMPUTED_VALUE"""),13151.0)</f>
        <v>13151</v>
      </c>
      <c r="AI160" s="252">
        <f>IFERROR(__xludf.DUMMYFUNCTION("""COMPUTED_VALUE"""),63853.0)</f>
        <v>63853</v>
      </c>
      <c r="AJ160" s="882">
        <f>IFERROR(__xludf.DUMMYFUNCTION("""COMPUTED_VALUE"""),46094.30291666667)</f>
        <v>46094.30292</v>
      </c>
      <c r="AK160" s="882">
        <f>IFERROR(__xludf.DUMMYFUNCTION("""COMPUTED_VALUE"""),46093.386030092595)</f>
        <v>46093.38603</v>
      </c>
      <c r="AL160" s="880">
        <f>IFERROR(__xludf.DUMMYFUNCTION("""COMPUTED_VALUE"""),13482.0)</f>
        <v>13482</v>
      </c>
      <c r="AM160" s="252"/>
      <c r="AN160" s="252" t="str">
        <f>IFERROR(__xludf.DUMMYFUNCTION("""COMPUTED_VALUE"""),"OT260310150027")</f>
        <v>OT260310150027</v>
      </c>
      <c r="AO160" s="252" t="str">
        <f>IFERROR(__xludf.DUMMYFUNCTION("""COMPUTED_VALUE"""),"Hr")</f>
        <v>Hr</v>
      </c>
      <c r="AP160" s="252" t="str">
        <f>IFERROR(__xludf.DUMMYFUNCTION("""COMPUTED_VALUE"""),"IS250312121537")</f>
        <v>IS250312121537</v>
      </c>
      <c r="AQ160" s="252">
        <f>IFERROR(__xludf.DUMMYFUNCTION("""COMPUTED_VALUE"""),12008.0)</f>
        <v>12008</v>
      </c>
      <c r="AR160" s="252"/>
      <c r="AS160" s="881">
        <f>IFERROR(__xludf.DUMMYFUNCTION("""COMPUTED_VALUE"""),44927.0)</f>
        <v>44927</v>
      </c>
      <c r="AT160" s="881">
        <f>IFERROR(__xludf.DUMMYFUNCTION("""COMPUTED_VALUE"""),44927.0)</f>
        <v>44927</v>
      </c>
      <c r="AU160" s="252" t="str">
        <f>IFERROR(__xludf.DUMMYFUNCTION("""COMPUTED_VALUE"""),"RDC260313091513")</f>
        <v>RDC260313091513</v>
      </c>
      <c r="AV160" s="252" t="str">
        <f>IFERROR(__xludf.DUMMYFUNCTION("""COMPUTED_VALUE"""),"RCO260312111445")</f>
        <v>RCO260312111445</v>
      </c>
      <c r="AW160" s="252">
        <f>IFERROR(__xludf.DUMMYFUNCTION("""COMPUTED_VALUE"""),150.0)</f>
        <v>150</v>
      </c>
      <c r="AX160" s="252">
        <f>IFERROR(__xludf.DUMMYFUNCTION("""COMPUTED_VALUE"""),22.0)</f>
        <v>22</v>
      </c>
      <c r="AY160" s="252">
        <f>IFERROR(__xludf.DUMMYFUNCTION("""COMPUTED_VALUE"""),56492.0)</f>
        <v>56492</v>
      </c>
      <c r="AZ160" s="884">
        <f>IFERROR(__xludf.DUMMYFUNCTION("""COMPUTED_VALUE"""),46093.0)</f>
        <v>46093</v>
      </c>
    </row>
    <row r="161">
      <c r="A161" s="252" t="str">
        <f>IFERROR(__xludf.DUMMYFUNCTION("""COMPUTED_VALUE"""),"m000074")</f>
        <v>m000074</v>
      </c>
      <c r="B161" s="252" t="str">
        <f>IFERROR(__xludf.DUMMYFUNCTION("""COMPUTED_VALUE"""),"MN-03 KTRL62")</f>
        <v>MN-03 KTRL62</v>
      </c>
      <c r="C161" s="252" t="str">
        <f>IFERROR(__xludf.DUMMYFUNCTION("""COMPUTED_VALUE"""),"MOTONIVELADORA")</f>
        <v>MOTONIVELADORA</v>
      </c>
      <c r="D161" s="252" t="str">
        <f>IFERROR(__xludf.DUMMYFUNCTION("""COMPUTED_VALUE"""),"MOTO NIVELADORA")</f>
        <v>MOTO NIVELADORA</v>
      </c>
      <c r="E161" s="252" t="str">
        <f>IFERROR(__xludf.DUMMYFUNCTION("""COMPUTED_VALUE"""),"KOMATSU")</f>
        <v>KOMATSU</v>
      </c>
      <c r="F161" s="252" t="str">
        <f>IFERROR(__xludf.DUMMYFUNCTION("""COMPUTED_VALUE"""),"GD675-5")</f>
        <v>GD675-5</v>
      </c>
      <c r="G161" s="252">
        <f>IFERROR(__xludf.DUMMYFUNCTION("""COMPUTED_VALUE"""),2018.0)</f>
        <v>2018</v>
      </c>
      <c r="H161" s="252">
        <f>IFERROR(__xludf.DUMMYFUNCTION("""COMPUTED_VALUE"""),2.6687938E7)</f>
        <v>26687938</v>
      </c>
      <c r="I161" s="252">
        <f>IFERROR(__xludf.DUMMYFUNCTION("""COMPUTED_VALUE"""),56451.0)</f>
        <v>56451</v>
      </c>
      <c r="J161" s="252" t="str">
        <f>IFERROR(__xludf.DUMMYFUNCTION("""COMPUTED_VALUE"""),"KTRL-62")</f>
        <v>KTRL-62</v>
      </c>
      <c r="K161" s="252" t="str">
        <f>IFERROR(__xludf.DUMMYFUNCTION("""COMPUTED_VALUE"""),"ECMA")</f>
        <v>ECMA</v>
      </c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  <c r="AA161" s="252"/>
      <c r="AB161" s="252" t="str">
        <f>IFERROR(__xludf.DUMMYFUNCTION("""COMPUTED_VALUE"""),"En producción")</f>
        <v>En producción</v>
      </c>
      <c r="AC161" s="252"/>
      <c r="AD161" s="252">
        <f>IFERROR(__xludf.DUMMYFUNCTION("""COMPUTED_VALUE"""),920.0)</f>
        <v>920</v>
      </c>
      <c r="AE161" s="252" t="str">
        <f>IFERROR(__xludf.DUMMYFUNCTION("""COMPUTED_VALUE"""),"Sin incidentes")</f>
        <v>Sin incidentes</v>
      </c>
      <c r="AF161" s="252">
        <f>IFERROR(__xludf.DUMMYFUNCTION("""COMPUTED_VALUE"""),6.0)</f>
        <v>6</v>
      </c>
      <c r="AG161" s="252" t="str">
        <f>IFERROR(__xludf.DUMMYFUNCTION("""COMPUTED_VALUE"""),"[MN-03 KTRL62] - KOMATSU GD675-5")</f>
        <v>[MN-03 KTRL62] - KOMATSU GD675-5</v>
      </c>
      <c r="AH161" s="252">
        <f>IFERROR(__xludf.DUMMYFUNCTION("""COMPUTED_VALUE"""),8299.0)</f>
        <v>8299</v>
      </c>
      <c r="AI161" s="252">
        <f>IFERROR(__xludf.DUMMYFUNCTION("""COMPUTED_VALUE"""),6834.0)</f>
        <v>6834</v>
      </c>
      <c r="AJ161" s="882">
        <f>IFERROR(__xludf.DUMMYFUNCTION("""COMPUTED_VALUE"""),46096.58190972222)</f>
        <v>46096.58191</v>
      </c>
      <c r="AK161" s="882">
        <f>IFERROR(__xludf.DUMMYFUNCTION("""COMPUTED_VALUE"""),46094.49642361111)</f>
        <v>46094.49642</v>
      </c>
      <c r="AL161" s="880">
        <f>IFERROR(__xludf.DUMMYFUNCTION("""COMPUTED_VALUE"""),8557.0)</f>
        <v>8557</v>
      </c>
      <c r="AM161" s="252"/>
      <c r="AN161" s="252" t="str">
        <f>IFERROR(__xludf.DUMMYFUNCTION("""COMPUTED_VALUE"""),"OT260224180454")</f>
        <v>OT260224180454</v>
      </c>
      <c r="AO161" s="252" t="str">
        <f>IFERROR(__xludf.DUMMYFUNCTION("""COMPUTED_VALUE"""),"Hr")</f>
        <v>Hr</v>
      </c>
      <c r="AP161" s="252" t="str">
        <f>IFERROR(__xludf.DUMMYFUNCTION("""COMPUTED_VALUE"""),"IS251021175124")</f>
        <v>IS251021175124</v>
      </c>
      <c r="AQ161" s="252">
        <f>IFERROR(__xludf.DUMMYFUNCTION("""COMPUTED_VALUE"""),6944.0)</f>
        <v>6944</v>
      </c>
      <c r="AR161" s="252"/>
      <c r="AS161" s="881">
        <f>IFERROR(__xludf.DUMMYFUNCTION("""COMPUTED_VALUE"""),44927.0)</f>
        <v>44927</v>
      </c>
      <c r="AT161" s="881">
        <f>IFERROR(__xludf.DUMMYFUNCTION("""COMPUTED_VALUE"""),44927.0)</f>
        <v>44927</v>
      </c>
      <c r="AU161" s="252" t="str">
        <f>IFERROR(__xludf.DUMMYFUNCTION("""COMPUTED_VALUE"""),"RDC260315151602")</f>
        <v>RDC260315151602</v>
      </c>
      <c r="AV161" s="252" t="str">
        <f>IFERROR(__xludf.DUMMYFUNCTION("""COMPUTED_VALUE"""),"RCO260313135332")</f>
        <v>RCO260313135332</v>
      </c>
      <c r="AW161" s="252">
        <f>IFERROR(__xludf.DUMMYFUNCTION("""COMPUTED_VALUE"""),330.0)</f>
        <v>330</v>
      </c>
      <c r="AX161" s="252">
        <f>IFERROR(__xludf.DUMMYFUNCTION("""COMPUTED_VALUE"""),22.0)</f>
        <v>22</v>
      </c>
      <c r="AY161" s="252">
        <f>IFERROR(__xludf.DUMMYFUNCTION("""COMPUTED_VALUE"""),0.0)</f>
        <v>0</v>
      </c>
      <c r="AZ161" s="884">
        <f>IFERROR(__xludf.DUMMYFUNCTION("""COMPUTED_VALUE"""),46094.0)</f>
        <v>46094</v>
      </c>
    </row>
    <row r="162">
      <c r="A162" s="252" t="str">
        <f>IFERROR(__xludf.DUMMYFUNCTION("""COMPUTED_VALUE"""),"m000075")</f>
        <v>m000075</v>
      </c>
      <c r="B162" s="252" t="str">
        <f>IFERROR(__xludf.DUMMYFUNCTION("""COMPUTED_VALUE"""),"MX-01")</f>
        <v>MX-01</v>
      </c>
      <c r="C162" s="252" t="str">
        <f>IFERROR(__xludf.DUMMYFUNCTION("""COMPUTED_VALUE"""),"MAQUINARIA")</f>
        <v>MAQUINARIA</v>
      </c>
      <c r="D162" s="252" t="str">
        <f>IFERROR(__xludf.DUMMYFUNCTION("""COMPUTED_VALUE"""),"MINI- EXCAVADORA")</f>
        <v>MINI- EXCAVADORA</v>
      </c>
      <c r="E162" s="252" t="str">
        <f>IFERROR(__xludf.DUMMYFUNCTION("""COMPUTED_VALUE"""),"CATERPILLAR")</f>
        <v>CATERPILLAR</v>
      </c>
      <c r="F162" s="252" t="str">
        <f>IFERROR(__xludf.DUMMYFUNCTION("""COMPUTED_VALUE"""),"308B CR")</f>
        <v>308B CR</v>
      </c>
      <c r="G162" s="252">
        <f>IFERROR(__xludf.DUMMYFUNCTION("""COMPUTED_VALUE"""),2000.0)</f>
        <v>2000</v>
      </c>
      <c r="H162" s="252" t="str">
        <f>IFERROR(__xludf.DUMMYFUNCTION("""COMPUTED_VALUE"""),"CX1194")</f>
        <v>CX1194</v>
      </c>
      <c r="I162" s="252" t="str">
        <f>IFERROR(__xludf.DUMMYFUNCTION("""COMPUTED_VALUE"""),"3YS02362")</f>
        <v>3YS02362</v>
      </c>
      <c r="J162" s="252"/>
      <c r="K162" s="252" t="str">
        <f>IFERROR(__xludf.DUMMYFUNCTION("""COMPUTED_VALUE"""),"ECMA")</f>
        <v>ECMA</v>
      </c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>
        <f>IFERROR(__xludf.DUMMYFUNCTION("""COMPUTED_VALUE"""),0.0)</f>
        <v>0</v>
      </c>
      <c r="W162" s="252">
        <f>IFERROR(__xludf.DUMMYFUNCTION("""COMPUTED_VALUE"""),5.0)</f>
        <v>5</v>
      </c>
      <c r="X162" s="252">
        <f>IFERROR(__xludf.DUMMYFUNCTION("""COMPUTED_VALUE"""),5.0)</f>
        <v>5</v>
      </c>
      <c r="Y162" s="252">
        <f>IFERROR(__xludf.DUMMYFUNCTION("""COMPUTED_VALUE"""),5.0)</f>
        <v>5</v>
      </c>
      <c r="Z162" s="252">
        <f>IFERROR(__xludf.DUMMYFUNCTION("""COMPUTED_VALUE"""),9.0)</f>
        <v>9</v>
      </c>
      <c r="AA162" s="252">
        <f>IFERROR(__xludf.DUMMYFUNCTION("""COMPUTED_VALUE"""),9.0)</f>
        <v>9</v>
      </c>
      <c r="AB162" s="252" t="str">
        <f>IFERROR(__xludf.DUMMYFUNCTION("""COMPUTED_VALUE"""),"Patio LL")</f>
        <v>Patio LL</v>
      </c>
      <c r="AC162" s="252"/>
      <c r="AD162" s="252"/>
      <c r="AE162" s="252" t="str">
        <f>IFERROR(__xludf.DUMMYFUNCTION("""COMPUTED_VALUE"""),"Sin incidentes")</f>
        <v>Sin incidentes</v>
      </c>
      <c r="AF162" s="252">
        <f>IFERROR(__xludf.DUMMYFUNCTION("""COMPUTED_VALUE"""),1.0)</f>
        <v>1</v>
      </c>
      <c r="AG162" s="252" t="str">
        <f>IFERROR(__xludf.DUMMYFUNCTION("""COMPUTED_VALUE"""),"[MX-01] - CATERPILLAR 308B CR")</f>
        <v>[MX-01] - CATERPILLAR 308B CR</v>
      </c>
      <c r="AH162" s="252"/>
      <c r="AI162" s="252"/>
      <c r="AJ162" s="252"/>
      <c r="AK162" s="252"/>
      <c r="AL162" s="880" t="str">
        <f>IFERROR(__xludf.DUMMYFUNCTION("""COMPUTED_VALUE"""),"")</f>
        <v/>
      </c>
      <c r="AM162" s="880" t="str">
        <f>IFERROR(__xludf.DUMMYFUNCTION("""COMPUTED_VALUE"""),"")</f>
        <v/>
      </c>
      <c r="AN162" s="252"/>
      <c r="AO162" s="252" t="str">
        <f>IFERROR(__xludf.DUMMYFUNCTION("""COMPUTED_VALUE"""),"Hr")</f>
        <v>Hr</v>
      </c>
      <c r="AP162" s="252" t="str">
        <f>IFERROR(__xludf.DUMMYFUNCTION("""COMPUTED_VALUE"""),"IS250820171941")</f>
        <v>IS250820171941</v>
      </c>
      <c r="AQ162" s="252"/>
      <c r="AR162" s="252"/>
      <c r="AS162" s="881">
        <f>IFERROR(__xludf.DUMMYFUNCTION("""COMPUTED_VALUE"""),44927.0)</f>
        <v>44927</v>
      </c>
      <c r="AT162" s="881">
        <f>IFERROR(__xludf.DUMMYFUNCTION("""COMPUTED_VALUE"""),44927.0)</f>
        <v>44927</v>
      </c>
      <c r="AU162" s="252"/>
      <c r="AV162" s="252"/>
      <c r="AW162" s="252"/>
      <c r="AX162" s="252"/>
      <c r="AY162" s="252"/>
      <c r="AZ162" s="252"/>
    </row>
    <row r="163">
      <c r="A163" s="252" t="str">
        <f>IFERROR(__xludf.DUMMYFUNCTION("""COMPUTED_VALUE"""),"m000076")</f>
        <v>m000076</v>
      </c>
      <c r="B163" s="252" t="str">
        <f>IFERROR(__xludf.DUMMYFUNCTION("""COMPUTED_VALUE"""),"MX-02 HWFT99")</f>
        <v>MX-02 HWFT99</v>
      </c>
      <c r="C163" s="252" t="str">
        <f>IFERROR(__xludf.DUMMYFUNCTION("""COMPUTED_VALUE"""),"RETROEXCAVADORA")</f>
        <v>RETROEXCAVADORA</v>
      </c>
      <c r="D163" s="252" t="str">
        <f>IFERROR(__xludf.DUMMYFUNCTION("""COMPUTED_VALUE"""),"MINI- EXCAVADORA")</f>
        <v>MINI- EXCAVADORA</v>
      </c>
      <c r="E163" s="252" t="str">
        <f>IFERROR(__xludf.DUMMYFUNCTION("""COMPUTED_VALUE"""),"WACKER")</f>
        <v>WACKER</v>
      </c>
      <c r="F163" s="252" t="str">
        <f>IFERROR(__xludf.DUMMYFUNCTION("""COMPUTED_VALUE"""),"NEUSON 3503")</f>
        <v>NEUSON 3503</v>
      </c>
      <c r="G163" s="252"/>
      <c r="H163" s="252"/>
      <c r="I163" s="252"/>
      <c r="J163" s="252"/>
      <c r="K163" s="252" t="str">
        <f>IFERROR(__xludf.DUMMYFUNCTION("""COMPUTED_VALUE"""),"ECMA")</f>
        <v>ECMA</v>
      </c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>
        <f>IFERROR(__xludf.DUMMYFUNCTION("""COMPUTED_VALUE"""),0.0)</f>
        <v>0</v>
      </c>
      <c r="W163" s="252">
        <f>IFERROR(__xludf.DUMMYFUNCTION("""COMPUTED_VALUE"""),5.0)</f>
        <v>5</v>
      </c>
      <c r="X163" s="252">
        <f>IFERROR(__xludf.DUMMYFUNCTION("""COMPUTED_VALUE"""),5.0)</f>
        <v>5</v>
      </c>
      <c r="Y163" s="252">
        <f>IFERROR(__xludf.DUMMYFUNCTION("""COMPUTED_VALUE"""),5.0)</f>
        <v>5</v>
      </c>
      <c r="Z163" s="252">
        <f>IFERROR(__xludf.DUMMYFUNCTION("""COMPUTED_VALUE"""),9.0)</f>
        <v>9</v>
      </c>
      <c r="AA163" s="252">
        <f>IFERROR(__xludf.DUMMYFUNCTION("""COMPUTED_VALUE"""),9.0)</f>
        <v>9</v>
      </c>
      <c r="AB163" s="252" t="str">
        <f>IFERROR(__xludf.DUMMYFUNCTION("""COMPUTED_VALUE"""),"Patio LL")</f>
        <v>Patio LL</v>
      </c>
      <c r="AC163" s="252"/>
      <c r="AD163" s="252">
        <f>IFERROR(__xludf.DUMMYFUNCTION("""COMPUTED_VALUE"""),795.0)</f>
        <v>795</v>
      </c>
      <c r="AE163" s="252" t="str">
        <f>IFERROR(__xludf.DUMMYFUNCTION("""COMPUTED_VALUE"""),"Sin incidentes")</f>
        <v>Sin incidentes</v>
      </c>
      <c r="AF163" s="252">
        <f>IFERROR(__xludf.DUMMYFUNCTION("""COMPUTED_VALUE"""),1.0)</f>
        <v>1</v>
      </c>
      <c r="AG163" s="252" t="str">
        <f>IFERROR(__xludf.DUMMYFUNCTION("""COMPUTED_VALUE"""),"[MX-02 HWFT99] - WACKER NEUSON 3503")</f>
        <v>[MX-02 HWFT99] - WACKER NEUSON 3503</v>
      </c>
      <c r="AH163" s="252">
        <f>IFERROR(__xludf.DUMMYFUNCTION("""COMPUTED_VALUE"""),7306.0)</f>
        <v>7306</v>
      </c>
      <c r="AI163" s="252">
        <f>IFERROR(__xludf.DUMMYFUNCTION("""COMPUTED_VALUE"""),1555.0)</f>
        <v>1555</v>
      </c>
      <c r="AJ163" s="882">
        <f>IFERROR(__xludf.DUMMYFUNCTION("""COMPUTED_VALUE"""),46093.25895833333)</f>
        <v>46093.25896</v>
      </c>
      <c r="AK163" s="882">
        <f>IFERROR(__xludf.DUMMYFUNCTION("""COMPUTED_VALUE"""),46093.258993055555)</f>
        <v>46093.25899</v>
      </c>
      <c r="AL163" s="880">
        <f>IFERROR(__xludf.DUMMYFUNCTION("""COMPUTED_VALUE"""),7586.0)</f>
        <v>7586</v>
      </c>
      <c r="AM163" s="880" t="str">
        <f>IFERROR(__xludf.DUMMYFUNCTION("""COMPUTED_VALUE"""),"")</f>
        <v/>
      </c>
      <c r="AN163" s="252" t="str">
        <f>IFERROR(__xludf.DUMMYFUNCTION("""COMPUTED_VALUE"""),"OT251110090849")</f>
        <v>OT251110090849</v>
      </c>
      <c r="AO163" s="252" t="str">
        <f>IFERROR(__xludf.DUMMYFUNCTION("""COMPUTED_VALUE"""),"Hr")</f>
        <v>Hr</v>
      </c>
      <c r="AP163" s="252"/>
      <c r="AQ163" s="252">
        <f>IFERROR(__xludf.DUMMYFUNCTION("""COMPUTED_VALUE"""),6959.0)</f>
        <v>6959</v>
      </c>
      <c r="AR163" s="252"/>
      <c r="AS163" s="881">
        <f>IFERROR(__xludf.DUMMYFUNCTION("""COMPUTED_VALUE"""),44927.0)</f>
        <v>44927</v>
      </c>
      <c r="AT163" s="881">
        <f>IFERROR(__xludf.DUMMYFUNCTION("""COMPUTED_VALUE"""),44927.0)</f>
        <v>44927</v>
      </c>
      <c r="AU163" s="252" t="str">
        <f>IFERROR(__xludf.DUMMYFUNCTION("""COMPUTED_VALUE"""),"RDC260311211057")</f>
        <v>RDC260311211057</v>
      </c>
      <c r="AV163" s="252" t="str">
        <f>IFERROR(__xludf.DUMMYFUNCTION("""COMPUTED_VALUE"""),"RCO260302111517")</f>
        <v>RCO260302111517</v>
      </c>
      <c r="AW163" s="252">
        <f>IFERROR(__xludf.DUMMYFUNCTION("""COMPUTED_VALUE"""),37.0)</f>
        <v>37</v>
      </c>
      <c r="AX163" s="252">
        <f>IFERROR(__xludf.DUMMYFUNCTION("""COMPUTED_VALUE"""),12.0)</f>
        <v>12</v>
      </c>
      <c r="AY163" s="252"/>
      <c r="AZ163" s="883">
        <f>IFERROR(__xludf.DUMMYFUNCTION("""COMPUTED_VALUE"""),46083.0)</f>
        <v>46083</v>
      </c>
    </row>
    <row r="164">
      <c r="A164" s="252" t="str">
        <f>IFERROR(__xludf.DUMMYFUNCTION("""COMPUTED_VALUE"""),"m000077")</f>
        <v>m000077</v>
      </c>
      <c r="B164" s="252" t="str">
        <f>IFERROR(__xludf.DUMMYFUNCTION("""COMPUTED_VALUE"""),"MX-03 KHSJ37")</f>
        <v>MX-03 KHSJ37</v>
      </c>
      <c r="C164" s="252" t="str">
        <f>IFERROR(__xludf.DUMMYFUNCTION("""COMPUTED_VALUE"""),"EXCAVADORA")</f>
        <v>EXCAVADORA</v>
      </c>
      <c r="D164" s="252" t="str">
        <f>IFERROR(__xludf.DUMMYFUNCTION("""COMPUTED_VALUE"""),"MINI- EXCAVADORA")</f>
        <v>MINI- EXCAVADORA</v>
      </c>
      <c r="E164" s="252" t="str">
        <f>IFERROR(__xludf.DUMMYFUNCTION("""COMPUTED_VALUE"""),"JCB")</f>
        <v>JCB</v>
      </c>
      <c r="F164" s="252" t="str">
        <f>IFERROR(__xludf.DUMMYFUNCTION("""COMPUTED_VALUE"""),"8035ZTS")</f>
        <v>8035ZTS</v>
      </c>
      <c r="G164" s="252">
        <f>IFERROR(__xludf.DUMMYFUNCTION("""COMPUTED_VALUE"""),2018.0)</f>
        <v>2018</v>
      </c>
      <c r="H164" s="252" t="str">
        <f>IFERROR(__xludf.DUMMYFUNCTION("""COMPUTED_VALUE"""),"GS65778J632746C")</f>
        <v>GS65778J632746C</v>
      </c>
      <c r="I164" s="252" t="str">
        <f>IFERROR(__xludf.DUMMYFUNCTION("""COMPUTED_VALUE"""),"JCB08035EH2575389")</f>
        <v>JCB08035EH2575389</v>
      </c>
      <c r="J164" s="252" t="str">
        <f>IFERROR(__xludf.DUMMYFUNCTION("""COMPUTED_VALUE"""),"KHSJ.37-7")</f>
        <v>KHSJ.37-7</v>
      </c>
      <c r="K164" s="252" t="str">
        <f>IFERROR(__xludf.DUMMYFUNCTION("""COMPUTED_VALUE"""),"MATERRA")</f>
        <v>MATERRA</v>
      </c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>
        <f>IFERROR(__xludf.DUMMYFUNCTION("""COMPUTED_VALUE"""),0.0)</f>
        <v>0</v>
      </c>
      <c r="W164" s="252">
        <f>IFERROR(__xludf.DUMMYFUNCTION("""COMPUTED_VALUE"""),5.0)</f>
        <v>5</v>
      </c>
      <c r="X164" s="252">
        <f>IFERROR(__xludf.DUMMYFUNCTION("""COMPUTED_VALUE"""),5.0)</f>
        <v>5</v>
      </c>
      <c r="Y164" s="252">
        <f>IFERROR(__xludf.DUMMYFUNCTION("""COMPUTED_VALUE"""),5.0)</f>
        <v>5</v>
      </c>
      <c r="Z164" s="252">
        <f>IFERROR(__xludf.DUMMYFUNCTION("""COMPUTED_VALUE"""),9.0)</f>
        <v>9</v>
      </c>
      <c r="AA164" s="252">
        <f>IFERROR(__xludf.DUMMYFUNCTION("""COMPUTED_VALUE"""),9.0)</f>
        <v>9</v>
      </c>
      <c r="AB164" s="252" t="str">
        <f>IFERROR(__xludf.DUMMYFUNCTION("""COMPUTED_VALUE"""),"En producción")</f>
        <v>En producción</v>
      </c>
      <c r="AC164" s="252"/>
      <c r="AD164" s="252"/>
      <c r="AE164" s="252" t="str">
        <f>IFERROR(__xludf.DUMMYFUNCTION("""COMPUTED_VALUE"""),"Sin incidentes")</f>
        <v>Sin incidentes</v>
      </c>
      <c r="AF164" s="252">
        <f>IFERROR(__xludf.DUMMYFUNCTION("""COMPUTED_VALUE"""),1.0)</f>
        <v>1</v>
      </c>
      <c r="AG164" s="252" t="str">
        <f>IFERROR(__xludf.DUMMYFUNCTION("""COMPUTED_VALUE"""),"[MX-03 KHSJ37] - JCB 8035ZTS")</f>
        <v>[MX-03 KHSJ37] - JCB 8035ZTS</v>
      </c>
      <c r="AH164" s="252">
        <f>IFERROR(__xludf.DUMMYFUNCTION("""COMPUTED_VALUE"""),3426.0)</f>
        <v>3426</v>
      </c>
      <c r="AI164" s="252">
        <f>IFERROR(__xludf.DUMMYFUNCTION("""COMPUTED_VALUE"""),1.0)</f>
        <v>1</v>
      </c>
      <c r="AJ164" s="882">
        <f>IFERROR(__xludf.DUMMYFUNCTION("""COMPUTED_VALUE"""),46038.340092592596)</f>
        <v>46038.34009</v>
      </c>
      <c r="AK164" s="882">
        <f>IFERROR(__xludf.DUMMYFUNCTION("""COMPUTED_VALUE"""),45975.551412037035)</f>
        <v>45975.55141</v>
      </c>
      <c r="AL164" s="880">
        <f>IFERROR(__xludf.DUMMYFUNCTION("""COMPUTED_VALUE"""),3718.0)</f>
        <v>3718</v>
      </c>
      <c r="AM164" s="880" t="str">
        <f>IFERROR(__xludf.DUMMYFUNCTION("""COMPUTED_VALUE"""),"")</f>
        <v/>
      </c>
      <c r="AN164" s="252" t="str">
        <f>IFERROR(__xludf.DUMMYFUNCTION("""COMPUTED_VALUE"""),"OT241029120305")</f>
        <v>OT241029120305</v>
      </c>
      <c r="AO164" s="252" t="str">
        <f>IFERROR(__xludf.DUMMYFUNCTION("""COMPUTED_VALUE"""),"Hr")</f>
        <v>Hr</v>
      </c>
      <c r="AP164" s="252"/>
      <c r="AQ164" s="252">
        <f>IFERROR(__xludf.DUMMYFUNCTION("""COMPUTED_VALUE"""),3403.0)</f>
        <v>3403</v>
      </c>
      <c r="AR164" s="252"/>
      <c r="AS164" s="881">
        <f>IFERROR(__xludf.DUMMYFUNCTION("""COMPUTED_VALUE"""),44927.0)</f>
        <v>44927</v>
      </c>
      <c r="AT164" s="881">
        <f>IFERROR(__xludf.DUMMYFUNCTION("""COMPUTED_VALUE"""),44927.0)</f>
        <v>44927</v>
      </c>
      <c r="AU164" s="252" t="str">
        <f>IFERROR(__xludf.DUMMYFUNCTION("""COMPUTED_VALUE"""),"RDC250114090331")</f>
        <v>RDC250114090331</v>
      </c>
      <c r="AV164" s="252" t="str">
        <f>IFERROR(__xludf.DUMMYFUNCTION("""COMPUTED_VALUE"""),"RCO251114150847")</f>
        <v>RCO251114150847</v>
      </c>
      <c r="AW164" s="252">
        <f>IFERROR(__xludf.DUMMYFUNCTION("""COMPUTED_VALUE"""),21.0)</f>
        <v>21</v>
      </c>
      <c r="AX164" s="252">
        <f>IFERROR(__xludf.DUMMYFUNCTION("""COMPUTED_VALUE"""),8.0)</f>
        <v>8</v>
      </c>
      <c r="AY164" s="252"/>
      <c r="AZ164" s="883">
        <f>IFERROR(__xludf.DUMMYFUNCTION("""COMPUTED_VALUE"""),45975.0)</f>
        <v>45975</v>
      </c>
    </row>
    <row r="165">
      <c r="A165" s="252" t="str">
        <f>IFERROR(__xludf.DUMMYFUNCTION("""COMPUTED_VALUE"""),"m000078")</f>
        <v>m000078</v>
      </c>
      <c r="B165" s="252" t="str">
        <f>IFERROR(__xludf.DUMMYFUNCTION("""COMPUTED_VALUE"""),"P-01")</f>
        <v>P-01</v>
      </c>
      <c r="C165" s="252" t="str">
        <f>IFERROR(__xludf.DUMMYFUNCTION("""COMPUTED_VALUE"""),"MAQUINARIA")</f>
        <v>MAQUINARIA</v>
      </c>
      <c r="D165" s="252" t="str">
        <f>IFERROR(__xludf.DUMMYFUNCTION("""COMPUTED_VALUE"""),"CHANCADORA")</f>
        <v>CHANCADORA</v>
      </c>
      <c r="E165" s="252" t="str">
        <f>IFERROR(__xludf.DUMMYFUNCTION("""COMPUTED_VALUE"""),"TSAB")</f>
        <v>TSAB</v>
      </c>
      <c r="F165" s="252" t="str">
        <f>IFERROR(__xludf.DUMMYFUNCTION("""COMPUTED_VALUE"""),"623CT")</f>
        <v>623CT</v>
      </c>
      <c r="G165" s="252">
        <f>IFERROR(__xludf.DUMMYFUNCTION("""COMPUTED_VALUE"""),2003.0)</f>
        <v>2003</v>
      </c>
      <c r="H165" s="252" t="str">
        <f>IFERROR(__xludf.DUMMYFUNCTION("""COMPUTED_VALUE"""),"CATERPILLAR 3126")</f>
        <v>CATERPILLAR 3126</v>
      </c>
      <c r="I165" s="252"/>
      <c r="J165" s="252"/>
      <c r="K165" s="252" t="str">
        <f>IFERROR(__xludf.DUMMYFUNCTION("""COMPUTED_VALUE"""),"MATERRA")</f>
        <v>MATERRA</v>
      </c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  <c r="AA165" s="252"/>
      <c r="AB165" s="252" t="str">
        <f>IFERROR(__xludf.DUMMYFUNCTION("""COMPUTED_VALUE"""),"Patio LL")</f>
        <v>Patio LL</v>
      </c>
      <c r="AC165" s="252"/>
      <c r="AD165" s="252">
        <f>IFERROR(__xludf.DUMMYFUNCTION("""COMPUTED_VALUE"""),188.0)</f>
        <v>188</v>
      </c>
      <c r="AE165" s="252" t="str">
        <f>IFERROR(__xludf.DUMMYFUNCTION("""COMPUTED_VALUE"""),"Sin incidentes")</f>
        <v>Sin incidentes</v>
      </c>
      <c r="AF165" s="252">
        <f>IFERROR(__xludf.DUMMYFUNCTION("""COMPUTED_VALUE"""),1.0)</f>
        <v>1</v>
      </c>
      <c r="AG165" s="252" t="str">
        <f>IFERROR(__xludf.DUMMYFUNCTION("""COMPUTED_VALUE"""),"[P-01] - TSAB 623CT")</f>
        <v>[P-01] - TSAB 623CT</v>
      </c>
      <c r="AH165" s="252">
        <f>IFERROR(__xludf.DUMMYFUNCTION("""COMPUTED_VALUE"""),1.0)</f>
        <v>1</v>
      </c>
      <c r="AI165" s="252">
        <f>IFERROR(__xludf.DUMMYFUNCTION("""COMPUTED_VALUE"""),1.0)</f>
        <v>1</v>
      </c>
      <c r="AJ165" s="882">
        <f>IFERROR(__xludf.DUMMYFUNCTION("""COMPUTED_VALUE"""),45931.41056712963)</f>
        <v>45931.41057</v>
      </c>
      <c r="AK165" s="882">
        <f>IFERROR(__xludf.DUMMYFUNCTION("""COMPUTED_VALUE"""),45931.41063657407)</f>
        <v>45931.41064</v>
      </c>
      <c r="AL165" s="880">
        <f>IFERROR(__xludf.DUMMYFUNCTION("""COMPUTED_VALUE"""),2007.0)</f>
        <v>2007</v>
      </c>
      <c r="AM165" s="880" t="str">
        <f>IFERROR(__xludf.DUMMYFUNCTION("""COMPUTED_VALUE"""),"")</f>
        <v/>
      </c>
      <c r="AN165" s="252"/>
      <c r="AO165" s="252" t="str">
        <f>IFERROR(__xludf.DUMMYFUNCTION("""COMPUTED_VALUE"""),"Hr")</f>
        <v>Hr</v>
      </c>
      <c r="AP165" s="252" t="str">
        <f>IFERROR(__xludf.DUMMYFUNCTION("""COMPUTED_VALUE"""),"IS250327175637")</f>
        <v>IS250327175637</v>
      </c>
      <c r="AQ165" s="252">
        <f>IFERROR(__xludf.DUMMYFUNCTION("""COMPUTED_VALUE"""),1954.0)</f>
        <v>1954</v>
      </c>
      <c r="AR165" s="252"/>
      <c r="AS165" s="881">
        <f>IFERROR(__xludf.DUMMYFUNCTION("""COMPUTED_VALUE"""),44927.0)</f>
        <v>44927</v>
      </c>
      <c r="AT165" s="881">
        <f>IFERROR(__xludf.DUMMYFUNCTION("""COMPUTED_VALUE"""),44927.0)</f>
        <v>44927</v>
      </c>
      <c r="AU165" s="252"/>
      <c r="AV165" s="252"/>
      <c r="AW165" s="252"/>
      <c r="AX165" s="252"/>
      <c r="AY165" s="252"/>
      <c r="AZ165" s="252"/>
    </row>
    <row r="166">
      <c r="A166" s="252" t="str">
        <f>IFERROR(__xludf.DUMMYFUNCTION("""COMPUTED_VALUE"""),"m000079")</f>
        <v>m000079</v>
      </c>
      <c r="B166" s="252" t="str">
        <f>IFERROR(__xludf.DUMMYFUNCTION("""COMPUTED_VALUE"""),"P-02")</f>
        <v>P-02</v>
      </c>
      <c r="C166" s="252" t="str">
        <f>IFERROR(__xludf.DUMMYFUNCTION("""COMPUTED_VALUE"""),"MAQUINARIA")</f>
        <v>MAQUINARIA</v>
      </c>
      <c r="D166" s="252" t="str">
        <f>IFERROR(__xludf.DUMMYFUNCTION("""COMPUTED_VALUE"""),"SELECCIONADORA ")</f>
        <v>SELECCIONADORA </v>
      </c>
      <c r="E166" s="252" t="str">
        <f>IFERROR(__xludf.DUMMYFUNCTION("""COMPUTED_VALUE"""),"POWERSREEN")</f>
        <v>POWERSREEN</v>
      </c>
      <c r="F166" s="252" t="str">
        <f>IFERROR(__xludf.DUMMYFUNCTION("""COMPUTED_VALUE"""),"TURBO CHIEFTAIN 1400")</f>
        <v>TURBO CHIEFTAIN 1400</v>
      </c>
      <c r="G166" s="252"/>
      <c r="H166" s="252"/>
      <c r="I166" s="252"/>
      <c r="J166" s="252"/>
      <c r="K166" s="252" t="str">
        <f>IFERROR(__xludf.DUMMYFUNCTION("""COMPUTED_VALUE"""),"MATERRA")</f>
        <v>MATERRA</v>
      </c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  <c r="AA166" s="252"/>
      <c r="AB166" s="252" t="str">
        <f>IFERROR(__xludf.DUMMYFUNCTION("""COMPUTED_VALUE"""),"En producción")</f>
        <v>En producción</v>
      </c>
      <c r="AC166" s="252"/>
      <c r="AD166" s="252">
        <f>IFERROR(__xludf.DUMMYFUNCTION("""COMPUTED_VALUE"""),187.0)</f>
        <v>187</v>
      </c>
      <c r="AE166" s="252" t="str">
        <f>IFERROR(__xludf.DUMMYFUNCTION("""COMPUTED_VALUE"""),"Sin incidentes")</f>
        <v>Sin incidentes</v>
      </c>
      <c r="AF166" s="252">
        <f>IFERROR(__xludf.DUMMYFUNCTION("""COMPUTED_VALUE"""),1.0)</f>
        <v>1</v>
      </c>
      <c r="AG166" s="252" t="str">
        <f>IFERROR(__xludf.DUMMYFUNCTION("""COMPUTED_VALUE"""),"[P-02] - POWERSREEN TURBO CHIEFTAIN 1400")</f>
        <v>[P-02] - POWERSREEN TURBO CHIEFTAIN 1400</v>
      </c>
      <c r="AH166" s="252">
        <f>IFERROR(__xludf.DUMMYFUNCTION("""COMPUTED_VALUE"""),8195.0)</f>
        <v>8195</v>
      </c>
      <c r="AI166" s="252"/>
      <c r="AJ166" s="882">
        <f>IFERROR(__xludf.DUMMYFUNCTION("""COMPUTED_VALUE"""),46037.31753472222)</f>
        <v>46037.31753</v>
      </c>
      <c r="AK166" s="252"/>
      <c r="AL166" s="880">
        <f>IFERROR(__xludf.DUMMYFUNCTION("""COMPUTED_VALUE"""),8496.0)</f>
        <v>8496</v>
      </c>
      <c r="AM166" s="880" t="str">
        <f>IFERROR(__xludf.DUMMYFUNCTION("""COMPUTED_VALUE"""),"")</f>
        <v/>
      </c>
      <c r="AN166" s="252" t="str">
        <f>IFERROR(__xludf.DUMMYFUNCTION("""COMPUTED_VALUE"""),"OT250925091536")</f>
        <v>OT250925091536</v>
      </c>
      <c r="AO166" s="252" t="str">
        <f>IFERROR(__xludf.DUMMYFUNCTION("""COMPUTED_VALUE"""),"Hr")</f>
        <v>Hr</v>
      </c>
      <c r="AP166" s="252"/>
      <c r="AQ166" s="252">
        <f>IFERROR(__xludf.DUMMYFUNCTION("""COMPUTED_VALUE"""),7389.0)</f>
        <v>7389</v>
      </c>
      <c r="AR166" s="252"/>
      <c r="AS166" s="881">
        <f>IFERROR(__xludf.DUMMYFUNCTION("""COMPUTED_VALUE"""),44927.0)</f>
        <v>44927</v>
      </c>
      <c r="AT166" s="881">
        <f>IFERROR(__xludf.DUMMYFUNCTION("""COMPUTED_VALUE"""),44927.0)</f>
        <v>44927</v>
      </c>
      <c r="AU166" s="252" t="str">
        <f>IFERROR(__xludf.DUMMYFUNCTION("""COMPUTED_VALUE"""),"RDC241018104700")</f>
        <v>RDC241018104700</v>
      </c>
      <c r="AV166" s="252" t="str">
        <f>IFERROR(__xludf.DUMMYFUNCTION("""COMPUTED_VALUE"""),"RCO260115093558")</f>
        <v>RCO260115093558</v>
      </c>
      <c r="AW166" s="252">
        <f>IFERROR(__xludf.DUMMYFUNCTION("""COMPUTED_VALUE"""),253.0)</f>
        <v>253</v>
      </c>
      <c r="AX166" s="252">
        <f>IFERROR(__xludf.DUMMYFUNCTION("""COMPUTED_VALUE"""),28.0)</f>
        <v>28</v>
      </c>
      <c r="AY166" s="252"/>
      <c r="AZ166" s="884">
        <f>IFERROR(__xludf.DUMMYFUNCTION("""COMPUTED_VALUE"""),46037.0)</f>
        <v>46037</v>
      </c>
    </row>
    <row r="167">
      <c r="A167" s="252" t="str">
        <f>IFERROR(__xludf.DUMMYFUNCTION("""COMPUTED_VALUE"""),"m000080")</f>
        <v>m000080</v>
      </c>
      <c r="B167" s="252" t="str">
        <f>IFERROR(__xludf.DUMMYFUNCTION("""COMPUTED_VALUE"""),"P-03")</f>
        <v>P-03</v>
      </c>
      <c r="C167" s="252" t="str">
        <f>IFERROR(__xludf.DUMMYFUNCTION("""COMPUTED_VALUE"""),"MAQUINARIA")</f>
        <v>MAQUINARIA</v>
      </c>
      <c r="D167" s="252" t="str">
        <f>IFERROR(__xludf.DUMMYFUNCTION("""COMPUTED_VALUE"""),"SELECCIONADORA")</f>
        <v>SELECCIONADORA</v>
      </c>
      <c r="E167" s="252" t="str">
        <f>IFERROR(__xludf.DUMMYFUNCTION("""COMPUTED_VALUE"""),"POWERSREEN")</f>
        <v>POWERSREEN</v>
      </c>
      <c r="F167" s="252" t="str">
        <f>IFERROR(__xludf.DUMMYFUNCTION("""COMPUTED_VALUE"""),"SYMMONNS 3PIES")</f>
        <v>SYMMONNS 3PIES</v>
      </c>
      <c r="G167" s="252"/>
      <c r="H167" s="252"/>
      <c r="I167" s="252"/>
      <c r="J167" s="252"/>
      <c r="K167" s="252" t="str">
        <f>IFERROR(__xludf.DUMMYFUNCTION("""COMPUTED_VALUE"""),"MATERRA")</f>
        <v>MATERRA</v>
      </c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  <c r="AA167" s="252"/>
      <c r="AB167" s="252" t="str">
        <f>IFERROR(__xludf.DUMMYFUNCTION("""COMPUTED_VALUE"""),"Patio LL")</f>
        <v>Patio LL</v>
      </c>
      <c r="AC167" s="252"/>
      <c r="AD167" s="252"/>
      <c r="AE167" s="252" t="str">
        <f>IFERROR(__xludf.DUMMYFUNCTION("""COMPUTED_VALUE"""),"Sin incidentes")</f>
        <v>Sin incidentes</v>
      </c>
      <c r="AF167" s="252">
        <f>IFERROR(__xludf.DUMMYFUNCTION("""COMPUTED_VALUE"""),1.0)</f>
        <v>1</v>
      </c>
      <c r="AG167" s="252" t="str">
        <f>IFERROR(__xludf.DUMMYFUNCTION("""COMPUTED_VALUE"""),"[P-03] - POWERSREEN SYMMONNS 3PIES")</f>
        <v>[P-03] - POWERSREEN SYMMONNS 3PIES</v>
      </c>
      <c r="AH167" s="252">
        <f>IFERROR(__xludf.DUMMYFUNCTION("""COMPUTED_VALUE"""),1198.0)</f>
        <v>1198</v>
      </c>
      <c r="AI167" s="252"/>
      <c r="AJ167" s="882">
        <f>IFERROR(__xludf.DUMMYFUNCTION("""COMPUTED_VALUE"""),45937.32065972222)</f>
        <v>45937.32066</v>
      </c>
      <c r="AK167" s="252"/>
      <c r="AL167" s="880">
        <f>IFERROR(__xludf.DUMMYFUNCTION("""COMPUTED_VALUE"""),1548.0)</f>
        <v>1548</v>
      </c>
      <c r="AM167" s="880" t="str">
        <f>IFERROR(__xludf.DUMMYFUNCTION("""COMPUTED_VALUE"""),"")</f>
        <v/>
      </c>
      <c r="AN167" s="252" t="str">
        <f>IFERROR(__xludf.DUMMYFUNCTION("""COMPUTED_VALUE"""),"OT250925091145")</f>
        <v>OT250925091145</v>
      </c>
      <c r="AO167" s="252" t="str">
        <f>IFERROR(__xludf.DUMMYFUNCTION("""COMPUTED_VALUE"""),"Hr")</f>
        <v>Hr</v>
      </c>
      <c r="AP167" s="252"/>
      <c r="AQ167" s="252"/>
      <c r="AR167" s="252"/>
      <c r="AS167" s="881">
        <f>IFERROR(__xludf.DUMMYFUNCTION("""COMPUTED_VALUE"""),44927.0)</f>
        <v>44927</v>
      </c>
      <c r="AT167" s="881">
        <f>IFERROR(__xludf.DUMMYFUNCTION("""COMPUTED_VALUE"""),44927.0)</f>
        <v>44927</v>
      </c>
      <c r="AU167" s="252"/>
      <c r="AV167" s="252" t="str">
        <f>IFERROR(__xludf.DUMMYFUNCTION("""COMPUTED_VALUE"""),"RCO251007093943")</f>
        <v>RCO251007093943</v>
      </c>
      <c r="AW167" s="252">
        <f>IFERROR(__xludf.DUMMYFUNCTION("""COMPUTED_VALUE"""),300.0)</f>
        <v>300</v>
      </c>
      <c r="AX167" s="252"/>
      <c r="AY167" s="252"/>
      <c r="AZ167" s="881">
        <f>IFERROR(__xludf.DUMMYFUNCTION("""COMPUTED_VALUE"""),45937.0)</f>
        <v>45937</v>
      </c>
    </row>
    <row r="168">
      <c r="A168" s="252" t="str">
        <f>IFERROR(__xludf.DUMMYFUNCTION("""COMPUTED_VALUE"""),"m000081")</f>
        <v>m000081</v>
      </c>
      <c r="B168" s="252" t="str">
        <f>IFERROR(__xludf.DUMMYFUNCTION("""COMPUTED_VALUE"""),"P-04")</f>
        <v>P-04</v>
      </c>
      <c r="C168" s="252" t="str">
        <f>IFERROR(__xludf.DUMMYFUNCTION("""COMPUTED_VALUE"""),"MAQUINARIA")</f>
        <v>MAQUINARIA</v>
      </c>
      <c r="D168" s="252" t="str">
        <f>IFERROR(__xludf.DUMMYFUNCTION("""COMPUTED_VALUE"""),"SELECCIONADORA")</f>
        <v>SELECCIONADORA</v>
      </c>
      <c r="E168" s="252" t="str">
        <f>IFERROR(__xludf.DUMMYFUNCTION("""COMPUTED_VALUE"""),"POWERSREEN")</f>
        <v>POWERSREEN</v>
      </c>
      <c r="F168" s="252" t="str">
        <f>IFERROR(__xludf.DUMMYFUNCTION("""COMPUTED_VALUE"""),"CRUSHER")</f>
        <v>CRUSHER</v>
      </c>
      <c r="G168" s="252">
        <f>IFERROR(__xludf.DUMMYFUNCTION("""COMPUTED_VALUE"""),2018.0)</f>
        <v>2018</v>
      </c>
      <c r="H168" s="252"/>
      <c r="I168" s="252"/>
      <c r="J168" s="252"/>
      <c r="K168" s="252" t="str">
        <f>IFERROR(__xludf.DUMMYFUNCTION("""COMPUTED_VALUE"""),"HARCHA MAQUINARIA")</f>
        <v>HARCHA MAQUINARIA</v>
      </c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  <c r="AA168" s="252"/>
      <c r="AB168" s="252" t="str">
        <f>IFERROR(__xludf.DUMMYFUNCTION("""COMPUTED_VALUE"""),"En producción")</f>
        <v>En producción</v>
      </c>
      <c r="AC168" s="252"/>
      <c r="AD168" s="252">
        <f>IFERROR(__xludf.DUMMYFUNCTION("""COMPUTED_VALUE"""),1002.0)</f>
        <v>1002</v>
      </c>
      <c r="AE168" s="252" t="str">
        <f>IFERROR(__xludf.DUMMYFUNCTION("""COMPUTED_VALUE"""),"Sin incidentes")</f>
        <v>Sin incidentes</v>
      </c>
      <c r="AF168" s="252">
        <f>IFERROR(__xludf.DUMMYFUNCTION("""COMPUTED_VALUE"""),1.0)</f>
        <v>1</v>
      </c>
      <c r="AG168" s="252" t="str">
        <f>IFERROR(__xludf.DUMMYFUNCTION("""COMPUTED_VALUE"""),"[P-04] - POWERSREEN CRUSHER")</f>
        <v>[P-04] - POWERSREEN CRUSHER</v>
      </c>
      <c r="AH168" s="252">
        <f>IFERROR(__xludf.DUMMYFUNCTION("""COMPUTED_VALUE"""),3003.0)</f>
        <v>3003</v>
      </c>
      <c r="AI168" s="252"/>
      <c r="AJ168" s="882">
        <f>IFERROR(__xludf.DUMMYFUNCTION("""COMPUTED_VALUE"""),46095.85729166667)</f>
        <v>46095.85729</v>
      </c>
      <c r="AK168" s="252"/>
      <c r="AL168" s="880" t="str">
        <f>IFERROR(__xludf.DUMMYFUNCTION("""COMPUTED_VALUE"""),"")</f>
        <v/>
      </c>
      <c r="AM168" s="880" t="str">
        <f>IFERROR(__xludf.DUMMYFUNCTION("""COMPUTED_VALUE"""),"")</f>
        <v/>
      </c>
      <c r="AN168" s="252"/>
      <c r="AO168" s="252" t="str">
        <f>IFERROR(__xludf.DUMMYFUNCTION("""COMPUTED_VALUE"""),"Hr")</f>
        <v>Hr</v>
      </c>
      <c r="AP168" s="252"/>
      <c r="AQ168" s="252"/>
      <c r="AR168" s="252"/>
      <c r="AS168" s="881">
        <f>IFERROR(__xludf.DUMMYFUNCTION("""COMPUTED_VALUE"""),44927.0)</f>
        <v>44927</v>
      </c>
      <c r="AT168" s="881">
        <f>IFERROR(__xludf.DUMMYFUNCTION("""COMPUTED_VALUE"""),44927.0)</f>
        <v>44927</v>
      </c>
      <c r="AU168" s="252" t="str">
        <f>IFERROR(__xludf.DUMMYFUNCTION("""COMPUTED_VALUE"""),"RDC260314223114")</f>
        <v>RDC260314223114</v>
      </c>
      <c r="AV168" s="252" t="str">
        <f>IFERROR(__xludf.DUMMYFUNCTION("""COMPUTED_VALUE"""),"RCO260314102745")</f>
        <v>RCO260314102745</v>
      </c>
      <c r="AW168" s="252">
        <f>IFERROR(__xludf.DUMMYFUNCTION("""COMPUTED_VALUE"""),87.0)</f>
        <v>87</v>
      </c>
      <c r="AX168" s="252">
        <f>IFERROR(__xludf.DUMMYFUNCTION("""COMPUTED_VALUE"""),6.0)</f>
        <v>6</v>
      </c>
      <c r="AY168" s="252"/>
      <c r="AZ168" s="881">
        <f>IFERROR(__xludf.DUMMYFUNCTION("""COMPUTED_VALUE"""),46095.0)</f>
        <v>46095</v>
      </c>
    </row>
    <row r="169">
      <c r="A169" s="252" t="str">
        <f>IFERROR(__xludf.DUMMYFUNCTION("""COMPUTED_VALUE"""),"m000082")</f>
        <v>m000082</v>
      </c>
      <c r="B169" s="252" t="str">
        <f>IFERROR(__xludf.DUMMYFUNCTION("""COMPUTED_VALUE"""),"RC-01 DBFS56")</f>
        <v>RC-01 DBFS56</v>
      </c>
      <c r="C169" s="252" t="str">
        <f>IFERROR(__xludf.DUMMYFUNCTION("""COMPUTED_VALUE"""),"RODILLO")</f>
        <v>RODILLO</v>
      </c>
      <c r="D169" s="252" t="str">
        <f>IFERROR(__xludf.DUMMYFUNCTION("""COMPUTED_VALUE"""),"RODILLO COMPACTADOR")</f>
        <v>RODILLO COMPACTADOR</v>
      </c>
      <c r="E169" s="252" t="str">
        <f>IFERROR(__xludf.DUMMYFUNCTION("""COMPUTED_VALUE"""),"CATERPILLAR")</f>
        <v>CATERPILLAR</v>
      </c>
      <c r="F169" s="252" t="str">
        <f>IFERROR(__xludf.DUMMYFUNCTION("""COMPUTED_VALUE"""),"CS 533 E")</f>
        <v>CS 533 E</v>
      </c>
      <c r="G169" s="252">
        <f>IFERROR(__xludf.DUMMYFUNCTION("""COMPUTED_VALUE"""),2011.0)</f>
        <v>2011</v>
      </c>
      <c r="H169" s="252" t="str">
        <f>IFERROR(__xludf.DUMMYFUNCTION("""COMPUTED_VALUE"""),"G4D37383")</f>
        <v>G4D37383</v>
      </c>
      <c r="I169" s="252" t="str">
        <f>IFERROR(__xludf.DUMMYFUNCTION("""COMPUTED_VALUE"""),"BZE02278")</f>
        <v>BZE02278</v>
      </c>
      <c r="J169" s="252" t="str">
        <f>IFERROR(__xludf.DUMMYFUNCTION("""COMPUTED_VALUE"""),"DBFS56-2")</f>
        <v>DBFS56-2</v>
      </c>
      <c r="K169" s="252" t="str">
        <f>IFERROR(__xludf.DUMMYFUNCTION("""COMPUTED_VALUE"""),"JHL")</f>
        <v>JHL</v>
      </c>
      <c r="L169" s="252" t="str">
        <f>IFERROR(__xludf.DUMMYFUNCTION("""COMPUTED_VALUE"""),"130 HP")</f>
        <v>130 HP</v>
      </c>
      <c r="M169" s="252" t="str">
        <f>IFERROR(__xludf.DUMMYFUNCTION("""COMPUTED_VALUE"""),"5.51 MTS")</f>
        <v>5.51 MTS</v>
      </c>
      <c r="N169" s="252" t="str">
        <f>IFERROR(__xludf.DUMMYFUNCTION("""COMPUTED_VALUE"""),"2,30 MTS")</f>
        <v>2,30 MTS</v>
      </c>
      <c r="O169" s="252" t="str">
        <f>IFERROR(__xludf.DUMMYFUNCTION("""COMPUTED_VALUE"""),"3,07 MTS")</f>
        <v>3,07 MTS</v>
      </c>
      <c r="P169" s="252" t="str">
        <f>IFERROR(__xludf.DUMMYFUNCTION("""COMPUTED_VALUE"""),"11.000 KG")</f>
        <v>11.000 KG</v>
      </c>
      <c r="Q169" s="252"/>
      <c r="R169" s="252"/>
      <c r="S169" s="252"/>
      <c r="T169" s="252"/>
      <c r="U169" s="252"/>
      <c r="V169" s="252">
        <f>IFERROR(__xludf.DUMMYFUNCTION("""COMPUTED_VALUE"""),0.0)</f>
        <v>0</v>
      </c>
      <c r="W169" s="252">
        <f>IFERROR(__xludf.DUMMYFUNCTION("""COMPUTED_VALUE"""),6.0)</f>
        <v>6</v>
      </c>
      <c r="X169" s="252">
        <f>IFERROR(__xludf.DUMMYFUNCTION("""COMPUTED_VALUE"""),7.0)</f>
        <v>7</v>
      </c>
      <c r="Y169" s="252">
        <f>IFERROR(__xludf.DUMMYFUNCTION("""COMPUTED_VALUE"""),6.0)</f>
        <v>6</v>
      </c>
      <c r="Z169" s="252">
        <f>IFERROR(__xludf.DUMMYFUNCTION("""COMPUTED_VALUE"""),8.0)</f>
        <v>8</v>
      </c>
      <c r="AA169" s="252">
        <f>IFERROR(__xludf.DUMMYFUNCTION("""COMPUTED_VALUE"""),8.0)</f>
        <v>8</v>
      </c>
      <c r="AB169" s="252" t="str">
        <f>IFERROR(__xludf.DUMMYFUNCTION("""COMPUTED_VALUE"""),"En producción")</f>
        <v>En producción</v>
      </c>
      <c r="AC169" s="252" t="str">
        <f>IFERROR(__xludf.DUMMYFUNCTION("""COMPUTED_VALUE"""),"MAQUINAS_Images/m000082.FOTO1.161227.jpg")</f>
        <v>MAQUINAS_Images/m000082.FOTO1.161227.jpg</v>
      </c>
      <c r="AD169" s="252">
        <f>IFERROR(__xludf.DUMMYFUNCTION("""COMPUTED_VALUE"""),846.0)</f>
        <v>846</v>
      </c>
      <c r="AE169" s="252" t="str">
        <f>IFERROR(__xludf.DUMMYFUNCTION("""COMPUTED_VALUE"""),"Sin incidentes")</f>
        <v>Sin incidentes</v>
      </c>
      <c r="AF169" s="252">
        <f>IFERROR(__xludf.DUMMYFUNCTION("""COMPUTED_VALUE"""),1.0)</f>
        <v>1</v>
      </c>
      <c r="AG169" s="252" t="str">
        <f>IFERROR(__xludf.DUMMYFUNCTION("""COMPUTED_VALUE"""),"[RC-01 DBFS56] - CATERPILLAR CS 533 E")</f>
        <v>[RC-01 DBFS56] - CATERPILLAR CS 533 E</v>
      </c>
      <c r="AH169" s="252">
        <f>IFERROR(__xludf.DUMMYFUNCTION("""COMPUTED_VALUE"""),8531.0)</f>
        <v>8531</v>
      </c>
      <c r="AI169" s="252">
        <f>IFERROR(__xludf.DUMMYFUNCTION("""COMPUTED_VALUE"""),1.0)</f>
        <v>1</v>
      </c>
      <c r="AJ169" s="882">
        <f>IFERROR(__xludf.DUMMYFUNCTION("""COMPUTED_VALUE"""),46093.55165509259)</f>
        <v>46093.55166</v>
      </c>
      <c r="AK169" s="882">
        <f>IFERROR(__xludf.DUMMYFUNCTION("""COMPUTED_VALUE"""),46093.551712962966)</f>
        <v>46093.55171</v>
      </c>
      <c r="AL169" s="880">
        <f>IFERROR(__xludf.DUMMYFUNCTION("""COMPUTED_VALUE"""),8780.0)</f>
        <v>8780</v>
      </c>
      <c r="AM169" s="880" t="str">
        <f>IFERROR(__xludf.DUMMYFUNCTION("""COMPUTED_VALUE"""),"")</f>
        <v/>
      </c>
      <c r="AN169" s="252" t="str">
        <f>IFERROR(__xludf.DUMMYFUNCTION("""COMPUTED_VALUE"""),"OT251202090245")</f>
        <v>OT251202090245</v>
      </c>
      <c r="AO169" s="252" t="str">
        <f>IFERROR(__xludf.DUMMYFUNCTION("""COMPUTED_VALUE"""),"Hr")</f>
        <v>Hr</v>
      </c>
      <c r="AP169" s="252"/>
      <c r="AQ169" s="252">
        <f>IFERROR(__xludf.DUMMYFUNCTION("""COMPUTED_VALUE"""),8028.0)</f>
        <v>8028</v>
      </c>
      <c r="AR169" s="252"/>
      <c r="AS169" s="881">
        <f>IFERROR(__xludf.DUMMYFUNCTION("""COMPUTED_VALUE"""),44927.0)</f>
        <v>44927</v>
      </c>
      <c r="AT169" s="881">
        <f>IFERROR(__xludf.DUMMYFUNCTION("""COMPUTED_VALUE"""),44927.0)</f>
        <v>44927</v>
      </c>
      <c r="AU169" s="252" t="str">
        <f>IFERROR(__xludf.DUMMYFUNCTION("""COMPUTED_VALUE"""),"RDC260312081204")</f>
        <v>RDC260312081204</v>
      </c>
      <c r="AV169" s="252" t="str">
        <f>IFERROR(__xludf.DUMMYFUNCTION("""COMPUTED_VALUE"""),"RCO260305184910")</f>
        <v>RCO260305184910</v>
      </c>
      <c r="AW169" s="252">
        <f>IFERROR(__xludf.DUMMYFUNCTION("""COMPUTED_VALUE"""),163.0)</f>
        <v>163</v>
      </c>
      <c r="AX169" s="252">
        <f>IFERROR(__xludf.DUMMYFUNCTION("""COMPUTED_VALUE"""),19.0)</f>
        <v>19</v>
      </c>
      <c r="AY169" s="252">
        <f>IFERROR(__xludf.DUMMYFUNCTION("""COMPUTED_VALUE"""),0.0)</f>
        <v>0</v>
      </c>
      <c r="AZ169" s="883">
        <f>IFERROR(__xludf.DUMMYFUNCTION("""COMPUTED_VALUE"""),46086.0)</f>
        <v>46086</v>
      </c>
    </row>
    <row r="170">
      <c r="A170" s="252" t="str">
        <f>IFERROR(__xludf.DUMMYFUNCTION("""COMPUTED_VALUE"""),"m000083")</f>
        <v>m000083</v>
      </c>
      <c r="B170" s="252" t="str">
        <f>IFERROR(__xludf.DUMMYFUNCTION("""COMPUTED_VALUE"""),"RX-01 BGDW56")</f>
        <v>RX-01 BGDW56</v>
      </c>
      <c r="C170" s="252" t="str">
        <f>IFERROR(__xludf.DUMMYFUNCTION("""COMPUTED_VALUE"""),"RETROEXCAVADORA")</f>
        <v>RETROEXCAVADORA</v>
      </c>
      <c r="D170" s="252" t="str">
        <f>IFERROR(__xludf.DUMMYFUNCTION("""COMPUTED_VALUE"""),"RETROEXCAVADORA")</f>
        <v>RETROEXCAVADORA</v>
      </c>
      <c r="E170" s="252" t="str">
        <f>IFERROR(__xludf.DUMMYFUNCTION("""COMPUTED_VALUE"""),"JONH DEERE")</f>
        <v>JONH DEERE</v>
      </c>
      <c r="F170" s="252" t="str">
        <f>IFERROR(__xludf.DUMMYFUNCTION("""COMPUTED_VALUE"""),"310 G")</f>
        <v>310 G</v>
      </c>
      <c r="G170" s="252">
        <f>IFERROR(__xludf.DUMMYFUNCTION("""COMPUTED_VALUE"""),1996.0)</f>
        <v>1996</v>
      </c>
      <c r="H170" s="252"/>
      <c r="I170" s="252" t="str">
        <f>IFERROR(__xludf.DUMMYFUNCTION("""COMPUTED_VALUE"""),"T0310GX959231")</f>
        <v>T0310GX959231</v>
      </c>
      <c r="J170" s="252"/>
      <c r="K170" s="252" t="str">
        <f>IFERROR(__xludf.DUMMYFUNCTION("""COMPUTED_VALUE"""),"ECMA")</f>
        <v>ECMA</v>
      </c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>
        <f>IFERROR(__xludf.DUMMYFUNCTION("""COMPUTED_VALUE"""),0.0)</f>
        <v>0</v>
      </c>
      <c r="W170" s="252">
        <f>IFERROR(__xludf.DUMMYFUNCTION("""COMPUTED_VALUE"""),4.0)</f>
        <v>4</v>
      </c>
      <c r="X170" s="252">
        <f>IFERROR(__xludf.DUMMYFUNCTION("""COMPUTED_VALUE"""),4.0)</f>
        <v>4</v>
      </c>
      <c r="Y170" s="252">
        <f>IFERROR(__xludf.DUMMYFUNCTION("""COMPUTED_VALUE"""),4.0)</f>
        <v>4</v>
      </c>
      <c r="Z170" s="252">
        <f>IFERROR(__xludf.DUMMYFUNCTION("""COMPUTED_VALUE"""),6.0)</f>
        <v>6</v>
      </c>
      <c r="AA170" s="252">
        <f>IFERROR(__xludf.DUMMYFUNCTION("""COMPUTED_VALUE"""),6.0)</f>
        <v>6</v>
      </c>
      <c r="AB170" s="252" t="str">
        <f>IFERROR(__xludf.DUMMYFUNCTION("""COMPUTED_VALUE"""),"Patio LL")</f>
        <v>Patio LL</v>
      </c>
      <c r="AC170" s="252" t="str">
        <f>IFERROR(__xludf.DUMMYFUNCTION("""COMPUTED_VALUE"""),"MAQUINAS_Images/m000083.FOTO1.145751.jpg")</f>
        <v>MAQUINAS_Images/m000083.FOTO1.145751.jpg</v>
      </c>
      <c r="AD170" s="252"/>
      <c r="AE170" s="252" t="str">
        <f>IFERROR(__xludf.DUMMYFUNCTION("""COMPUTED_VALUE"""),"Sin incidentes")</f>
        <v>Sin incidentes</v>
      </c>
      <c r="AF170" s="252">
        <f>IFERROR(__xludf.DUMMYFUNCTION("""COMPUTED_VALUE"""),1.0)</f>
        <v>1</v>
      </c>
      <c r="AG170" s="252" t="str">
        <f>IFERROR(__xludf.DUMMYFUNCTION("""COMPUTED_VALUE"""),"[RX-01 BGDW56] - JONH DEERE 310 G")</f>
        <v>[RX-01 BGDW56] - JONH DEERE 310 G</v>
      </c>
      <c r="AH170" s="252">
        <f>IFERROR(__xludf.DUMMYFUNCTION("""COMPUTED_VALUE"""),21109.0)</f>
        <v>21109</v>
      </c>
      <c r="AI170" s="252"/>
      <c r="AJ170" s="252"/>
      <c r="AK170" s="252"/>
      <c r="AL170" s="880">
        <f>IFERROR(__xludf.DUMMYFUNCTION("""COMPUTED_VALUE"""),21127.0)</f>
        <v>21127</v>
      </c>
      <c r="AM170" s="880" t="str">
        <f>IFERROR(__xludf.DUMMYFUNCTION("""COMPUTED_VALUE"""),"")</f>
        <v/>
      </c>
      <c r="AN170" s="252"/>
      <c r="AO170" s="252" t="str">
        <f>IFERROR(__xludf.DUMMYFUNCTION("""COMPUTED_VALUE"""),"Hr")</f>
        <v>Hr</v>
      </c>
      <c r="AP170" s="252" t="str">
        <f>IFERROR(__xludf.DUMMYFUNCTION("""COMPUTED_VALUE"""),"IS250312122115")</f>
        <v>IS250312122115</v>
      </c>
      <c r="AQ170" s="252">
        <f>IFERROR(__xludf.DUMMYFUNCTION("""COMPUTED_VALUE"""),21109.0)</f>
        <v>21109</v>
      </c>
      <c r="AR170" s="252"/>
      <c r="AS170" s="881">
        <f>IFERROR(__xludf.DUMMYFUNCTION("""COMPUTED_VALUE"""),44927.0)</f>
        <v>44927</v>
      </c>
      <c r="AT170" s="881">
        <f>IFERROR(__xludf.DUMMYFUNCTION("""COMPUTED_VALUE"""),44927.0)</f>
        <v>44927</v>
      </c>
      <c r="AU170" s="252"/>
      <c r="AV170" s="252"/>
      <c r="AW170" s="252"/>
      <c r="AX170" s="252"/>
      <c r="AY170" s="252"/>
      <c r="AZ170" s="252"/>
    </row>
    <row r="171">
      <c r="A171" s="252" t="str">
        <f>IFERROR(__xludf.DUMMYFUNCTION("""COMPUTED_VALUE"""),"m000084")</f>
        <v>m000084</v>
      </c>
      <c r="B171" s="252" t="str">
        <f>IFERROR(__xludf.DUMMYFUNCTION("""COMPUTED_VALUE"""),"RX-02 BGDW56")</f>
        <v>RX-02 BGDW56</v>
      </c>
      <c r="C171" s="252" t="str">
        <f>IFERROR(__xludf.DUMMYFUNCTION("""COMPUTED_VALUE"""),"RETROEXCAVADORA")</f>
        <v>RETROEXCAVADORA</v>
      </c>
      <c r="D171" s="252" t="str">
        <f>IFERROR(__xludf.DUMMYFUNCTION("""COMPUTED_VALUE"""),"RETROEXCAVADORA")</f>
        <v>RETROEXCAVADORA</v>
      </c>
      <c r="E171" s="252" t="str">
        <f>IFERROR(__xludf.DUMMYFUNCTION("""COMPUTED_VALUE"""),"JONH DEERE")</f>
        <v>JONH DEERE</v>
      </c>
      <c r="F171" s="252" t="str">
        <f>IFERROR(__xludf.DUMMYFUNCTION("""COMPUTED_VALUE"""),"310 J")</f>
        <v>310 J</v>
      </c>
      <c r="G171" s="252">
        <f>IFERROR(__xludf.DUMMYFUNCTION("""COMPUTED_VALUE"""),2008.0)</f>
        <v>2008</v>
      </c>
      <c r="H171" s="252" t="str">
        <f>IFERROR(__xludf.DUMMYFUNCTION("""COMPUTED_VALUE"""),"PE4045T675266")</f>
        <v>PE4045T675266</v>
      </c>
      <c r="I171" s="252" t="str">
        <f>IFERROR(__xludf.DUMMYFUNCTION("""COMPUTED_VALUE"""),"T0310JX147365")</f>
        <v>T0310JX147365</v>
      </c>
      <c r="J171" s="252" t="str">
        <f>IFERROR(__xludf.DUMMYFUNCTION("""COMPUTED_VALUE"""),"BGDW56-7")</f>
        <v>BGDW56-7</v>
      </c>
      <c r="K171" s="252" t="str">
        <f>IFERROR(__xludf.DUMMYFUNCTION("""COMPUTED_VALUE"""),"ECMA")</f>
        <v>ECMA</v>
      </c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>
        <f>IFERROR(__xludf.DUMMYFUNCTION("""COMPUTED_VALUE"""),0.0)</f>
        <v>0</v>
      </c>
      <c r="W171" s="252">
        <f>IFERROR(__xludf.DUMMYFUNCTION("""COMPUTED_VALUE"""),4.0)</f>
        <v>4</v>
      </c>
      <c r="X171" s="252">
        <f>IFERROR(__xludf.DUMMYFUNCTION("""COMPUTED_VALUE"""),4.0)</f>
        <v>4</v>
      </c>
      <c r="Y171" s="252">
        <f>IFERROR(__xludf.DUMMYFUNCTION("""COMPUTED_VALUE"""),4.0)</f>
        <v>4</v>
      </c>
      <c r="Z171" s="252">
        <f>IFERROR(__xludf.DUMMYFUNCTION("""COMPUTED_VALUE"""),6.0)</f>
        <v>6</v>
      </c>
      <c r="AA171" s="252">
        <f>IFERROR(__xludf.DUMMYFUNCTION("""COMPUTED_VALUE"""),6.0)</f>
        <v>6</v>
      </c>
      <c r="AB171" s="252" t="str">
        <f>IFERROR(__xludf.DUMMYFUNCTION("""COMPUTED_VALUE"""),"En producción")</f>
        <v>En producción</v>
      </c>
      <c r="AC171" s="252"/>
      <c r="AD171" s="252">
        <f>IFERROR(__xludf.DUMMYFUNCTION("""COMPUTED_VALUE"""),726.0)</f>
        <v>726</v>
      </c>
      <c r="AE171" s="252" t="str">
        <f>IFERROR(__xludf.DUMMYFUNCTION("""COMPUTED_VALUE"""),"Alerta incidente")</f>
        <v>Alerta incidente</v>
      </c>
      <c r="AF171" s="252">
        <f>IFERROR(__xludf.DUMMYFUNCTION("""COMPUTED_VALUE"""),2.0)</f>
        <v>2</v>
      </c>
      <c r="AG171" s="252" t="str">
        <f>IFERROR(__xludf.DUMMYFUNCTION("""COMPUTED_VALUE"""),"[RX-02 BGDW56] - JONH DEERE 310 J")</f>
        <v>[RX-02 BGDW56] - JONH DEERE 310 J</v>
      </c>
      <c r="AH171" s="252">
        <f>IFERROR(__xludf.DUMMYFUNCTION("""COMPUTED_VALUE"""),711.0)</f>
        <v>711</v>
      </c>
      <c r="AI171" s="252">
        <f>IFERROR(__xludf.DUMMYFUNCTION("""COMPUTED_VALUE"""),1.0)</f>
        <v>1</v>
      </c>
      <c r="AJ171" s="882">
        <f>IFERROR(__xludf.DUMMYFUNCTION("""COMPUTED_VALUE"""),46093.510046296295)</f>
        <v>46093.51005</v>
      </c>
      <c r="AK171" s="882">
        <f>IFERROR(__xludf.DUMMYFUNCTION("""COMPUTED_VALUE"""),46093.510092592594)</f>
        <v>46093.51009</v>
      </c>
      <c r="AL171" s="880">
        <f>IFERROR(__xludf.DUMMYFUNCTION("""COMPUTED_VALUE"""),745.0)</f>
        <v>745</v>
      </c>
      <c r="AM171" s="880" t="str">
        <f>IFERROR(__xludf.DUMMYFUNCTION("""COMPUTED_VALUE"""),"")</f>
        <v/>
      </c>
      <c r="AN171" s="252" t="str">
        <f>IFERROR(__xludf.DUMMYFUNCTION("""COMPUTED_VALUE"""),"OT250922143846")</f>
        <v>OT250922143846</v>
      </c>
      <c r="AO171" s="252" t="str">
        <f>IFERROR(__xludf.DUMMYFUNCTION("""COMPUTED_VALUE"""),"Hr")</f>
        <v>Hr</v>
      </c>
      <c r="AP171" s="252" t="str">
        <f>IFERROR(__xludf.DUMMYFUNCTION("""COMPUTED_VALUE"""),"IS260212173853")</f>
        <v>IS260212173853</v>
      </c>
      <c r="AQ171" s="252">
        <f>IFERROR(__xludf.DUMMYFUNCTION("""COMPUTED_VALUE"""),200.0)</f>
        <v>200</v>
      </c>
      <c r="AR171" s="252"/>
      <c r="AS171" s="881">
        <f>IFERROR(__xludf.DUMMYFUNCTION("""COMPUTED_VALUE"""),44927.0)</f>
        <v>44927</v>
      </c>
      <c r="AT171" s="881">
        <f>IFERROR(__xludf.DUMMYFUNCTION("""COMPUTED_VALUE"""),44927.0)</f>
        <v>44927</v>
      </c>
      <c r="AU171" s="252" t="str">
        <f>IFERROR(__xludf.DUMMYFUNCTION("""COMPUTED_VALUE"""),"RDC260304152626")</f>
        <v>RDC260304152626</v>
      </c>
      <c r="AV171" s="252" t="str">
        <f>IFERROR(__xludf.DUMMYFUNCTION("""COMPUTED_VALUE"""),"RCO260312141247")</f>
        <v>RCO260312141247</v>
      </c>
      <c r="AW171" s="252">
        <f>IFERROR(__xludf.DUMMYFUNCTION("""COMPUTED_VALUE"""),39.0)</f>
        <v>39</v>
      </c>
      <c r="AX171" s="252">
        <f>IFERROR(__xludf.DUMMYFUNCTION("""COMPUTED_VALUE"""),12.0)</f>
        <v>12</v>
      </c>
      <c r="AY171" s="252">
        <f>IFERROR(__xludf.DUMMYFUNCTION("""COMPUTED_VALUE"""),0.0)</f>
        <v>0</v>
      </c>
      <c r="AZ171" s="883">
        <f>IFERROR(__xludf.DUMMYFUNCTION("""COMPUTED_VALUE"""),46093.0)</f>
        <v>46093</v>
      </c>
    </row>
    <row r="172">
      <c r="A172" s="252" t="str">
        <f>IFERROR(__xludf.DUMMYFUNCTION("""COMPUTED_VALUE"""),"m000085")</f>
        <v>m000085</v>
      </c>
      <c r="B172" s="252" t="str">
        <f>IFERROR(__xludf.DUMMYFUNCTION("""COMPUTED_VALUE"""),"RX-03 FPLK20")</f>
        <v>RX-03 FPLK20</v>
      </c>
      <c r="C172" s="252" t="str">
        <f>IFERROR(__xludf.DUMMYFUNCTION("""COMPUTED_VALUE"""),"RETROEXCAVADORA")</f>
        <v>RETROEXCAVADORA</v>
      </c>
      <c r="D172" s="252" t="str">
        <f>IFERROR(__xludf.DUMMYFUNCTION("""COMPUTED_VALUE"""),"RETROEXCAVADORA")</f>
        <v>RETROEXCAVADORA</v>
      </c>
      <c r="E172" s="252" t="str">
        <f>IFERROR(__xludf.DUMMYFUNCTION("""COMPUTED_VALUE"""),"JCB")</f>
        <v>JCB</v>
      </c>
      <c r="F172" s="252" t="str">
        <f>IFERROR(__xludf.DUMMYFUNCTION("""COMPUTED_VALUE"""),"3 C 4X4 TURBO")</f>
        <v>3 C 4X4 TURBO</v>
      </c>
      <c r="G172" s="252">
        <f>IFERROR(__xludf.DUMMYFUNCTION("""COMPUTED_VALUE"""),2013.0)</f>
        <v>2013</v>
      </c>
      <c r="H172" s="252" t="str">
        <f>IFERROR(__xludf.DUMMYFUNCTION("""COMPUTED_VALUE"""),"SB32040338U2185012")</f>
        <v>SB32040338U2185012</v>
      </c>
      <c r="I172" s="252" t="str">
        <f>IFERROR(__xludf.DUMMYFUNCTION("""COMPUTED_VALUE"""),"JCB3C4TCH02106341")</f>
        <v>JCB3C4TCH02106341</v>
      </c>
      <c r="J172" s="252" t="str">
        <f>IFERROR(__xludf.DUMMYFUNCTION("""COMPUTED_VALUE"""),"FPLK20-K")</f>
        <v>FPLK20-K</v>
      </c>
      <c r="K172" s="252" t="str">
        <f>IFERROR(__xludf.DUMMYFUNCTION("""COMPUTED_VALUE"""),"ECMA")</f>
        <v>ECMA</v>
      </c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>
        <f>IFERROR(__xludf.DUMMYFUNCTION("""COMPUTED_VALUE"""),0.0)</f>
        <v>0</v>
      </c>
      <c r="W172" s="252">
        <f>IFERROR(__xludf.DUMMYFUNCTION("""COMPUTED_VALUE"""),5.0)</f>
        <v>5</v>
      </c>
      <c r="X172" s="252">
        <f>IFERROR(__xludf.DUMMYFUNCTION("""COMPUTED_VALUE"""),5.0)</f>
        <v>5</v>
      </c>
      <c r="Y172" s="252">
        <f>IFERROR(__xludf.DUMMYFUNCTION("""COMPUTED_VALUE"""),5.0)</f>
        <v>5</v>
      </c>
      <c r="Z172" s="252">
        <f>IFERROR(__xludf.DUMMYFUNCTION("""COMPUTED_VALUE"""),8.0)</f>
        <v>8</v>
      </c>
      <c r="AA172" s="252">
        <f>IFERROR(__xludf.DUMMYFUNCTION("""COMPUTED_VALUE"""),8.0)</f>
        <v>8</v>
      </c>
      <c r="AB172" s="252" t="str">
        <f>IFERROR(__xludf.DUMMYFUNCTION("""COMPUTED_VALUE"""),"En producción")</f>
        <v>En producción</v>
      </c>
      <c r="AC172" s="252" t="str">
        <f>IFERROR(__xludf.DUMMYFUNCTION("""COMPUTED_VALUE"""),"MAQUINAS_Images/m000085.FOTO1.145717.jpg")</f>
        <v>MAQUINAS_Images/m000085.FOTO1.145717.jpg</v>
      </c>
      <c r="AD172" s="252">
        <f>IFERROR(__xludf.DUMMYFUNCTION("""COMPUTED_VALUE"""),1008.0)</f>
        <v>1008</v>
      </c>
      <c r="AE172" s="252" t="str">
        <f>IFERROR(__xludf.DUMMYFUNCTION("""COMPUTED_VALUE"""),"Alerta incidente")</f>
        <v>Alerta incidente</v>
      </c>
      <c r="AF172" s="252">
        <f>IFERROR(__xludf.DUMMYFUNCTION("""COMPUTED_VALUE"""),5.0)</f>
        <v>5</v>
      </c>
      <c r="AG172" s="252" t="str">
        <f>IFERROR(__xludf.DUMMYFUNCTION("""COMPUTED_VALUE"""),"[RX-03 FPLK20] - JCB 3 C 4X4 TURBO")</f>
        <v>[RX-03 FPLK20] - JCB 3 C 4X4 TURBO</v>
      </c>
      <c r="AH172" s="252">
        <f>IFERROR(__xludf.DUMMYFUNCTION("""COMPUTED_VALUE"""),3503.0)</f>
        <v>3503</v>
      </c>
      <c r="AI172" s="252">
        <f>IFERROR(__xludf.DUMMYFUNCTION("""COMPUTED_VALUE"""),118698.0)</f>
        <v>118698</v>
      </c>
      <c r="AJ172" s="882">
        <f>IFERROR(__xludf.DUMMYFUNCTION("""COMPUTED_VALUE"""),46095.25539351852)</f>
        <v>46095.25539</v>
      </c>
      <c r="AK172" s="885">
        <f>IFERROR(__xludf.DUMMYFUNCTION("""COMPUTED_VALUE"""),46094.556979166664)</f>
        <v>46094.55698</v>
      </c>
      <c r="AL172" s="880">
        <f>IFERROR(__xludf.DUMMYFUNCTION("""COMPUTED_VALUE"""),1159.0)</f>
        <v>1159</v>
      </c>
      <c r="AM172" s="880" t="str">
        <f>IFERROR(__xludf.DUMMYFUNCTION("""COMPUTED_VALUE"""),"")</f>
        <v/>
      </c>
      <c r="AN172" s="252" t="str">
        <f>IFERROR(__xludf.DUMMYFUNCTION("""COMPUTED_VALUE"""),"OT260127092543")</f>
        <v>OT260127092543</v>
      </c>
      <c r="AO172" s="252" t="str">
        <f>IFERROR(__xludf.DUMMYFUNCTION("""COMPUTED_VALUE"""),"Hr")</f>
        <v>Hr</v>
      </c>
      <c r="AP172" s="252"/>
      <c r="AQ172" s="252">
        <f>IFERROR(__xludf.DUMMYFUNCTION("""COMPUTED_VALUE"""),3443.0)</f>
        <v>3443</v>
      </c>
      <c r="AR172" s="252"/>
      <c r="AS172" s="881">
        <f>IFERROR(__xludf.DUMMYFUNCTION("""COMPUTED_VALUE"""),45856.0)</f>
        <v>45856</v>
      </c>
      <c r="AT172" s="881">
        <f>IFERROR(__xludf.DUMMYFUNCTION("""COMPUTED_VALUE"""),44927.0)</f>
        <v>44927</v>
      </c>
      <c r="AU172" s="252" t="str">
        <f>IFERROR(__xludf.DUMMYFUNCTION("""COMPUTED_VALUE"""),"RDC260314080647")</f>
        <v>RDC260314080647</v>
      </c>
      <c r="AV172" s="252" t="str">
        <f>IFERROR(__xludf.DUMMYFUNCTION("""COMPUTED_VALUE"""),"RCO260313152055")</f>
        <v>RCO260313152055</v>
      </c>
      <c r="AW172" s="252">
        <f>IFERROR(__xludf.DUMMYFUNCTION("""COMPUTED_VALUE"""),21.0)</f>
        <v>21</v>
      </c>
      <c r="AX172" s="252">
        <f>IFERROR(__xludf.DUMMYFUNCTION("""COMPUTED_VALUE"""),3.0)</f>
        <v>3</v>
      </c>
      <c r="AY172" s="252">
        <f>IFERROR(__xludf.DUMMYFUNCTION("""COMPUTED_VALUE"""),0.0)</f>
        <v>0</v>
      </c>
      <c r="AZ172" s="883">
        <f>IFERROR(__xludf.DUMMYFUNCTION("""COMPUTED_VALUE"""),46094.0)</f>
        <v>46094</v>
      </c>
    </row>
    <row r="173">
      <c r="A173" s="252" t="str">
        <f>IFERROR(__xludf.DUMMYFUNCTION("""COMPUTED_VALUE"""),"m000086")</f>
        <v>m000086</v>
      </c>
      <c r="B173" s="252" t="str">
        <f>IFERROR(__xludf.DUMMYFUNCTION("""COMPUTED_VALUE"""),"RX-04 GTJH71")</f>
        <v>RX-04 GTJH71</v>
      </c>
      <c r="C173" s="252" t="str">
        <f>IFERROR(__xludf.DUMMYFUNCTION("""COMPUTED_VALUE"""),"RETROEXCAVADORA")</f>
        <v>RETROEXCAVADORA</v>
      </c>
      <c r="D173" s="252" t="str">
        <f>IFERROR(__xludf.DUMMYFUNCTION("""COMPUTED_VALUE"""),"RETROEXCAVADORA")</f>
        <v>RETROEXCAVADORA</v>
      </c>
      <c r="E173" s="252" t="str">
        <f>IFERROR(__xludf.DUMMYFUNCTION("""COMPUTED_VALUE"""),"CATERPILLAR")</f>
        <v>CATERPILLAR</v>
      </c>
      <c r="F173" s="252" t="str">
        <f>IFERROR(__xludf.DUMMYFUNCTION("""COMPUTED_VALUE"""),"416E")</f>
        <v>416E</v>
      </c>
      <c r="G173" s="252">
        <f>IFERROR(__xludf.DUMMYFUNCTION("""COMPUTED_VALUE"""),2014.0)</f>
        <v>2014</v>
      </c>
      <c r="H173" s="252" t="str">
        <f>IFERROR(__xludf.DUMMYFUNCTION("""COMPUTED_VALUE"""),"G4D47028")</f>
        <v>G4D47028</v>
      </c>
      <c r="I173" s="252" t="str">
        <f>IFERROR(__xludf.DUMMYFUNCTION("""COMPUTED_VALUE"""),"CAT0416EHMFG07205")</f>
        <v>CAT0416EHMFG07205</v>
      </c>
      <c r="J173" s="252" t="str">
        <f>IFERROR(__xludf.DUMMYFUNCTION("""COMPUTED_VALUE"""),"GTJH71-2")</f>
        <v>GTJH71-2</v>
      </c>
      <c r="K173" s="252" t="str">
        <f>IFERROR(__xludf.DUMMYFUNCTION("""COMPUTED_VALUE"""),"ECMA")</f>
        <v>ECMA</v>
      </c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>
        <f>IFERROR(__xludf.DUMMYFUNCTION("""COMPUTED_VALUE"""),0.0)</f>
        <v>0</v>
      </c>
      <c r="W173" s="252">
        <f>IFERROR(__xludf.DUMMYFUNCTION("""COMPUTED_VALUE"""),5.0)</f>
        <v>5</v>
      </c>
      <c r="X173" s="252">
        <f>IFERROR(__xludf.DUMMYFUNCTION("""COMPUTED_VALUE"""),5.0)</f>
        <v>5</v>
      </c>
      <c r="Y173" s="252">
        <f>IFERROR(__xludf.DUMMYFUNCTION("""COMPUTED_VALUE"""),5.0)</f>
        <v>5</v>
      </c>
      <c r="Z173" s="252">
        <f>IFERROR(__xludf.DUMMYFUNCTION("""COMPUTED_VALUE"""),8.0)</f>
        <v>8</v>
      </c>
      <c r="AA173" s="252">
        <f>IFERROR(__xludf.DUMMYFUNCTION("""COMPUTED_VALUE"""),8.0)</f>
        <v>8</v>
      </c>
      <c r="AB173" s="252" t="str">
        <f>IFERROR(__xludf.DUMMYFUNCTION("""COMPUTED_VALUE"""),"En producción")</f>
        <v>En producción</v>
      </c>
      <c r="AC173" s="252"/>
      <c r="AD173" s="252">
        <f>IFERROR(__xludf.DUMMYFUNCTION("""COMPUTED_VALUE"""),781.0)</f>
        <v>781</v>
      </c>
      <c r="AE173" s="252" t="str">
        <f>IFERROR(__xludf.DUMMYFUNCTION("""COMPUTED_VALUE"""),"Sin incidentes")</f>
        <v>Sin incidentes</v>
      </c>
      <c r="AF173" s="252">
        <f>IFERROR(__xludf.DUMMYFUNCTION("""COMPUTED_VALUE"""),4.0)</f>
        <v>4</v>
      </c>
      <c r="AG173" s="252" t="str">
        <f>IFERROR(__xludf.DUMMYFUNCTION("""COMPUTED_VALUE"""),"[RX-04 GTJH71] - CATERPILLAR 416E")</f>
        <v>[RX-04 GTJH71] - CATERPILLAR 416E</v>
      </c>
      <c r="AH173" s="252">
        <f>IFERROR(__xludf.DUMMYFUNCTION("""COMPUTED_VALUE"""),16512.0)</f>
        <v>16512</v>
      </c>
      <c r="AI173" s="252">
        <f>IFERROR(__xludf.DUMMYFUNCTION("""COMPUTED_VALUE"""),1.0)</f>
        <v>1</v>
      </c>
      <c r="AJ173" s="882">
        <f>IFERROR(__xludf.DUMMYFUNCTION("""COMPUTED_VALUE"""),46095.5906712963)</f>
        <v>46095.59067</v>
      </c>
      <c r="AK173" s="882">
        <f>IFERROR(__xludf.DUMMYFUNCTION("""COMPUTED_VALUE"""),46088.60847222222)</f>
        <v>46088.60847</v>
      </c>
      <c r="AL173" s="880">
        <f>IFERROR(__xludf.DUMMYFUNCTION("""COMPUTED_VALUE"""),16814.0)</f>
        <v>16814</v>
      </c>
      <c r="AM173" s="252"/>
      <c r="AN173" s="252" t="str">
        <f>IFERROR(__xludf.DUMMYFUNCTION("""COMPUTED_VALUE"""),"OT260301161007")</f>
        <v>OT260301161007</v>
      </c>
      <c r="AO173" s="252" t="str">
        <f>IFERROR(__xludf.DUMMYFUNCTION("""COMPUTED_VALUE"""),"Hr")</f>
        <v>Hr</v>
      </c>
      <c r="AP173" s="252"/>
      <c r="AQ173" s="252">
        <f>IFERROR(__xludf.DUMMYFUNCTION("""COMPUTED_VALUE"""),15083.0)</f>
        <v>15083</v>
      </c>
      <c r="AR173" s="252"/>
      <c r="AS173" s="881">
        <f>IFERROR(__xludf.DUMMYFUNCTION("""COMPUTED_VALUE"""),44927.0)</f>
        <v>44927</v>
      </c>
      <c r="AT173" s="881">
        <f>IFERROR(__xludf.DUMMYFUNCTION("""COMPUTED_VALUE"""),44927.0)</f>
        <v>44927</v>
      </c>
      <c r="AU173" s="252" t="str">
        <f>IFERROR(__xludf.DUMMYFUNCTION("""COMPUTED_VALUE"""),"RDC260310104622")</f>
        <v>RDC260310104622</v>
      </c>
      <c r="AV173" s="252" t="str">
        <f>IFERROR(__xludf.DUMMYFUNCTION("""COMPUTED_VALUE"""),"RCO260307163205")</f>
        <v>RCO260307163205</v>
      </c>
      <c r="AW173" s="252">
        <f>IFERROR(__xludf.DUMMYFUNCTION("""COMPUTED_VALUE"""),56.0)</f>
        <v>56</v>
      </c>
      <c r="AX173" s="252">
        <f>IFERROR(__xludf.DUMMYFUNCTION("""COMPUTED_VALUE"""),0.0)</f>
        <v>0</v>
      </c>
      <c r="AY173" s="252">
        <f>IFERROR(__xludf.DUMMYFUNCTION("""COMPUTED_VALUE"""),0.0)</f>
        <v>0</v>
      </c>
      <c r="AZ173" s="884">
        <f>IFERROR(__xludf.DUMMYFUNCTION("""COMPUTED_VALUE"""),46088.0)</f>
        <v>46088</v>
      </c>
    </row>
    <row r="174">
      <c r="A174" s="252" t="str">
        <f>IFERROR(__xludf.DUMMYFUNCTION("""COMPUTED_VALUE"""),"m000087")</f>
        <v>m000087</v>
      </c>
      <c r="B174" s="252" t="str">
        <f>IFERROR(__xludf.DUMMYFUNCTION("""COMPUTED_VALUE"""),"RX-05 GYXY37")</f>
        <v>RX-05 GYXY37</v>
      </c>
      <c r="C174" s="252" t="str">
        <f>IFERROR(__xludf.DUMMYFUNCTION("""COMPUTED_VALUE"""),"RETROEXCAVADORA")</f>
        <v>RETROEXCAVADORA</v>
      </c>
      <c r="D174" s="252" t="str">
        <f>IFERROR(__xludf.DUMMYFUNCTION("""COMPUTED_VALUE"""),"RETROEXCAVADORA")</f>
        <v>RETROEXCAVADORA</v>
      </c>
      <c r="E174" s="252" t="str">
        <f>IFERROR(__xludf.DUMMYFUNCTION("""COMPUTED_VALUE"""),"NEW HOLAND")</f>
        <v>NEW HOLAND</v>
      </c>
      <c r="F174" s="252" t="str">
        <f>IFERROR(__xludf.DUMMYFUNCTION("""COMPUTED_VALUE"""),"B90B 4X4")</f>
        <v>B90B 4X4</v>
      </c>
      <c r="G174" s="252">
        <f>IFERROR(__xludf.DUMMYFUNCTION("""COMPUTED_VALUE"""),2016.0)</f>
        <v>2016</v>
      </c>
      <c r="H174" s="252">
        <f>IFERROR(__xludf.DUMMYFUNCTION("""COMPUTED_VALUE"""),1381249.0)</f>
        <v>1381249</v>
      </c>
      <c r="I174" s="252" t="str">
        <f>IFERROR(__xludf.DUMMYFUNCTION("""COMPUTED_VALUE"""),"NFHH02656")</f>
        <v>NFHH02656</v>
      </c>
      <c r="J174" s="252" t="str">
        <f>IFERROR(__xludf.DUMMYFUNCTION("""COMPUTED_VALUE"""),"GYXY37-3")</f>
        <v>GYXY37-3</v>
      </c>
      <c r="K174" s="252" t="str">
        <f>IFERROR(__xludf.DUMMYFUNCTION("""COMPUTED_VALUE"""),"ECMA")</f>
        <v>ECMA</v>
      </c>
      <c r="L174" s="252"/>
      <c r="M174" s="252"/>
      <c r="N174" s="252"/>
      <c r="O174" s="252"/>
      <c r="P174" s="252"/>
      <c r="Q174" s="252"/>
      <c r="R174" s="252" t="str">
        <f>IFERROR(__xludf.DUMMYFUNCTION("""COMPUTED_VALUE"""),"135 LTS")</f>
        <v>135 LTS</v>
      </c>
      <c r="S174" s="252"/>
      <c r="T174" s="252"/>
      <c r="U174" s="252"/>
      <c r="V174" s="252">
        <f>IFERROR(__xludf.DUMMYFUNCTION("""COMPUTED_VALUE"""),0.0)</f>
        <v>0</v>
      </c>
      <c r="W174" s="252">
        <f>IFERROR(__xludf.DUMMYFUNCTION("""COMPUTED_VALUE"""),5.0)</f>
        <v>5</v>
      </c>
      <c r="X174" s="252">
        <f>IFERROR(__xludf.DUMMYFUNCTION("""COMPUTED_VALUE"""),5.0)</f>
        <v>5</v>
      </c>
      <c r="Y174" s="252">
        <f>IFERROR(__xludf.DUMMYFUNCTION("""COMPUTED_VALUE"""),5.0)</f>
        <v>5</v>
      </c>
      <c r="Z174" s="252">
        <f>IFERROR(__xludf.DUMMYFUNCTION("""COMPUTED_VALUE"""),8.0)</f>
        <v>8</v>
      </c>
      <c r="AA174" s="252">
        <f>IFERROR(__xludf.DUMMYFUNCTION("""COMPUTED_VALUE"""),8.0)</f>
        <v>8</v>
      </c>
      <c r="AB174" s="252" t="str">
        <f>IFERROR(__xludf.DUMMYFUNCTION("""COMPUTED_VALUE"""),"En producción")</f>
        <v>En producción</v>
      </c>
      <c r="AC174" s="252"/>
      <c r="AD174" s="252">
        <f>IFERROR(__xludf.DUMMYFUNCTION("""COMPUTED_VALUE"""),424.0)</f>
        <v>424</v>
      </c>
      <c r="AE174" s="252" t="str">
        <f>IFERROR(__xludf.DUMMYFUNCTION("""COMPUTED_VALUE"""),"Alerta incidente")</f>
        <v>Alerta incidente</v>
      </c>
      <c r="AF174" s="252">
        <f>IFERROR(__xludf.DUMMYFUNCTION("""COMPUTED_VALUE"""),17.0)</f>
        <v>17</v>
      </c>
      <c r="AG174" s="252" t="str">
        <f>IFERROR(__xludf.DUMMYFUNCTION("""COMPUTED_VALUE"""),"[RX-05 GYXY37] - NEW HOLAND B90B 4X4")</f>
        <v>[RX-05 GYXY37] - NEW HOLAND B90B 4X4</v>
      </c>
      <c r="AH174" s="252">
        <f>IFERROR(__xludf.DUMMYFUNCTION("""COMPUTED_VALUE"""),5564.0)</f>
        <v>5564</v>
      </c>
      <c r="AI174" s="252">
        <f>IFERROR(__xludf.DUMMYFUNCTION("""COMPUTED_VALUE"""),1.0)</f>
        <v>1</v>
      </c>
      <c r="AJ174" s="882">
        <f>IFERROR(__xludf.DUMMYFUNCTION("""COMPUTED_VALUE"""),46094.611597222225)</f>
        <v>46094.6116</v>
      </c>
      <c r="AK174" s="882">
        <f>IFERROR(__xludf.DUMMYFUNCTION("""COMPUTED_VALUE"""),46092.351851851854)</f>
        <v>46092.35185</v>
      </c>
      <c r="AL174" s="880">
        <f>IFERROR(__xludf.DUMMYFUNCTION("""COMPUTED_VALUE"""),5646.0)</f>
        <v>5646</v>
      </c>
      <c r="AM174" s="252"/>
      <c r="AN174" s="252" t="str">
        <f>IFERROR(__xludf.DUMMYFUNCTION("""COMPUTED_VALUE"""),"OT251119162654")</f>
        <v>OT251119162654</v>
      </c>
      <c r="AO174" s="252" t="str">
        <f>IFERROR(__xludf.DUMMYFUNCTION("""COMPUTED_VALUE"""),"Hr")</f>
        <v>Hr</v>
      </c>
      <c r="AP174" s="252" t="str">
        <f>IFERROR(__xludf.DUMMYFUNCTION("""COMPUTED_VALUE"""),"IS251202105351")</f>
        <v>IS251202105351</v>
      </c>
      <c r="AQ174" s="252">
        <f>IFERROR(__xludf.DUMMYFUNCTION("""COMPUTED_VALUE"""),4963.0)</f>
        <v>4963</v>
      </c>
      <c r="AR174" s="252"/>
      <c r="AS174" s="881">
        <f>IFERROR(__xludf.DUMMYFUNCTION("""COMPUTED_VALUE"""),44927.0)</f>
        <v>44927</v>
      </c>
      <c r="AT174" s="881">
        <f>IFERROR(__xludf.DUMMYFUNCTION("""COMPUTED_VALUE"""),44927.0)</f>
        <v>44927</v>
      </c>
      <c r="AU174" s="252" t="str">
        <f>IFERROR(__xludf.DUMMYFUNCTION("""COMPUTED_VALUE"""),"RDC260313163046")</f>
        <v>RDC260313163046</v>
      </c>
      <c r="AV174" s="252" t="str">
        <f>IFERROR(__xludf.DUMMYFUNCTION("""COMPUTED_VALUE"""),"RCO260311102455")</f>
        <v>RCO260311102455</v>
      </c>
      <c r="AW174" s="252">
        <f>IFERROR(__xludf.DUMMYFUNCTION("""COMPUTED_VALUE"""),71.0)</f>
        <v>71</v>
      </c>
      <c r="AX174" s="252">
        <f>IFERROR(__xludf.DUMMYFUNCTION("""COMPUTED_VALUE"""),0.0)</f>
        <v>0</v>
      </c>
      <c r="AY174" s="252">
        <f>IFERROR(__xludf.DUMMYFUNCTION("""COMPUTED_VALUE"""),0.0)</f>
        <v>0</v>
      </c>
      <c r="AZ174" s="884">
        <f>IFERROR(__xludf.DUMMYFUNCTION("""COMPUTED_VALUE"""),46092.0)</f>
        <v>46092</v>
      </c>
    </row>
    <row r="175">
      <c r="A175" s="252" t="str">
        <f>IFERROR(__xludf.DUMMYFUNCTION("""COMPUTED_VALUE"""),"m000088")</f>
        <v>m000088</v>
      </c>
      <c r="B175" s="252" t="str">
        <f>IFERROR(__xludf.DUMMYFUNCTION("""COMPUTED_VALUE"""),"RX-06 GYXY36")</f>
        <v>RX-06 GYXY36</v>
      </c>
      <c r="C175" s="252" t="str">
        <f>IFERROR(__xludf.DUMMYFUNCTION("""COMPUTED_VALUE"""),"RETROEXCAVADORA")</f>
        <v>RETROEXCAVADORA</v>
      </c>
      <c r="D175" s="252" t="str">
        <f>IFERROR(__xludf.DUMMYFUNCTION("""COMPUTED_VALUE"""),"RETROEXCAVADORA")</f>
        <v>RETROEXCAVADORA</v>
      </c>
      <c r="E175" s="252" t="str">
        <f>IFERROR(__xludf.DUMMYFUNCTION("""COMPUTED_VALUE"""),"NEW HOLAND")</f>
        <v>NEW HOLAND</v>
      </c>
      <c r="F175" s="252" t="str">
        <f>IFERROR(__xludf.DUMMYFUNCTION("""COMPUTED_VALUE"""),"B90B 4X4")</f>
        <v>B90B 4X4</v>
      </c>
      <c r="G175" s="252">
        <f>IFERROR(__xludf.DUMMYFUNCTION("""COMPUTED_VALUE"""),2016.0)</f>
        <v>2016</v>
      </c>
      <c r="H175" s="252">
        <f>IFERROR(__xludf.DUMMYFUNCTION("""COMPUTED_VALUE"""),1379730.0)</f>
        <v>1379730</v>
      </c>
      <c r="I175" s="252" t="str">
        <f>IFERROR(__xludf.DUMMYFUNCTION("""COMPUTED_VALUE"""),"NFHH02592")</f>
        <v>NFHH02592</v>
      </c>
      <c r="J175" s="252" t="str">
        <f>IFERROR(__xludf.DUMMYFUNCTION("""COMPUTED_VALUE"""),"GYXY36-5")</f>
        <v>GYXY36-5</v>
      </c>
      <c r="K175" s="252" t="str">
        <f>IFERROR(__xludf.DUMMYFUNCTION("""COMPUTED_VALUE"""),"ECMA")</f>
        <v>ECMA</v>
      </c>
      <c r="L175" s="252"/>
      <c r="M175" s="252"/>
      <c r="N175" s="252"/>
      <c r="O175" s="252"/>
      <c r="P175" s="252"/>
      <c r="Q175" s="252"/>
      <c r="R175" s="252" t="str">
        <f>IFERROR(__xludf.DUMMYFUNCTION("""COMPUTED_VALUE"""),"135 LTS")</f>
        <v>135 LTS</v>
      </c>
      <c r="S175" s="252"/>
      <c r="T175" s="252"/>
      <c r="U175" s="252"/>
      <c r="V175" s="252">
        <f>IFERROR(__xludf.DUMMYFUNCTION("""COMPUTED_VALUE"""),0.0)</f>
        <v>0</v>
      </c>
      <c r="W175" s="252">
        <f>IFERROR(__xludf.DUMMYFUNCTION("""COMPUTED_VALUE"""),5.0)</f>
        <v>5</v>
      </c>
      <c r="X175" s="252">
        <f>IFERROR(__xludf.DUMMYFUNCTION("""COMPUTED_VALUE"""),5.0)</f>
        <v>5</v>
      </c>
      <c r="Y175" s="252">
        <f>IFERROR(__xludf.DUMMYFUNCTION("""COMPUTED_VALUE"""),5.0)</f>
        <v>5</v>
      </c>
      <c r="Z175" s="252">
        <f>IFERROR(__xludf.DUMMYFUNCTION("""COMPUTED_VALUE"""),8.0)</f>
        <v>8</v>
      </c>
      <c r="AA175" s="252">
        <f>IFERROR(__xludf.DUMMYFUNCTION("""COMPUTED_VALUE"""),8.0)</f>
        <v>8</v>
      </c>
      <c r="AB175" s="252" t="str">
        <f>IFERROR(__xludf.DUMMYFUNCTION("""COMPUTED_VALUE"""),"Patio LL")</f>
        <v>Patio LL</v>
      </c>
      <c r="AC175" s="252" t="str">
        <f>IFERROR(__xludf.DUMMYFUNCTION("""COMPUTED_VALUE"""),"MAQUINAS_Images/m000088.FOTO1.201116.jpg")</f>
        <v>MAQUINAS_Images/m000088.FOTO1.201116.jpg</v>
      </c>
      <c r="AD175" s="252">
        <f>IFERROR(__xludf.DUMMYFUNCTION("""COMPUTED_VALUE"""),953.0)</f>
        <v>953</v>
      </c>
      <c r="AE175" s="252" t="str">
        <f>IFERROR(__xludf.DUMMYFUNCTION("""COMPUTED_VALUE"""),"Alerta incidente")</f>
        <v>Alerta incidente</v>
      </c>
      <c r="AF175" s="252">
        <f>IFERROR(__xludf.DUMMYFUNCTION("""COMPUTED_VALUE"""),14.0)</f>
        <v>14</v>
      </c>
      <c r="AG175" s="252" t="str">
        <f>IFERROR(__xludf.DUMMYFUNCTION("""COMPUTED_VALUE"""),"[RX-06 GYXY36] - NEW HOLAND B90B 4X4")</f>
        <v>[RX-06 GYXY36] - NEW HOLAND B90B 4X4</v>
      </c>
      <c r="AH175" s="252">
        <f>IFERROR(__xludf.DUMMYFUNCTION("""COMPUTED_VALUE"""),707.0)</f>
        <v>707</v>
      </c>
      <c r="AI175" s="252">
        <f>IFERROR(__xludf.DUMMYFUNCTION("""COMPUTED_VALUE"""),1.0)</f>
        <v>1</v>
      </c>
      <c r="AJ175" s="882">
        <f>IFERROR(__xludf.DUMMYFUNCTION("""COMPUTED_VALUE"""),46083.40849537037)</f>
        <v>46083.4085</v>
      </c>
      <c r="AK175" s="882">
        <f>IFERROR(__xludf.DUMMYFUNCTION("""COMPUTED_VALUE"""),46083.40857638889)</f>
        <v>46083.40858</v>
      </c>
      <c r="AL175" s="880">
        <f>IFERROR(__xludf.DUMMYFUNCTION("""COMPUTED_VALUE"""),844.0)</f>
        <v>844</v>
      </c>
      <c r="AM175" s="880" t="str">
        <f>IFERROR(__xludf.DUMMYFUNCTION("""COMPUTED_VALUE"""),"")</f>
        <v/>
      </c>
      <c r="AN175" s="252" t="str">
        <f>IFERROR(__xludf.DUMMYFUNCTION("""COMPUTED_VALUE"""),"OT251015122851")</f>
        <v>OT251015122851</v>
      </c>
      <c r="AO175" s="252" t="str">
        <f>IFERROR(__xludf.DUMMYFUNCTION("""COMPUTED_VALUE"""),"Hr")</f>
        <v>Hr</v>
      </c>
      <c r="AP175" s="252" t="str">
        <f>IFERROR(__xludf.DUMMYFUNCTION("""COMPUTED_VALUE"""),"IS250912133338")</f>
        <v>IS250912133338</v>
      </c>
      <c r="AQ175" s="252">
        <f>IFERROR(__xludf.DUMMYFUNCTION("""COMPUTED_VALUE"""),4843.0)</f>
        <v>4843</v>
      </c>
      <c r="AR175" s="252"/>
      <c r="AS175" s="881">
        <f>IFERROR(__xludf.DUMMYFUNCTION("""COMPUTED_VALUE"""),45729.0)</f>
        <v>45729</v>
      </c>
      <c r="AT175" s="881">
        <f>IFERROR(__xludf.DUMMYFUNCTION("""COMPUTED_VALUE"""),44927.0)</f>
        <v>44927</v>
      </c>
      <c r="AU175" s="252" t="str">
        <f>IFERROR(__xludf.DUMMYFUNCTION("""COMPUTED_VALUE"""),"RDC260116173536")</f>
        <v>RDC260116173536</v>
      </c>
      <c r="AV175" s="252" t="str">
        <f>IFERROR(__xludf.DUMMYFUNCTION("""COMPUTED_VALUE"""),"RCO260116165029")</f>
        <v>RCO260116165029</v>
      </c>
      <c r="AW175" s="252">
        <f>IFERROR(__xludf.DUMMYFUNCTION("""COMPUTED_VALUE"""),63.0)</f>
        <v>63</v>
      </c>
      <c r="AX175" s="252">
        <f>IFERROR(__xludf.DUMMYFUNCTION("""COMPUTED_VALUE"""),9.0)</f>
        <v>9</v>
      </c>
      <c r="AY175" s="252">
        <f>IFERROR(__xludf.DUMMYFUNCTION("""COMPUTED_VALUE"""),0.0)</f>
        <v>0</v>
      </c>
      <c r="AZ175" s="883">
        <f>IFERROR(__xludf.DUMMYFUNCTION("""COMPUTED_VALUE"""),46038.0)</f>
        <v>46038</v>
      </c>
    </row>
    <row r="176">
      <c r="A176" s="252" t="str">
        <f>IFERROR(__xludf.DUMMYFUNCTION("""COMPUTED_VALUE"""),"m000089")</f>
        <v>m000089</v>
      </c>
      <c r="B176" s="252" t="str">
        <f>IFERROR(__xludf.DUMMYFUNCTION("""COMPUTED_VALUE"""),"RX-07 HYVX68")</f>
        <v>RX-07 HYVX68</v>
      </c>
      <c r="C176" s="252" t="str">
        <f>IFERROR(__xludf.DUMMYFUNCTION("""COMPUTED_VALUE"""),"RETROEXCAVADORA")</f>
        <v>RETROEXCAVADORA</v>
      </c>
      <c r="D176" s="252" t="str">
        <f>IFERROR(__xludf.DUMMYFUNCTION("""COMPUTED_VALUE"""),"RETROEXCAVADORA")</f>
        <v>RETROEXCAVADORA</v>
      </c>
      <c r="E176" s="252" t="str">
        <f>IFERROR(__xludf.DUMMYFUNCTION("""COMPUTED_VALUE"""),"JCB")</f>
        <v>JCB</v>
      </c>
      <c r="F176" s="252" t="str">
        <f>IFERROR(__xludf.DUMMYFUNCTION("""COMPUTED_VALUE"""),"3CXG 4X4")</f>
        <v>3CXG 4X4</v>
      </c>
      <c r="G176" s="252">
        <f>IFERROR(__xludf.DUMMYFUNCTION("""COMPUTED_VALUE"""),2017.0)</f>
        <v>2017</v>
      </c>
      <c r="H176" s="252" t="str">
        <f>IFERROR(__xludf.DUMMYFUNCTION("""COMPUTED_VALUE"""),"SB32045045H00106740")</f>
        <v>SB32045045H00106740</v>
      </c>
      <c r="I176" s="252" t="str">
        <f>IFERROR(__xludf.DUMMYFUNCTION("""COMPUTED_VALUE"""),"S0R3CXTTCG1918844")</f>
        <v>S0R3CXTTCG1918844</v>
      </c>
      <c r="J176" s="252" t="str">
        <f>IFERROR(__xludf.DUMMYFUNCTION("""COMPUTED_VALUE"""),"HYVX68-K")</f>
        <v>HYVX68-K</v>
      </c>
      <c r="K176" s="252" t="str">
        <f>IFERROR(__xludf.DUMMYFUNCTION("""COMPUTED_VALUE"""),"JHL")</f>
        <v>JHL</v>
      </c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>
        <f>IFERROR(__xludf.DUMMYFUNCTION("""COMPUTED_VALUE"""),0.0)</f>
        <v>0</v>
      </c>
      <c r="W176" s="252">
        <f>IFERROR(__xludf.DUMMYFUNCTION("""COMPUTED_VALUE"""),5.0)</f>
        <v>5</v>
      </c>
      <c r="X176" s="252">
        <f>IFERROR(__xludf.DUMMYFUNCTION("""COMPUTED_VALUE"""),5.0)</f>
        <v>5</v>
      </c>
      <c r="Y176" s="252">
        <f>IFERROR(__xludf.DUMMYFUNCTION("""COMPUTED_VALUE"""),5.0)</f>
        <v>5</v>
      </c>
      <c r="Z176" s="252">
        <f>IFERROR(__xludf.DUMMYFUNCTION("""COMPUTED_VALUE"""),8.0)</f>
        <v>8</v>
      </c>
      <c r="AA176" s="252">
        <f>IFERROR(__xludf.DUMMYFUNCTION("""COMPUTED_VALUE"""),8.0)</f>
        <v>8</v>
      </c>
      <c r="AB176" s="252" t="str">
        <f>IFERROR(__xludf.DUMMYFUNCTION("""COMPUTED_VALUE"""),"Patio LL")</f>
        <v>Patio LL</v>
      </c>
      <c r="AC176" s="252" t="str">
        <f>IFERROR(__xludf.DUMMYFUNCTION("""COMPUTED_VALUE"""),"MAQUINAS_Images/m000089.FOTO1.200200.jpg")</f>
        <v>MAQUINAS_Images/m000089.FOTO1.200200.jpg</v>
      </c>
      <c r="AD176" s="252">
        <f>IFERROR(__xludf.DUMMYFUNCTION("""COMPUTED_VALUE"""),697.0)</f>
        <v>697</v>
      </c>
      <c r="AE176" s="252" t="str">
        <f>IFERROR(__xludf.DUMMYFUNCTION("""COMPUTED_VALUE"""),"Alerta incidente")</f>
        <v>Alerta incidente</v>
      </c>
      <c r="AF176" s="252">
        <f>IFERROR(__xludf.DUMMYFUNCTION("""COMPUTED_VALUE"""),2.0)</f>
        <v>2</v>
      </c>
      <c r="AG176" s="252" t="str">
        <f>IFERROR(__xludf.DUMMYFUNCTION("""COMPUTED_VALUE"""),"[RX-07 HYVX68] - JCB 3CXG 4X4")</f>
        <v>[RX-07 HYVX68] - JCB 3CXG 4X4</v>
      </c>
      <c r="AH176" s="252">
        <f>IFERROR(__xludf.DUMMYFUNCTION("""COMPUTED_VALUE"""),13238.0)</f>
        <v>13238</v>
      </c>
      <c r="AI176" s="252">
        <f>IFERROR(__xludf.DUMMYFUNCTION("""COMPUTED_VALUE"""),11953.0)</f>
        <v>11953</v>
      </c>
      <c r="AJ176" s="882">
        <f>IFERROR(__xludf.DUMMYFUNCTION("""COMPUTED_VALUE"""),46096.66181712963)</f>
        <v>46096.66182</v>
      </c>
      <c r="AK176" s="882">
        <f>IFERROR(__xludf.DUMMYFUNCTION("""COMPUTED_VALUE"""),46086.708125)</f>
        <v>46086.70813</v>
      </c>
      <c r="AL176" s="880">
        <f>IFERROR(__xludf.DUMMYFUNCTION("""COMPUTED_VALUE"""),13235.0)</f>
        <v>13235</v>
      </c>
      <c r="AM176" s="252"/>
      <c r="AN176" s="252" t="str">
        <f>IFERROR(__xludf.DUMMYFUNCTION("""COMPUTED_VALUE"""),"OT260119082130")</f>
        <v>OT260119082130</v>
      </c>
      <c r="AO176" s="252" t="str">
        <f>IFERROR(__xludf.DUMMYFUNCTION("""COMPUTED_VALUE"""),"Hr")</f>
        <v>Hr</v>
      </c>
      <c r="AP176" s="252"/>
      <c r="AQ176" s="252">
        <f>IFERROR(__xludf.DUMMYFUNCTION("""COMPUTED_VALUE"""),12137.0)</f>
        <v>12137</v>
      </c>
      <c r="AR176" s="252"/>
      <c r="AS176" s="881">
        <f>IFERROR(__xludf.DUMMYFUNCTION("""COMPUTED_VALUE"""),44927.0)</f>
        <v>44927</v>
      </c>
      <c r="AT176" s="881">
        <f>IFERROR(__xludf.DUMMYFUNCTION("""COMPUTED_VALUE"""),44927.0)</f>
        <v>44927</v>
      </c>
      <c r="AU176" s="252" t="str">
        <f>IFERROR(__xludf.DUMMYFUNCTION("""COMPUTED_VALUE"""),"RDC260315174757")</f>
        <v>RDC260315174757</v>
      </c>
      <c r="AV176" s="252" t="str">
        <f>IFERROR(__xludf.DUMMYFUNCTION("""COMPUTED_VALUE"""),"RCO260305185459")</f>
        <v>RCO260305185459</v>
      </c>
      <c r="AW176" s="252">
        <f>IFERROR(__xludf.DUMMYFUNCTION("""COMPUTED_VALUE"""),70.0)</f>
        <v>70</v>
      </c>
      <c r="AX176" s="252">
        <f>IFERROR(__xludf.DUMMYFUNCTION("""COMPUTED_VALUE"""),19.0)</f>
        <v>19</v>
      </c>
      <c r="AY176" s="252">
        <f>IFERROR(__xludf.DUMMYFUNCTION("""COMPUTED_VALUE"""),0.0)</f>
        <v>0</v>
      </c>
      <c r="AZ176" s="884">
        <f>IFERROR(__xludf.DUMMYFUNCTION("""COMPUTED_VALUE"""),46086.0)</f>
        <v>46086</v>
      </c>
    </row>
    <row r="177">
      <c r="A177" s="252" t="str">
        <f>IFERROR(__xludf.DUMMYFUNCTION("""COMPUTED_VALUE"""),"m000090")</f>
        <v>m000090</v>
      </c>
      <c r="B177" s="252" t="str">
        <f>IFERROR(__xludf.DUMMYFUNCTION("""COMPUTED_VALUE"""),"T-01")</f>
        <v>T-01</v>
      </c>
      <c r="C177" s="252" t="str">
        <f>IFERROR(__xludf.DUMMYFUNCTION("""COMPUTED_VALUE"""),"TRACTOR")</f>
        <v>TRACTOR</v>
      </c>
      <c r="D177" s="252" t="str">
        <f>IFERROR(__xludf.DUMMYFUNCTION("""COMPUTED_VALUE"""),"TRACTOR")</f>
        <v>TRACTOR</v>
      </c>
      <c r="E177" s="252" t="str">
        <f>IFERROR(__xludf.DUMMYFUNCTION("""COMPUTED_VALUE"""),"MASSEY FERGUSON")</f>
        <v>MASSEY FERGUSON</v>
      </c>
      <c r="F177" s="252">
        <f>IFERROR(__xludf.DUMMYFUNCTION("""COMPUTED_VALUE"""),299.0)</f>
        <v>299</v>
      </c>
      <c r="G177" s="252"/>
      <c r="H177" s="252"/>
      <c r="I177" s="252"/>
      <c r="J177" s="252"/>
      <c r="K177" s="252" t="str">
        <f>IFERROR(__xludf.DUMMYFUNCTION("""COMPUTED_VALUE"""),"JHL")</f>
        <v>JHL</v>
      </c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>
        <f>IFERROR(__xludf.DUMMYFUNCTION("""COMPUTED_VALUE"""),0.0)</f>
        <v>0</v>
      </c>
      <c r="W177" s="252">
        <f>IFERROR(__xludf.DUMMYFUNCTION("""COMPUTED_VALUE"""),5.0)</f>
        <v>5</v>
      </c>
      <c r="X177" s="252">
        <f>IFERROR(__xludf.DUMMYFUNCTION("""COMPUTED_VALUE"""),5.0)</f>
        <v>5</v>
      </c>
      <c r="Y177" s="252">
        <f>IFERROR(__xludf.DUMMYFUNCTION("""COMPUTED_VALUE"""),5.0)</f>
        <v>5</v>
      </c>
      <c r="Z177" s="252">
        <f>IFERROR(__xludf.DUMMYFUNCTION("""COMPUTED_VALUE"""),7.0)</f>
        <v>7</v>
      </c>
      <c r="AA177" s="252">
        <f>IFERROR(__xludf.DUMMYFUNCTION("""COMPUTED_VALUE"""),7.0)</f>
        <v>7</v>
      </c>
      <c r="AB177" s="252" t="str">
        <f>IFERROR(__xludf.DUMMYFUNCTION("""COMPUTED_VALUE"""),"Reparando en terreno")</f>
        <v>Reparando en terreno</v>
      </c>
      <c r="AC177" s="252"/>
      <c r="AD177" s="252">
        <f>IFERROR(__xludf.DUMMYFUNCTION("""COMPUTED_VALUE"""),44.0)</f>
        <v>44</v>
      </c>
      <c r="AE177" s="252" t="str">
        <f>IFERROR(__xludf.DUMMYFUNCTION("""COMPUTED_VALUE"""),"Sin incidentes")</f>
        <v>Sin incidentes</v>
      </c>
      <c r="AF177" s="252">
        <f>IFERROR(__xludf.DUMMYFUNCTION("""COMPUTED_VALUE"""),3.0)</f>
        <v>3</v>
      </c>
      <c r="AG177" s="252" t="str">
        <f>IFERROR(__xludf.DUMMYFUNCTION("""COMPUTED_VALUE"""),"[T-01] - MASSEY FERGUSON 299")</f>
        <v>[T-01] - MASSEY FERGUSON 299</v>
      </c>
      <c r="AH177" s="252">
        <f>IFERROR(__xludf.DUMMYFUNCTION("""COMPUTED_VALUE"""),7649.0)</f>
        <v>7649</v>
      </c>
      <c r="AI177" s="252"/>
      <c r="AJ177" s="882">
        <f>IFERROR(__xludf.DUMMYFUNCTION("""COMPUTED_VALUE"""),46040.855208333334)</f>
        <v>46040.85521</v>
      </c>
      <c r="AK177" s="252"/>
      <c r="AL177" s="880">
        <f>IFERROR(__xludf.DUMMYFUNCTION("""COMPUTED_VALUE"""),7240.0)</f>
        <v>7240</v>
      </c>
      <c r="AM177" s="880" t="str">
        <f>IFERROR(__xludf.DUMMYFUNCTION("""COMPUTED_VALUE"""),"")</f>
        <v/>
      </c>
      <c r="AN177" s="252" t="str">
        <f>IFERROR(__xludf.DUMMYFUNCTION("""COMPUTED_VALUE"""),"OT241218091746")</f>
        <v>OT241218091746</v>
      </c>
      <c r="AO177" s="252" t="str">
        <f>IFERROR(__xludf.DUMMYFUNCTION("""COMPUTED_VALUE"""),"Hr")</f>
        <v>Hr</v>
      </c>
      <c r="AP177" s="252"/>
      <c r="AQ177" s="252">
        <f>IFERROR(__xludf.DUMMYFUNCTION("""COMPUTED_VALUE"""),6957.0)</f>
        <v>6957</v>
      </c>
      <c r="AR177" s="252"/>
      <c r="AS177" s="881">
        <f>IFERROR(__xludf.DUMMYFUNCTION("""COMPUTED_VALUE"""),44927.0)</f>
        <v>44927</v>
      </c>
      <c r="AT177" s="881">
        <f>IFERROR(__xludf.DUMMYFUNCTION("""COMPUTED_VALUE"""),44927.0)</f>
        <v>44927</v>
      </c>
      <c r="AU177" s="252" t="str">
        <f>IFERROR(__xludf.DUMMYFUNCTION("""COMPUTED_VALUE"""),"RDC260109100125")</f>
        <v>RDC260109100125</v>
      </c>
      <c r="AV177" s="252" t="str">
        <f>IFERROR(__xludf.DUMMYFUNCTION("""COMPUTED_VALUE"""),"RCO260109100336")</f>
        <v>RCO260109100336</v>
      </c>
      <c r="AW177" s="252">
        <f>IFERROR(__xludf.DUMMYFUNCTION("""COMPUTED_VALUE"""),42.0)</f>
        <v>42</v>
      </c>
      <c r="AX177" s="252">
        <f>IFERROR(__xludf.DUMMYFUNCTION("""COMPUTED_VALUE"""),8.0)</f>
        <v>8</v>
      </c>
      <c r="AY177" s="252"/>
      <c r="AZ177" s="881">
        <f>IFERROR(__xludf.DUMMYFUNCTION("""COMPUTED_VALUE"""),46031.0)</f>
        <v>46031</v>
      </c>
    </row>
    <row r="178">
      <c r="A178" s="252" t="str">
        <f>IFERROR(__xludf.DUMMYFUNCTION("""COMPUTED_VALUE"""),"m000091")</f>
        <v>m000091</v>
      </c>
      <c r="B178" s="252" t="str">
        <f>IFERROR(__xludf.DUMMYFUNCTION("""COMPUTED_VALUE"""),"T-02 HLZF62")</f>
        <v>T-02 HLZF62</v>
      </c>
      <c r="C178" s="252" t="str">
        <f>IFERROR(__xludf.DUMMYFUNCTION("""COMPUTED_VALUE"""),"TRACTOR")</f>
        <v>TRACTOR</v>
      </c>
      <c r="D178" s="252" t="str">
        <f>IFERROR(__xludf.DUMMYFUNCTION("""COMPUTED_VALUE"""),"TRACTOR")</f>
        <v>TRACTOR</v>
      </c>
      <c r="E178" s="252" t="str">
        <f>IFERROR(__xludf.DUMMYFUNCTION("""COMPUTED_VALUE"""),"SAME")</f>
        <v>SAME</v>
      </c>
      <c r="F178" s="252" t="str">
        <f>IFERROR(__xludf.DUMMYFUNCTION("""COMPUTED_VALUE"""),"EXPLORER 95")</f>
        <v>EXPLORER 95</v>
      </c>
      <c r="G178" s="252">
        <f>IFERROR(__xludf.DUMMYFUNCTION("""COMPUTED_VALUE"""),2016.0)</f>
        <v>2016</v>
      </c>
      <c r="H178" s="252" t="str">
        <f>IFERROR(__xludf.DUMMYFUNCTION("""COMPUTED_VALUE"""),"1000.4WT117539")</f>
        <v>1000.4WT117539</v>
      </c>
      <c r="I178" s="252" t="str">
        <f>IFERROR(__xludf.DUMMYFUNCTION("""COMPUTED_VALUE"""),"EX95E1WVT36100")</f>
        <v>EX95E1WVT36100</v>
      </c>
      <c r="J178" s="252" t="str">
        <f>IFERROR(__xludf.DUMMYFUNCTION("""COMPUTED_VALUE"""),"HLZF62-8")</f>
        <v>HLZF62-8</v>
      </c>
      <c r="K178" s="252" t="str">
        <f>IFERROR(__xludf.DUMMYFUNCTION("""COMPUTED_VALUE"""),"JHL")</f>
        <v>JHL</v>
      </c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>
        <f>IFERROR(__xludf.DUMMYFUNCTION("""COMPUTED_VALUE"""),0.0)</f>
        <v>0</v>
      </c>
      <c r="W178" s="252">
        <f>IFERROR(__xludf.DUMMYFUNCTION("""COMPUTED_VALUE"""),5.0)</f>
        <v>5</v>
      </c>
      <c r="X178" s="252">
        <f>IFERROR(__xludf.DUMMYFUNCTION("""COMPUTED_VALUE"""),5.0)</f>
        <v>5</v>
      </c>
      <c r="Y178" s="252">
        <f>IFERROR(__xludf.DUMMYFUNCTION("""COMPUTED_VALUE"""),5.0)</f>
        <v>5</v>
      </c>
      <c r="Z178" s="252">
        <f>IFERROR(__xludf.DUMMYFUNCTION("""COMPUTED_VALUE"""),7.0)</f>
        <v>7</v>
      </c>
      <c r="AA178" s="252">
        <f>IFERROR(__xludf.DUMMYFUNCTION("""COMPUTED_VALUE"""),7.0)</f>
        <v>7</v>
      </c>
      <c r="AB178" s="252" t="str">
        <f>IFERROR(__xludf.DUMMYFUNCTION("""COMPUTED_VALUE"""),"Patio LL")</f>
        <v>Patio LL</v>
      </c>
      <c r="AC178" s="252"/>
      <c r="AD178" s="252">
        <f>IFERROR(__xludf.DUMMYFUNCTION("""COMPUTED_VALUE"""),899.0)</f>
        <v>899</v>
      </c>
      <c r="AE178" s="252" t="str">
        <f>IFERROR(__xludf.DUMMYFUNCTION("""COMPUTED_VALUE"""),"Sin incidentes")</f>
        <v>Sin incidentes</v>
      </c>
      <c r="AF178" s="252">
        <f>IFERROR(__xludf.DUMMYFUNCTION("""COMPUTED_VALUE"""),1.0)</f>
        <v>1</v>
      </c>
      <c r="AG178" s="252" t="str">
        <f>IFERROR(__xludf.DUMMYFUNCTION("""COMPUTED_VALUE"""),"[T-02 HLZF62] - SAME EXPLORER 95")</f>
        <v>[T-02 HLZF62] - SAME EXPLORER 95</v>
      </c>
      <c r="AH178" s="252">
        <f>IFERROR(__xludf.DUMMYFUNCTION("""COMPUTED_VALUE"""),7777.0)</f>
        <v>7777</v>
      </c>
      <c r="AI178" s="252"/>
      <c r="AJ178" s="882">
        <f>IFERROR(__xludf.DUMMYFUNCTION("""COMPUTED_VALUE"""),46087.53230324074)</f>
        <v>46087.5323</v>
      </c>
      <c r="AK178" s="252"/>
      <c r="AL178" s="880">
        <f>IFERROR(__xludf.DUMMYFUNCTION("""COMPUTED_VALUE"""),7963.0)</f>
        <v>7963</v>
      </c>
      <c r="AM178" s="880" t="str">
        <f>IFERROR(__xludf.DUMMYFUNCTION("""COMPUTED_VALUE"""),"")</f>
        <v/>
      </c>
      <c r="AN178" s="252" t="str">
        <f>IFERROR(__xludf.DUMMYFUNCTION("""COMPUTED_VALUE"""),"OT251117162008")</f>
        <v>OT251117162008</v>
      </c>
      <c r="AO178" s="252" t="str">
        <f>IFERROR(__xludf.DUMMYFUNCTION("""COMPUTED_VALUE"""),"Hr")</f>
        <v>Hr</v>
      </c>
      <c r="AP178" s="252" t="str">
        <f>IFERROR(__xludf.DUMMYFUNCTION("""COMPUTED_VALUE"""),"IS250318173456")</f>
        <v>IS250318173456</v>
      </c>
      <c r="AQ178" s="252">
        <f>IFERROR(__xludf.DUMMYFUNCTION("""COMPUTED_VALUE"""),7321.0)</f>
        <v>7321</v>
      </c>
      <c r="AR178" s="252"/>
      <c r="AS178" s="881">
        <f>IFERROR(__xludf.DUMMYFUNCTION("""COMPUTED_VALUE"""),44927.0)</f>
        <v>44927</v>
      </c>
      <c r="AT178" s="881">
        <f>IFERROR(__xludf.DUMMYFUNCTION("""COMPUTED_VALUE"""),44927.0)</f>
        <v>44927</v>
      </c>
      <c r="AU178" s="252" t="str">
        <f>IFERROR(__xludf.DUMMYFUNCTION("""COMPUTED_VALUE"""),"RDC260104094339")</f>
        <v>RDC260104094339</v>
      </c>
      <c r="AV178" s="252" t="str">
        <f>IFERROR(__xludf.DUMMYFUNCTION("""COMPUTED_VALUE"""),"RCO260306144005")</f>
        <v>RCO260306144005</v>
      </c>
      <c r="AW178" s="252">
        <f>IFERROR(__xludf.DUMMYFUNCTION("""COMPUTED_VALUE"""),44.0)</f>
        <v>44</v>
      </c>
      <c r="AX178" s="252">
        <f>IFERROR(__xludf.DUMMYFUNCTION("""COMPUTED_VALUE"""),7.0)</f>
        <v>7</v>
      </c>
      <c r="AY178" s="252"/>
      <c r="AZ178" s="881">
        <f>IFERROR(__xludf.DUMMYFUNCTION("""COMPUTED_VALUE"""),46087.0)</f>
        <v>46087</v>
      </c>
    </row>
    <row r="179">
      <c r="A179" s="252" t="str">
        <f>IFERROR(__xludf.DUMMYFUNCTION("""COMPUTED_VALUE"""),"m000092")</f>
        <v>m000092</v>
      </c>
      <c r="B179" s="252" t="str">
        <f>IFERROR(__xludf.DUMMYFUNCTION("""COMPUTED_VALUE"""),"T-03 HKVR32")</f>
        <v>T-03 HKVR32</v>
      </c>
      <c r="C179" s="252" t="str">
        <f>IFERROR(__xludf.DUMMYFUNCTION("""COMPUTED_VALUE"""),"TRACTOR")</f>
        <v>TRACTOR</v>
      </c>
      <c r="D179" s="252" t="str">
        <f>IFERROR(__xludf.DUMMYFUNCTION("""COMPUTED_VALUE"""),"TRACTOR")</f>
        <v>TRACTOR</v>
      </c>
      <c r="E179" s="252" t="str">
        <f>IFERROR(__xludf.DUMMYFUNCTION("""COMPUTED_VALUE"""),"MASSEY FERGUSON")</f>
        <v>MASSEY FERGUSON</v>
      </c>
      <c r="F179" s="252" t="str">
        <f>IFERROR(__xludf.DUMMYFUNCTION("""COMPUTED_VALUE"""),"4292T4K")</f>
        <v>4292T4K</v>
      </c>
      <c r="G179" s="252">
        <f>IFERROR(__xludf.DUMMYFUNCTION("""COMPUTED_VALUE"""),2014.0)</f>
        <v>2014</v>
      </c>
      <c r="H179" s="252" t="str">
        <f>IFERROR(__xludf.DUMMYFUNCTION("""COMPUTED_VALUE"""),"ABE233076")</f>
        <v>ABE233076</v>
      </c>
      <c r="I179" s="252">
        <f>IFERROR(__xludf.DUMMYFUNCTION("""COMPUTED_VALUE"""),4.292397252E9)</f>
        <v>4292397252</v>
      </c>
      <c r="J179" s="252" t="str">
        <f>IFERROR(__xludf.DUMMYFUNCTION("""COMPUTED_VALUE"""),"HKVR32-7")</f>
        <v>HKVR32-7</v>
      </c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>
        <f>IFERROR(__xludf.DUMMYFUNCTION("""COMPUTED_VALUE"""),0.0)</f>
        <v>0</v>
      </c>
      <c r="W179" s="252">
        <f>IFERROR(__xludf.DUMMYFUNCTION("""COMPUTED_VALUE"""),5.0)</f>
        <v>5</v>
      </c>
      <c r="X179" s="252">
        <f>IFERROR(__xludf.DUMMYFUNCTION("""COMPUTED_VALUE"""),5.0)</f>
        <v>5</v>
      </c>
      <c r="Y179" s="252">
        <f>IFERROR(__xludf.DUMMYFUNCTION("""COMPUTED_VALUE"""),5.0)</f>
        <v>5</v>
      </c>
      <c r="Z179" s="252">
        <f>IFERROR(__xludf.DUMMYFUNCTION("""COMPUTED_VALUE"""),7.0)</f>
        <v>7</v>
      </c>
      <c r="AA179" s="252">
        <f>IFERROR(__xludf.DUMMYFUNCTION("""COMPUTED_VALUE"""),7.0)</f>
        <v>7</v>
      </c>
      <c r="AB179" s="252" t="str">
        <f>IFERROR(__xludf.DUMMYFUNCTION("""COMPUTED_VALUE"""),"En producción")</f>
        <v>En producción</v>
      </c>
      <c r="AC179" s="252"/>
      <c r="AD179" s="252">
        <f>IFERROR(__xludf.DUMMYFUNCTION("""COMPUTED_VALUE"""),688.0)</f>
        <v>688</v>
      </c>
      <c r="AE179" s="252" t="str">
        <f>IFERROR(__xludf.DUMMYFUNCTION("""COMPUTED_VALUE"""),"Sin incidentes")</f>
        <v>Sin incidentes</v>
      </c>
      <c r="AF179" s="252">
        <f>IFERROR(__xludf.DUMMYFUNCTION("""COMPUTED_VALUE"""),1.0)</f>
        <v>1</v>
      </c>
      <c r="AG179" s="252" t="str">
        <f>IFERROR(__xludf.DUMMYFUNCTION("""COMPUTED_VALUE"""),"[T-03 HKVR32] - MASSEY FERGUSON 4292T4K")</f>
        <v>[T-03 HKVR32] - MASSEY FERGUSON 4292T4K</v>
      </c>
      <c r="AH179" s="252">
        <f>IFERROR(__xludf.DUMMYFUNCTION("""COMPUTED_VALUE"""),5779.0)</f>
        <v>5779</v>
      </c>
      <c r="AI179" s="252"/>
      <c r="AJ179" s="882">
        <f>IFERROR(__xludf.DUMMYFUNCTION("""COMPUTED_VALUE"""),46093.36761574074)</f>
        <v>46093.36762</v>
      </c>
      <c r="AK179" s="252"/>
      <c r="AL179" s="880">
        <f>IFERROR(__xludf.DUMMYFUNCTION("""COMPUTED_VALUE"""),6123.0)</f>
        <v>6123</v>
      </c>
      <c r="AM179" s="880" t="str">
        <f>IFERROR(__xludf.DUMMYFUNCTION("""COMPUTED_VALUE"""),"")</f>
        <v/>
      </c>
      <c r="AN179" s="252" t="str">
        <f>IFERROR(__xludf.DUMMYFUNCTION("""COMPUTED_VALUE"""),"OT260227110333")</f>
        <v>OT260227110333</v>
      </c>
      <c r="AO179" s="252" t="str">
        <f>IFERROR(__xludf.DUMMYFUNCTION("""COMPUTED_VALUE"""),"Hr")</f>
        <v>Hr</v>
      </c>
      <c r="AP179" s="252"/>
      <c r="AQ179" s="252">
        <f>IFERROR(__xludf.DUMMYFUNCTION("""COMPUTED_VALUE"""),5103.0)</f>
        <v>5103</v>
      </c>
      <c r="AR179" s="252"/>
      <c r="AS179" s="881">
        <f>IFERROR(__xludf.DUMMYFUNCTION("""COMPUTED_VALUE"""),44927.0)</f>
        <v>44927</v>
      </c>
      <c r="AT179" s="881">
        <f>IFERROR(__xludf.DUMMYFUNCTION("""COMPUTED_VALUE"""),44927.0)</f>
        <v>44927</v>
      </c>
      <c r="AU179" s="252" t="str">
        <f>IFERROR(__xludf.DUMMYFUNCTION("""COMPUTED_VALUE"""),"RDC260205112242")</f>
        <v>RDC260205112242</v>
      </c>
      <c r="AV179" s="252" t="str">
        <f>IFERROR(__xludf.DUMMYFUNCTION("""COMPUTED_VALUE"""),"RCO260312104535")</f>
        <v>RCO260312104535</v>
      </c>
      <c r="AW179" s="252">
        <f>IFERROR(__xludf.DUMMYFUNCTION("""COMPUTED_VALUE"""),40.0)</f>
        <v>40</v>
      </c>
      <c r="AX179" s="252">
        <f>IFERROR(__xludf.DUMMYFUNCTION("""COMPUTED_VALUE"""),14.0)</f>
        <v>14</v>
      </c>
      <c r="AY179" s="252"/>
      <c r="AZ179" s="881">
        <f>IFERROR(__xludf.DUMMYFUNCTION("""COMPUTED_VALUE"""),46093.0)</f>
        <v>46093</v>
      </c>
    </row>
    <row r="180">
      <c r="A180" s="252" t="str">
        <f>IFERROR(__xludf.DUMMYFUNCTION("""COMPUTED_VALUE"""),"m000093")</f>
        <v>m000093</v>
      </c>
      <c r="B180" s="252" t="str">
        <f>IFERROR(__xludf.DUMMYFUNCTION("""COMPUTED_VALUE"""),"T-04 SHRB11")</f>
        <v>T-04 SHRB11</v>
      </c>
      <c r="C180" s="252" t="str">
        <f>IFERROR(__xludf.DUMMYFUNCTION("""COMPUTED_VALUE"""),"TRACTOR ")</f>
        <v>TRACTOR </v>
      </c>
      <c r="D180" s="252" t="str">
        <f>IFERROR(__xludf.DUMMYFUNCTION("""COMPUTED_VALUE"""),"TRACTOR ")</f>
        <v>TRACTOR </v>
      </c>
      <c r="E180" s="252" t="str">
        <f>IFERROR(__xludf.DUMMYFUNCTION("""COMPUTED_VALUE"""),"CASE")</f>
        <v>CASE</v>
      </c>
      <c r="F180" s="252" t="str">
        <f>IFERROR(__xludf.DUMMYFUNCTION("""COMPUTED_VALUE"""),"MAXXUM 125 DT")</f>
        <v>MAXXUM 125 DT</v>
      </c>
      <c r="G180" s="252">
        <f>IFERROR(__xludf.DUMMYFUNCTION("""COMPUTED_VALUE"""),2023.0)</f>
        <v>2023</v>
      </c>
      <c r="H180" s="252">
        <f>IFERROR(__xludf.DUMMYFUNCTION("""COMPUTED_VALUE"""),1949274.0)</f>
        <v>1949274</v>
      </c>
      <c r="I180" s="252" t="str">
        <f>IFERROR(__xludf.DUMMYFUNCTION("""COMPUTED_VALUE"""),"ZNBE01373")</f>
        <v>ZNBE01373</v>
      </c>
      <c r="J180" s="252" t="str">
        <f>IFERROR(__xludf.DUMMYFUNCTION("""COMPUTED_VALUE"""),"SHRB11-1")</f>
        <v>SHRB11-1</v>
      </c>
      <c r="K180" s="252" t="str">
        <f>IFERROR(__xludf.DUMMYFUNCTION("""COMPUTED_VALUE"""),"ITAU")</f>
        <v>ITAU</v>
      </c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>
        <f>IFERROR(__xludf.DUMMYFUNCTION("""COMPUTED_VALUE"""),0.0)</f>
        <v>0</v>
      </c>
      <c r="W180" s="252">
        <f>IFERROR(__xludf.DUMMYFUNCTION("""COMPUTED_VALUE"""),4.0)</f>
        <v>4</v>
      </c>
      <c r="X180" s="252">
        <f>IFERROR(__xludf.DUMMYFUNCTION("""COMPUTED_VALUE"""),4.0)</f>
        <v>4</v>
      </c>
      <c r="Y180" s="252">
        <f>IFERROR(__xludf.DUMMYFUNCTION("""COMPUTED_VALUE"""),4.0)</f>
        <v>4</v>
      </c>
      <c r="Z180" s="252">
        <f>IFERROR(__xludf.DUMMYFUNCTION("""COMPUTED_VALUE"""),5.0)</f>
        <v>5</v>
      </c>
      <c r="AA180" s="252">
        <f>IFERROR(__xludf.DUMMYFUNCTION("""COMPUTED_VALUE"""),5.0)</f>
        <v>5</v>
      </c>
      <c r="AB180" s="252" t="str">
        <f>IFERROR(__xludf.DUMMYFUNCTION("""COMPUTED_VALUE"""),"En producción")</f>
        <v>En producción</v>
      </c>
      <c r="AC180" s="252"/>
      <c r="AD180" s="252">
        <f>IFERROR(__xludf.DUMMYFUNCTION("""COMPUTED_VALUE"""),903.0)</f>
        <v>903</v>
      </c>
      <c r="AE180" s="252" t="str">
        <f>IFERROR(__xludf.DUMMYFUNCTION("""COMPUTED_VALUE"""),"Sin incidentes")</f>
        <v>Sin incidentes</v>
      </c>
      <c r="AF180" s="252">
        <f>IFERROR(__xludf.DUMMYFUNCTION("""COMPUTED_VALUE"""),1.0)</f>
        <v>1</v>
      </c>
      <c r="AG180" s="252" t="str">
        <f>IFERROR(__xludf.DUMMYFUNCTION("""COMPUTED_VALUE"""),"[T-04 SHRB11] - CASE MAXXUM 125 DT")</f>
        <v>[T-04 SHRB11] - CASE MAXXUM 125 DT</v>
      </c>
      <c r="AH180" s="252">
        <f>IFERROR(__xludf.DUMMYFUNCTION("""COMPUTED_VALUE"""),4545.0)</f>
        <v>4545</v>
      </c>
      <c r="AI180" s="252"/>
      <c r="AJ180" s="882">
        <f>IFERROR(__xludf.DUMMYFUNCTION("""COMPUTED_VALUE"""),46094.351875)</f>
        <v>46094.35188</v>
      </c>
      <c r="AK180" s="252"/>
      <c r="AL180" s="880">
        <f>IFERROR(__xludf.DUMMYFUNCTION("""COMPUTED_VALUE"""),4643.0)</f>
        <v>4643</v>
      </c>
      <c r="AM180" s="880" t="str">
        <f>IFERROR(__xludf.DUMMYFUNCTION("""COMPUTED_VALUE"""),"")</f>
        <v/>
      </c>
      <c r="AN180" s="252" t="str">
        <f>IFERROR(__xludf.DUMMYFUNCTION("""COMPUTED_VALUE"""),"OT251124103203")</f>
        <v>OT251124103203</v>
      </c>
      <c r="AO180" s="252" t="str">
        <f>IFERROR(__xludf.DUMMYFUNCTION("""COMPUTED_VALUE"""),"Hr")</f>
        <v>Hr</v>
      </c>
      <c r="AP180" s="252"/>
      <c r="AQ180" s="252">
        <f>IFERROR(__xludf.DUMMYFUNCTION("""COMPUTED_VALUE"""),3243.0)</f>
        <v>3243</v>
      </c>
      <c r="AR180" s="252"/>
      <c r="AS180" s="881">
        <f>IFERROR(__xludf.DUMMYFUNCTION("""COMPUTED_VALUE"""),44927.0)</f>
        <v>44927</v>
      </c>
      <c r="AT180" s="881">
        <f>IFERROR(__xludf.DUMMYFUNCTION("""COMPUTED_VALUE"""),44927.0)</f>
        <v>44927</v>
      </c>
      <c r="AU180" s="252" t="str">
        <f>IFERROR(__xludf.DUMMYFUNCTION("""COMPUTED_VALUE"""),"RDC260206171536")</f>
        <v>RDC260206171536</v>
      </c>
      <c r="AV180" s="252" t="str">
        <f>IFERROR(__xludf.DUMMYFUNCTION("""COMPUTED_VALUE"""),"RCO260313102530")</f>
        <v>RCO260313102530</v>
      </c>
      <c r="AW180" s="252">
        <f>IFERROR(__xludf.DUMMYFUNCTION("""COMPUTED_VALUE"""),133.0)</f>
        <v>133</v>
      </c>
      <c r="AX180" s="252">
        <f>IFERROR(__xludf.DUMMYFUNCTION("""COMPUTED_VALUE"""),41.0)</f>
        <v>41</v>
      </c>
      <c r="AY180" s="252"/>
      <c r="AZ180" s="881">
        <f>IFERROR(__xludf.DUMMYFUNCTION("""COMPUTED_VALUE"""),46094.0)</f>
        <v>46094</v>
      </c>
    </row>
    <row r="181">
      <c r="A181" s="252" t="str">
        <f>IFERROR(__xludf.DUMMYFUNCTION("""COMPUTED_VALUE"""),"m000094")</f>
        <v>m000094</v>
      </c>
      <c r="B181" s="252" t="str">
        <f>IFERROR(__xludf.DUMMYFUNCTION("""COMPUTED_VALUE"""),"MC-04")</f>
        <v>MC-04</v>
      </c>
      <c r="C181" s="252" t="str">
        <f>IFERROR(__xludf.DUMMYFUNCTION("""COMPUTED_VALUE"""),"CARGADOR FRONTAL")</f>
        <v>CARGADOR FRONTAL</v>
      </c>
      <c r="D181" s="252" t="str">
        <f>IFERROR(__xludf.DUMMYFUNCTION("""COMPUTED_VALUE"""),"MINI-CARGADOR")</f>
        <v>MINI-CARGADOR</v>
      </c>
      <c r="E181" s="252" t="str">
        <f>IFERROR(__xludf.DUMMYFUNCTION("""COMPUTED_VALUE"""),"BOBCAT")</f>
        <v>BOBCAT</v>
      </c>
      <c r="F181" s="252" t="str">
        <f>IFERROR(__xludf.DUMMYFUNCTION("""COMPUTED_VALUE"""),"S185")</f>
        <v>S185</v>
      </c>
      <c r="G181" s="252">
        <f>IFERROR(__xludf.DUMMYFUNCTION("""COMPUTED_VALUE"""),2008.0)</f>
        <v>2008</v>
      </c>
      <c r="H181" s="252" t="str">
        <f>IFERROR(__xludf.DUMMYFUNCTION("""COMPUTED_VALUE"""),"7Q0093")</f>
        <v>7Q0093</v>
      </c>
      <c r="I181" s="252">
        <f>IFERROR(__xludf.DUMMYFUNCTION("""COMPUTED_VALUE"""),5.30320508E8)</f>
        <v>530320508</v>
      </c>
      <c r="J181" s="252" t="str">
        <f>IFERROR(__xludf.DUMMYFUNCTION("""COMPUTED_VALUE"""),"BFZF59-7")</f>
        <v>BFZF59-7</v>
      </c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>
        <f>IFERROR(__xludf.DUMMYFUNCTION("""COMPUTED_VALUE"""),0.0)</f>
        <v>0</v>
      </c>
      <c r="W181" s="252">
        <f>IFERROR(__xludf.DUMMYFUNCTION("""COMPUTED_VALUE"""),5.0)</f>
        <v>5</v>
      </c>
      <c r="X181" s="252">
        <f>IFERROR(__xludf.DUMMYFUNCTION("""COMPUTED_VALUE"""),5.0)</f>
        <v>5</v>
      </c>
      <c r="Y181" s="252">
        <f>IFERROR(__xludf.DUMMYFUNCTION("""COMPUTED_VALUE"""),5.0)</f>
        <v>5</v>
      </c>
      <c r="Z181" s="252">
        <f>IFERROR(__xludf.DUMMYFUNCTION("""COMPUTED_VALUE"""),10.0)</f>
        <v>10</v>
      </c>
      <c r="AA181" s="252">
        <f>IFERROR(__xludf.DUMMYFUNCTION("""COMPUTED_VALUE"""),10.0)</f>
        <v>10</v>
      </c>
      <c r="AB181" s="252" t="str">
        <f>IFERROR(__xludf.DUMMYFUNCTION("""COMPUTED_VALUE"""),"Patio LL")</f>
        <v>Patio LL</v>
      </c>
      <c r="AC181" s="252" t="str">
        <f>IFERROR(__xludf.DUMMYFUNCTION("""COMPUTED_VALUE"""),"MAQUINAS_Images/m000094.FOTO1.200110.jpg")</f>
        <v>MAQUINAS_Images/m000094.FOTO1.200110.jpg</v>
      </c>
      <c r="AD181" s="252">
        <f>IFERROR(__xludf.DUMMYFUNCTION("""COMPUTED_VALUE"""),1100.0)</f>
        <v>1100</v>
      </c>
      <c r="AE181" s="252" t="str">
        <f>IFERROR(__xludf.DUMMYFUNCTION("""COMPUTED_VALUE"""),"Sin incidentes")</f>
        <v>Sin incidentes</v>
      </c>
      <c r="AF181" s="252">
        <f>IFERROR(__xludf.DUMMYFUNCTION("""COMPUTED_VALUE"""),1.0)</f>
        <v>1</v>
      </c>
      <c r="AG181" s="252" t="str">
        <f>IFERROR(__xludf.DUMMYFUNCTION("""COMPUTED_VALUE"""),"[MC-04] - BOBCAT S185")</f>
        <v>[MC-04] - BOBCAT S185</v>
      </c>
      <c r="AH181" s="252">
        <f>IFERROR(__xludf.DUMMYFUNCTION("""COMPUTED_VALUE"""),7821.0)</f>
        <v>7821</v>
      </c>
      <c r="AI181" s="252">
        <f>IFERROR(__xludf.DUMMYFUNCTION("""COMPUTED_VALUE"""),1.0)</f>
        <v>1</v>
      </c>
      <c r="AJ181" s="882">
        <f>IFERROR(__xludf.DUMMYFUNCTION("""COMPUTED_VALUE"""),46093.51590277778)</f>
        <v>46093.5159</v>
      </c>
      <c r="AK181" s="882">
        <f>IFERROR(__xludf.DUMMYFUNCTION("""COMPUTED_VALUE"""),46093.51597222222)</f>
        <v>46093.51597</v>
      </c>
      <c r="AL181" s="880">
        <f>IFERROR(__xludf.DUMMYFUNCTION("""COMPUTED_VALUE"""),8150.0)</f>
        <v>8150</v>
      </c>
      <c r="AM181" s="880" t="str">
        <f>IFERROR(__xludf.DUMMYFUNCTION("""COMPUTED_VALUE"""),"")</f>
        <v/>
      </c>
      <c r="AN181" s="252" t="str">
        <f>IFERROR(__xludf.DUMMYFUNCTION("""COMPUTED_VALUE"""),"OT260218145659")</f>
        <v>OT260218145659</v>
      </c>
      <c r="AO181" s="252" t="str">
        <f>IFERROR(__xludf.DUMMYFUNCTION("""COMPUTED_VALUE"""),"Hr")</f>
        <v>Hr</v>
      </c>
      <c r="AP181" s="252" t="str">
        <f>IFERROR(__xludf.DUMMYFUNCTION("""COMPUTED_VALUE"""),"IS250313114546")</f>
        <v>IS250313114546</v>
      </c>
      <c r="AQ181" s="252">
        <f>IFERROR(__xludf.DUMMYFUNCTION("""COMPUTED_VALUE"""),7627.0)</f>
        <v>7627</v>
      </c>
      <c r="AR181" s="252"/>
      <c r="AS181" s="881">
        <f>IFERROR(__xludf.DUMMYFUNCTION("""COMPUTED_VALUE"""),44927.0)</f>
        <v>44927</v>
      </c>
      <c r="AT181" s="881">
        <f>IFERROR(__xludf.DUMMYFUNCTION("""COMPUTED_VALUE"""),44927.0)</f>
        <v>44927</v>
      </c>
      <c r="AU181" s="252" t="str">
        <f>IFERROR(__xludf.DUMMYFUNCTION("""COMPUTED_VALUE"""),"RDC260225080651")</f>
        <v>RDC260225080651</v>
      </c>
      <c r="AV181" s="252" t="str">
        <f>IFERROR(__xludf.DUMMYFUNCTION("""COMPUTED_VALUE"""),"RCO260312141625")</f>
        <v>RCO260312141625</v>
      </c>
      <c r="AW181" s="252">
        <f>IFERROR(__xludf.DUMMYFUNCTION("""COMPUTED_VALUE"""),13.0)</f>
        <v>13</v>
      </c>
      <c r="AX181" s="252">
        <f>IFERROR(__xludf.DUMMYFUNCTION("""COMPUTED_VALUE"""),4.0)</f>
        <v>4</v>
      </c>
      <c r="AY181" s="252">
        <f>IFERROR(__xludf.DUMMYFUNCTION("""COMPUTED_VALUE"""),0.0)</f>
        <v>0</v>
      </c>
      <c r="AZ181" s="883">
        <f>IFERROR(__xludf.DUMMYFUNCTION("""COMPUTED_VALUE"""),46093.0)</f>
        <v>46093</v>
      </c>
    </row>
    <row r="182">
      <c r="A182" s="252" t="str">
        <f>IFERROR(__xludf.DUMMYFUNCTION("""COMPUTED_VALUE"""),"m000095")</f>
        <v>m000095</v>
      </c>
      <c r="B182" s="252" t="str">
        <f>IFERROR(__xludf.DUMMYFUNCTION("""COMPUTED_VALUE"""),"B-01")</f>
        <v>B-01</v>
      </c>
      <c r="C182" s="252" t="str">
        <f>IFERROR(__xludf.DUMMYFUNCTION("""COMPUTED_VALUE"""),"REMOLQUE")</f>
        <v>REMOLQUE</v>
      </c>
      <c r="D182" s="252" t="str">
        <f>IFERROR(__xludf.DUMMYFUNCTION("""COMPUTED_VALUE"""),"BATEA")</f>
        <v>BATEA</v>
      </c>
      <c r="E182" s="252" t="str">
        <f>IFERROR(__xludf.DUMMYFUNCTION("""COMPUTED_VALUE"""),"RANDON")</f>
        <v>RANDON</v>
      </c>
      <c r="F182" s="252" t="str">
        <f>IFERROR(__xludf.DUMMYFUNCTION("""COMPUTED_VALUE"""),"SR BA BA 03 20")</f>
        <v>SR BA BA 03 20</v>
      </c>
      <c r="G182" s="252">
        <f>IFERROR(__xludf.DUMMYFUNCTION("""COMPUTED_VALUE"""),2011.0)</f>
        <v>2011</v>
      </c>
      <c r="H182" s="252"/>
      <c r="I182" s="252" t="str">
        <f>IFERROR(__xludf.DUMMYFUNCTION("""COMPUTED_VALUE"""),"9ADB08443ABM318156")</f>
        <v>9ADB08443ABM318156</v>
      </c>
      <c r="J182" s="252" t="str">
        <f>IFERROR(__xludf.DUMMYFUNCTION("""COMPUTED_VALUE"""),"JB3026-2")</f>
        <v>JB3026-2</v>
      </c>
      <c r="K182" s="252" t="str">
        <f>IFERROR(__xludf.DUMMYFUNCTION("""COMPUTED_VALUE"""),"ECMA")</f>
        <v>ECMA</v>
      </c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  <c r="AA182" s="252"/>
      <c r="AB182" s="252" t="str">
        <f>IFERROR(__xludf.DUMMYFUNCTION("""COMPUTED_VALUE"""),"Fuera de la empresa")</f>
        <v>Fuera de la empresa</v>
      </c>
      <c r="AC182" s="252"/>
      <c r="AD182" s="252"/>
      <c r="AE182" s="252" t="str">
        <f>IFERROR(__xludf.DUMMYFUNCTION("""COMPUTED_VALUE"""),"Sin incidentes")</f>
        <v>Sin incidentes</v>
      </c>
      <c r="AF182" s="252">
        <f>IFERROR(__xludf.DUMMYFUNCTION("""COMPUTED_VALUE"""),1.0)</f>
        <v>1</v>
      </c>
      <c r="AG182" s="252" t="str">
        <f>IFERROR(__xludf.DUMMYFUNCTION("""COMPUTED_VALUE"""),"[B-01] - RANDON SR BA BA 03 20")</f>
        <v>[B-01] - RANDON SR BA BA 03 20</v>
      </c>
      <c r="AH182" s="252">
        <f>IFERROR(__xludf.DUMMYFUNCTION("""COMPUTED_VALUE"""),1.0)</f>
        <v>1</v>
      </c>
      <c r="AI182" s="252">
        <f>IFERROR(__xludf.DUMMYFUNCTION("""COMPUTED_VALUE"""),1.0)</f>
        <v>1</v>
      </c>
      <c r="AJ182" s="882">
        <f>IFERROR(__xludf.DUMMYFUNCTION("""COMPUTED_VALUE"""),46070.62153935185)</f>
        <v>46070.62154</v>
      </c>
      <c r="AK182" s="882">
        <f>IFERROR(__xludf.DUMMYFUNCTION("""COMPUTED_VALUE"""),46070.62159722222)</f>
        <v>46070.6216</v>
      </c>
      <c r="AL182" s="880" t="str">
        <f>IFERROR(__xludf.DUMMYFUNCTION("""COMPUTED_VALUE"""),"")</f>
        <v/>
      </c>
      <c r="AM182" s="880" t="str">
        <f>IFERROR(__xludf.DUMMYFUNCTION("""COMPUTED_VALUE"""),"")</f>
        <v/>
      </c>
      <c r="AN182" s="252"/>
      <c r="AO182" s="252" t="str">
        <f>IFERROR(__xludf.DUMMYFUNCTION("""COMPUTED_VALUE"""),"N/A")</f>
        <v>N/A</v>
      </c>
      <c r="AP182" s="252" t="str">
        <f>IFERROR(__xludf.DUMMYFUNCTION("""COMPUTED_VALUE"""),"IS251028105823")</f>
        <v>IS251028105823</v>
      </c>
      <c r="AQ182" s="252"/>
      <c r="AR182" s="252"/>
      <c r="AS182" s="881">
        <f>IFERROR(__xludf.DUMMYFUNCTION("""COMPUTED_VALUE"""),44927.0)</f>
        <v>44927</v>
      </c>
      <c r="AT182" s="881">
        <f>IFERROR(__xludf.DUMMYFUNCTION("""COMPUTED_VALUE"""),44927.0)</f>
        <v>44927</v>
      </c>
      <c r="AU182" s="252"/>
      <c r="AV182" s="252"/>
      <c r="AW182" s="252"/>
      <c r="AX182" s="252"/>
      <c r="AY182" s="252"/>
      <c r="AZ182" s="252"/>
    </row>
    <row r="183">
      <c r="A183" s="252" t="str">
        <f>IFERROR(__xludf.DUMMYFUNCTION("""COMPUTED_VALUE"""),"m000096")</f>
        <v>m000096</v>
      </c>
      <c r="B183" s="252" t="str">
        <f>IFERROR(__xludf.DUMMYFUNCTION("""COMPUTED_VALUE"""),"B-02  JB9039")</f>
        <v>B-02  JB9039</v>
      </c>
      <c r="C183" s="252" t="str">
        <f>IFERROR(__xludf.DUMMYFUNCTION("""COMPUTED_VALUE"""),"REMOLQUE")</f>
        <v>REMOLQUE</v>
      </c>
      <c r="D183" s="252" t="str">
        <f>IFERROR(__xludf.DUMMYFUNCTION("""COMPUTED_VALUE"""),"BATEA")</f>
        <v>BATEA</v>
      </c>
      <c r="E183" s="252" t="str">
        <f>IFERROR(__xludf.DUMMYFUNCTION("""COMPUTED_VALUE"""),"RANDON")</f>
        <v>RANDON</v>
      </c>
      <c r="F183" s="252" t="str">
        <f>IFERROR(__xludf.DUMMYFUNCTION("""COMPUTED_VALUE"""),"SR BA AB 03 20")</f>
        <v>SR BA AB 03 20</v>
      </c>
      <c r="G183" s="252">
        <f>IFERROR(__xludf.DUMMYFUNCTION("""COMPUTED_VALUE"""),2013.0)</f>
        <v>2013</v>
      </c>
      <c r="H183" s="252">
        <f>IFERROR(__xludf.DUMMYFUNCTION("""COMPUTED_VALUE"""),0.0)</f>
        <v>0</v>
      </c>
      <c r="I183" s="252" t="str">
        <f>IFERROR(__xludf.DUMMYFUNCTION("""COMPUTED_VALUE"""),"9ADB08443CCM356729")</f>
        <v>9ADB08443CCM356729</v>
      </c>
      <c r="J183" s="252" t="str">
        <f>IFERROR(__xludf.DUMMYFUNCTION("""COMPUTED_VALUE"""),"JB9039-2")</f>
        <v>JB9039-2</v>
      </c>
      <c r="K183" s="252" t="str">
        <f>IFERROR(__xludf.DUMMYFUNCTION("""COMPUTED_VALUE"""),"ECMA")</f>
        <v>ECMA</v>
      </c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  <c r="AA183" s="252"/>
      <c r="AB183" s="252" t="str">
        <f>IFERROR(__xludf.DUMMYFUNCTION("""COMPUTED_VALUE"""),"En producción")</f>
        <v>En producción</v>
      </c>
      <c r="AC183" s="252" t="str">
        <f>IFERROR(__xludf.DUMMYFUNCTION("""COMPUTED_VALUE"""),"MAQUINAS_Images/m000096.FOTO1.132019.jpg")</f>
        <v>MAQUINAS_Images/m000096.FOTO1.132019.jpg</v>
      </c>
      <c r="AD183" s="252"/>
      <c r="AE183" s="252" t="str">
        <f>IFERROR(__xludf.DUMMYFUNCTION("""COMPUTED_VALUE"""),"Sin incidentes")</f>
        <v>Sin incidentes</v>
      </c>
      <c r="AF183" s="252">
        <f>IFERROR(__xludf.DUMMYFUNCTION("""COMPUTED_VALUE"""),1.0)</f>
        <v>1</v>
      </c>
      <c r="AG183" s="252" t="str">
        <f>IFERROR(__xludf.DUMMYFUNCTION("""COMPUTED_VALUE"""),"[B-02  JB9039] - RANDON SR BA AB 03 20")</f>
        <v>[B-02  JB9039] - RANDON SR BA AB 03 20</v>
      </c>
      <c r="AH183" s="252"/>
      <c r="AI183" s="252"/>
      <c r="AJ183" s="252"/>
      <c r="AK183" s="252"/>
      <c r="AL183" s="880" t="str">
        <f>IFERROR(__xludf.DUMMYFUNCTION("""COMPUTED_VALUE"""),"")</f>
        <v/>
      </c>
      <c r="AM183" s="880" t="str">
        <f>IFERROR(__xludf.DUMMYFUNCTION("""COMPUTED_VALUE"""),"")</f>
        <v/>
      </c>
      <c r="AN183" s="252"/>
      <c r="AO183" s="252" t="str">
        <f>IFERROR(__xludf.DUMMYFUNCTION("""COMPUTED_VALUE"""),"N/A")</f>
        <v>N/A</v>
      </c>
      <c r="AP183" s="252" t="str">
        <f>IFERROR(__xludf.DUMMYFUNCTION("""COMPUTED_VALUE"""),"IS250313083042")</f>
        <v>IS250313083042</v>
      </c>
      <c r="AQ183" s="252"/>
      <c r="AR183" s="252"/>
      <c r="AS183" s="881">
        <f>IFERROR(__xludf.DUMMYFUNCTION("""COMPUTED_VALUE"""),44927.0)</f>
        <v>44927</v>
      </c>
      <c r="AT183" s="881">
        <f>IFERROR(__xludf.DUMMYFUNCTION("""COMPUTED_VALUE"""),44927.0)</f>
        <v>44927</v>
      </c>
      <c r="AU183" s="252"/>
      <c r="AV183" s="252"/>
      <c r="AW183" s="252"/>
      <c r="AX183" s="252"/>
      <c r="AY183" s="252"/>
      <c r="AZ183" s="252"/>
    </row>
    <row r="184">
      <c r="A184" s="252" t="str">
        <f>IFERROR(__xludf.DUMMYFUNCTION("""COMPUTED_VALUE"""),"m000097")</f>
        <v>m000097</v>
      </c>
      <c r="B184" s="252" t="str">
        <f>IFERROR(__xludf.DUMMYFUNCTION("""COMPUTED_VALUE"""),"CB-01")</f>
        <v>CB-01</v>
      </c>
      <c r="C184" s="252" t="str">
        <f>IFERROR(__xludf.DUMMYFUNCTION("""COMPUTED_VALUE"""),"REMOLQUE")</f>
        <v>REMOLQUE</v>
      </c>
      <c r="D184" s="252" t="str">
        <f>IFERROR(__xludf.DUMMYFUNCTION("""COMPUTED_VALUE"""),"CAMA BAJA")</f>
        <v>CAMA BAJA</v>
      </c>
      <c r="E184" s="252" t="str">
        <f>IFERROR(__xludf.DUMMYFUNCTION("""COMPUTED_VALUE"""),"SCHILGER")</f>
        <v>SCHILGER</v>
      </c>
      <c r="F184" s="252" t="str">
        <f>IFERROR(__xludf.DUMMYFUNCTION("""COMPUTED_VALUE"""),"SR-CB-25T")</f>
        <v>SR-CB-25T</v>
      </c>
      <c r="G184" s="252">
        <f>IFERROR(__xludf.DUMMYFUNCTION("""COMPUTED_VALUE"""),2006.0)</f>
        <v>2006</v>
      </c>
      <c r="H184" s="252"/>
      <c r="I184" s="252"/>
      <c r="J184" s="252" t="str">
        <f>IFERROR(__xludf.DUMMYFUNCTION("""COMPUTED_VALUE"""),"JB9034-1")</f>
        <v>JB9034-1</v>
      </c>
      <c r="K184" s="252" t="str">
        <f>IFERROR(__xludf.DUMMYFUNCTION("""COMPUTED_VALUE"""),"ECMA")</f>
        <v>ECMA</v>
      </c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  <c r="AA184" s="252"/>
      <c r="AB184" s="252" t="str">
        <f>IFERROR(__xludf.DUMMYFUNCTION("""COMPUTED_VALUE"""),"Patio LL")</f>
        <v>Patio LL</v>
      </c>
      <c r="AC184" s="252"/>
      <c r="AD184" s="252">
        <f>IFERROR(__xludf.DUMMYFUNCTION("""COMPUTED_VALUE"""),407.0)</f>
        <v>407</v>
      </c>
      <c r="AE184" s="252" t="str">
        <f>IFERROR(__xludf.DUMMYFUNCTION("""COMPUTED_VALUE"""),"Sin incidentes")</f>
        <v>Sin incidentes</v>
      </c>
      <c r="AF184" s="252">
        <f>IFERROR(__xludf.DUMMYFUNCTION("""COMPUTED_VALUE"""),1.0)</f>
        <v>1</v>
      </c>
      <c r="AG184" s="252" t="str">
        <f>IFERROR(__xludf.DUMMYFUNCTION("""COMPUTED_VALUE"""),"[CB-01] - SCHILGER SR-CB-25T")</f>
        <v>[CB-01] - SCHILGER SR-CB-25T</v>
      </c>
      <c r="AH184" s="252"/>
      <c r="AI184" s="252"/>
      <c r="AJ184" s="252"/>
      <c r="AK184" s="252"/>
      <c r="AL184" s="880" t="str">
        <f>IFERROR(__xludf.DUMMYFUNCTION("""COMPUTED_VALUE"""),"")</f>
        <v/>
      </c>
      <c r="AM184" s="880" t="str">
        <f>IFERROR(__xludf.DUMMYFUNCTION("""COMPUTED_VALUE"""),"")</f>
        <v/>
      </c>
      <c r="AN184" s="252"/>
      <c r="AO184" s="252" t="str">
        <f>IFERROR(__xludf.DUMMYFUNCTION("""COMPUTED_VALUE"""),"N/A")</f>
        <v>N/A</v>
      </c>
      <c r="AP184" s="252"/>
      <c r="AQ184" s="252"/>
      <c r="AR184" s="252"/>
      <c r="AS184" s="881">
        <f>IFERROR(__xludf.DUMMYFUNCTION("""COMPUTED_VALUE"""),44927.0)</f>
        <v>44927</v>
      </c>
      <c r="AT184" s="881">
        <f>IFERROR(__xludf.DUMMYFUNCTION("""COMPUTED_VALUE"""),44927.0)</f>
        <v>44927</v>
      </c>
      <c r="AU184" s="252"/>
      <c r="AV184" s="252"/>
      <c r="AW184" s="252"/>
      <c r="AX184" s="252"/>
      <c r="AY184" s="252"/>
      <c r="AZ184" s="252"/>
    </row>
    <row r="185">
      <c r="A185" s="252" t="str">
        <f>IFERROR(__xludf.DUMMYFUNCTION("""COMPUTED_VALUE"""),"m000098")</f>
        <v>m000098</v>
      </c>
      <c r="B185" s="252" t="str">
        <f>IFERROR(__xludf.DUMMYFUNCTION("""COMPUTED_VALUE"""),"CB-02")</f>
        <v>CB-02</v>
      </c>
      <c r="C185" s="252" t="str">
        <f>IFERROR(__xludf.DUMMYFUNCTION("""COMPUTED_VALUE"""),"REMOLQUE")</f>
        <v>REMOLQUE</v>
      </c>
      <c r="D185" s="252" t="str">
        <f>IFERROR(__xludf.DUMMYFUNCTION("""COMPUTED_VALUE"""),"CAMA BAJA")</f>
        <v>CAMA BAJA</v>
      </c>
      <c r="E185" s="252" t="str">
        <f>IFERROR(__xludf.DUMMYFUNCTION("""COMPUTED_VALUE"""),"CHALLINGER")</f>
        <v>CHALLINGER</v>
      </c>
      <c r="F185" s="252" t="str">
        <f>IFERROR(__xludf.DUMMYFUNCTION("""COMPUTED_VALUE"""),"NGB 35")</f>
        <v>NGB 35</v>
      </c>
      <c r="G185" s="252">
        <f>IFERROR(__xludf.DUMMYFUNCTION("""COMPUTED_VALUE"""),2018.0)</f>
        <v>2018</v>
      </c>
      <c r="H185" s="252" t="str">
        <f>IFERROR(__xludf.DUMMYFUNCTION("""COMPUTED_VALUE"""),"1W8A11D28JS000133")</f>
        <v>1W8A11D28JS000133</v>
      </c>
      <c r="I185" s="252"/>
      <c r="J185" s="252" t="str">
        <f>IFERROR(__xludf.DUMMYFUNCTION("""COMPUTED_VALUE"""),"HXFZ45-3")</f>
        <v>HXFZ45-3</v>
      </c>
      <c r="K185" s="252" t="str">
        <f>IFERROR(__xludf.DUMMYFUNCTION("""COMPUTED_VALUE"""),"TRANSUR")</f>
        <v>TRANSUR</v>
      </c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  <c r="AA185" s="252"/>
      <c r="AB185" s="252" t="str">
        <f>IFERROR(__xludf.DUMMYFUNCTION("""COMPUTED_VALUE"""),"Patio LL")</f>
        <v>Patio LL</v>
      </c>
      <c r="AC185" s="252"/>
      <c r="AD185" s="252"/>
      <c r="AE185" s="252" t="str">
        <f>IFERROR(__xludf.DUMMYFUNCTION("""COMPUTED_VALUE"""),"Sin incidentes")</f>
        <v>Sin incidentes</v>
      </c>
      <c r="AF185" s="252">
        <f>IFERROR(__xludf.DUMMYFUNCTION("""COMPUTED_VALUE"""),1.0)</f>
        <v>1</v>
      </c>
      <c r="AG185" s="252" t="str">
        <f>IFERROR(__xludf.DUMMYFUNCTION("""COMPUTED_VALUE"""),"[CB-02] - CHALLINGER NGB 35")</f>
        <v>[CB-02] - CHALLINGER NGB 35</v>
      </c>
      <c r="AH185" s="252">
        <f>IFERROR(__xludf.DUMMYFUNCTION("""COMPUTED_VALUE"""),1.0)</f>
        <v>1</v>
      </c>
      <c r="AI185" s="252">
        <f>IFERROR(__xludf.DUMMYFUNCTION("""COMPUTED_VALUE"""),1.0)</f>
        <v>1</v>
      </c>
      <c r="AJ185" s="882">
        <f>IFERROR(__xludf.DUMMYFUNCTION("""COMPUTED_VALUE"""),46091.40613425926)</f>
        <v>46091.40613</v>
      </c>
      <c r="AK185" s="882">
        <f>IFERROR(__xludf.DUMMYFUNCTION("""COMPUTED_VALUE"""),46091.40615740741)</f>
        <v>46091.40616</v>
      </c>
      <c r="AL185" s="880" t="str">
        <f>IFERROR(__xludf.DUMMYFUNCTION("""COMPUTED_VALUE"""),"")</f>
        <v/>
      </c>
      <c r="AM185" s="880" t="str">
        <f>IFERROR(__xludf.DUMMYFUNCTION("""COMPUTED_VALUE"""),"")</f>
        <v/>
      </c>
      <c r="AN185" s="252"/>
      <c r="AO185" s="252" t="str">
        <f>IFERROR(__xludf.DUMMYFUNCTION("""COMPUTED_VALUE"""),"N/A")</f>
        <v>N/A</v>
      </c>
      <c r="AP185" s="252" t="str">
        <f>IFERROR(__xludf.DUMMYFUNCTION("""COMPUTED_VALUE"""),"IS250912150429")</f>
        <v>IS250912150429</v>
      </c>
      <c r="AQ185" s="252"/>
      <c r="AR185" s="252"/>
      <c r="AS185" s="881">
        <f>IFERROR(__xludf.DUMMYFUNCTION("""COMPUTED_VALUE"""),44927.0)</f>
        <v>44927</v>
      </c>
      <c r="AT185" s="881">
        <f>IFERROR(__xludf.DUMMYFUNCTION("""COMPUTED_VALUE"""),44927.0)</f>
        <v>44927</v>
      </c>
      <c r="AU185" s="252"/>
      <c r="AV185" s="252"/>
      <c r="AW185" s="252"/>
      <c r="AX185" s="252"/>
      <c r="AY185" s="252"/>
      <c r="AZ185" s="252"/>
    </row>
    <row r="186">
      <c r="A186" s="252" t="str">
        <f>IFERROR(__xludf.DUMMYFUNCTION("""COMPUTED_VALUE"""),"m000099")</f>
        <v>m000099</v>
      </c>
      <c r="B186" s="252" t="str">
        <f>IFERROR(__xludf.DUMMYFUNCTION("""COMPUTED_VALUE"""),"CB-03")</f>
        <v>CB-03</v>
      </c>
      <c r="C186" s="252" t="str">
        <f>IFERROR(__xludf.DUMMYFUNCTION("""COMPUTED_VALUE"""),"REMOLQUE")</f>
        <v>REMOLQUE</v>
      </c>
      <c r="D186" s="252" t="str">
        <f>IFERROR(__xludf.DUMMYFUNCTION("""COMPUTED_VALUE"""),"CAMA BAJA")</f>
        <v>CAMA BAJA</v>
      </c>
      <c r="E186" s="252" t="str">
        <f>IFERROR(__xludf.DUMMYFUNCTION("""COMPUTED_VALUE"""),"SERVICE TRILERS")</f>
        <v>SERVICE TRILERS</v>
      </c>
      <c r="F186" s="252" t="str">
        <f>IFERROR(__xludf.DUMMYFUNCTION("""COMPUTED_VALUE"""),"CB50T")</f>
        <v>CB50T</v>
      </c>
      <c r="G186" s="252">
        <f>IFERROR(__xludf.DUMMYFUNCTION("""COMPUTED_VALUE"""),2022.0)</f>
        <v>2022</v>
      </c>
      <c r="H186" s="252"/>
      <c r="I186" s="252">
        <f>IFERROR(__xludf.DUMMYFUNCTION("""COMPUTED_VALUE"""),217.0)</f>
        <v>217</v>
      </c>
      <c r="J186" s="252"/>
      <c r="K186" s="252" t="str">
        <f>IFERROR(__xludf.DUMMYFUNCTION("""COMPUTED_VALUE"""),"BANCO ESTADO")</f>
        <v>BANCO ESTADO</v>
      </c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  <c r="AA186" s="252"/>
      <c r="AB186" s="252" t="str">
        <f>IFERROR(__xludf.DUMMYFUNCTION("""COMPUTED_VALUE"""),"En producción")</f>
        <v>En producción</v>
      </c>
      <c r="AC186" s="252"/>
      <c r="AD186" s="252"/>
      <c r="AE186" s="252" t="str">
        <f>IFERROR(__xludf.DUMMYFUNCTION("""COMPUTED_VALUE"""),"Sin incidentes")</f>
        <v>Sin incidentes</v>
      </c>
      <c r="AF186" s="252">
        <f>IFERROR(__xludf.DUMMYFUNCTION("""COMPUTED_VALUE"""),1.0)</f>
        <v>1</v>
      </c>
      <c r="AG186" s="252" t="str">
        <f>IFERROR(__xludf.DUMMYFUNCTION("""COMPUTED_VALUE"""),"[CB-03] - SERVICE TRILERS CB50T")</f>
        <v>[CB-03] - SERVICE TRILERS CB50T</v>
      </c>
      <c r="AH186" s="252">
        <f>IFERROR(__xludf.DUMMYFUNCTION("""COMPUTED_VALUE"""),5610.0)</f>
        <v>5610</v>
      </c>
      <c r="AI186" s="252">
        <f>IFERROR(__xludf.DUMMYFUNCTION("""COMPUTED_VALUE"""),1.0)</f>
        <v>1</v>
      </c>
      <c r="AJ186" s="885">
        <f>IFERROR(__xludf.DUMMYFUNCTION("""COMPUTED_VALUE"""),46092.635659722226)</f>
        <v>46092.63566</v>
      </c>
      <c r="AK186" s="882">
        <f>IFERROR(__xludf.DUMMYFUNCTION("""COMPUTED_VALUE"""),46092.63570601852)</f>
        <v>46092.63571</v>
      </c>
      <c r="AL186" s="880" t="str">
        <f>IFERROR(__xludf.DUMMYFUNCTION("""COMPUTED_VALUE"""),"")</f>
        <v/>
      </c>
      <c r="AM186" s="880" t="str">
        <f>IFERROR(__xludf.DUMMYFUNCTION("""COMPUTED_VALUE"""),"")</f>
        <v/>
      </c>
      <c r="AN186" s="252"/>
      <c r="AO186" s="252" t="str">
        <f>IFERROR(__xludf.DUMMYFUNCTION("""COMPUTED_VALUE"""),"N/A")</f>
        <v>N/A</v>
      </c>
      <c r="AP186" s="252"/>
      <c r="AQ186" s="252"/>
      <c r="AR186" s="252"/>
      <c r="AS186" s="881">
        <f>IFERROR(__xludf.DUMMYFUNCTION("""COMPUTED_VALUE"""),44927.0)</f>
        <v>44927</v>
      </c>
      <c r="AT186" s="881">
        <f>IFERROR(__xludf.DUMMYFUNCTION("""COMPUTED_VALUE"""),44927.0)</f>
        <v>44927</v>
      </c>
      <c r="AU186" s="252"/>
      <c r="AV186" s="252"/>
      <c r="AW186" s="252"/>
      <c r="AX186" s="252"/>
      <c r="AY186" s="252"/>
      <c r="AZ186" s="252"/>
    </row>
    <row r="187">
      <c r="A187" s="252" t="str">
        <f>IFERROR(__xludf.DUMMYFUNCTION("""COMPUTED_VALUE"""),"m000100")</f>
        <v>m000100</v>
      </c>
      <c r="B187" s="252" t="str">
        <f>IFERROR(__xludf.DUMMYFUNCTION("""COMPUTED_VALUE"""),"R-01")</f>
        <v>R-01</v>
      </c>
      <c r="C187" s="252" t="str">
        <f>IFERROR(__xludf.DUMMYFUNCTION("""COMPUTED_VALUE"""),"SEMIREMOLQUE")</f>
        <v>SEMIREMOLQUE</v>
      </c>
      <c r="D187" s="252" t="str">
        <f>IFERROR(__xludf.DUMMYFUNCTION("""COMPUTED_VALUE"""),"SEMI REMOLQUE")</f>
        <v>SEMI REMOLQUE</v>
      </c>
      <c r="E187" s="252" t="str">
        <f>IFERROR(__xludf.DUMMYFUNCTION("""COMPUTED_VALUE"""),"GOREN")</f>
        <v>GOREN</v>
      </c>
      <c r="F187" s="252" t="str">
        <f>IFERROR(__xludf.DUMMYFUNCTION("""COMPUTED_VALUE"""),"SR 3M 30 P 13,5")</f>
        <v>SR 3M 30 P 13,5</v>
      </c>
      <c r="G187" s="252">
        <f>IFERROR(__xludf.DUMMYFUNCTION("""COMPUTED_VALUE"""),2013.0)</f>
        <v>2013</v>
      </c>
      <c r="H187" s="252"/>
      <c r="I187" s="252"/>
      <c r="J187" s="252"/>
      <c r="K187" s="252" t="str">
        <f>IFERROR(__xludf.DUMMYFUNCTION("""COMPUTED_VALUE"""),"ECMA")</f>
        <v>ECMA</v>
      </c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  <c r="AA187" s="252"/>
      <c r="AB187" s="252" t="str">
        <f>IFERROR(__xludf.DUMMYFUNCTION("""COMPUTED_VALUE"""),"Patio LL")</f>
        <v>Patio LL</v>
      </c>
      <c r="AC187" s="252"/>
      <c r="AD187" s="252"/>
      <c r="AE187" s="252" t="str">
        <f>IFERROR(__xludf.DUMMYFUNCTION("""COMPUTED_VALUE"""),"Sin incidentes")</f>
        <v>Sin incidentes</v>
      </c>
      <c r="AF187" s="252">
        <f>IFERROR(__xludf.DUMMYFUNCTION("""COMPUTED_VALUE"""),1.0)</f>
        <v>1</v>
      </c>
      <c r="AG187" s="252" t="str">
        <f>IFERROR(__xludf.DUMMYFUNCTION("""COMPUTED_VALUE"""),"[R-01] - GOREN SR 3M 30 P 13,5")</f>
        <v>[R-01] - GOREN SR 3M 30 P 13,5</v>
      </c>
      <c r="AH187" s="252">
        <f>IFERROR(__xludf.DUMMYFUNCTION("""COMPUTED_VALUE"""),1705.0)</f>
        <v>1705</v>
      </c>
      <c r="AI187" s="252">
        <f>IFERROR(__xludf.DUMMYFUNCTION("""COMPUTED_VALUE"""),1.0)</f>
        <v>1</v>
      </c>
      <c r="AJ187" s="882">
        <f>IFERROR(__xludf.DUMMYFUNCTION("""COMPUTED_VALUE"""),46090.63759259259)</f>
        <v>46090.63759</v>
      </c>
      <c r="AK187" s="882">
        <f>IFERROR(__xludf.DUMMYFUNCTION("""COMPUTED_VALUE"""),46090.63763888889)</f>
        <v>46090.63764</v>
      </c>
      <c r="AL187" s="880" t="str">
        <f>IFERROR(__xludf.DUMMYFUNCTION("""COMPUTED_VALUE"""),"")</f>
        <v/>
      </c>
      <c r="AM187" s="880" t="str">
        <f>IFERROR(__xludf.DUMMYFUNCTION("""COMPUTED_VALUE"""),"")</f>
        <v/>
      </c>
      <c r="AN187" s="252"/>
      <c r="AO187" s="252" t="str">
        <f>IFERROR(__xludf.DUMMYFUNCTION("""COMPUTED_VALUE"""),"N/A")</f>
        <v>N/A</v>
      </c>
      <c r="AP187" s="252"/>
      <c r="AQ187" s="252"/>
      <c r="AR187" s="252"/>
      <c r="AS187" s="881">
        <f>IFERROR(__xludf.DUMMYFUNCTION("""COMPUTED_VALUE"""),44927.0)</f>
        <v>44927</v>
      </c>
      <c r="AT187" s="881">
        <f>IFERROR(__xludf.DUMMYFUNCTION("""COMPUTED_VALUE"""),44927.0)</f>
        <v>44927</v>
      </c>
      <c r="AU187" s="252"/>
      <c r="AV187" s="252"/>
      <c r="AW187" s="252"/>
      <c r="AX187" s="252"/>
      <c r="AY187" s="252"/>
      <c r="AZ187" s="252"/>
    </row>
    <row r="188">
      <c r="A188" s="252" t="str">
        <f>IFERROR(__xludf.DUMMYFUNCTION("""COMPUTED_VALUE"""),"m000101")</f>
        <v>m000101</v>
      </c>
      <c r="B188" s="252" t="str">
        <f>IFERROR(__xludf.DUMMYFUNCTION("""COMPUTED_VALUE"""),"C-01 DZXV32")</f>
        <v>C-01 DZXV32</v>
      </c>
      <c r="C188" s="252" t="str">
        <f>IFERROR(__xludf.DUMMYFUNCTION("""COMPUTED_VALUE"""),"CAMIONETA")</f>
        <v>CAMIONETA</v>
      </c>
      <c r="D188" s="252" t="str">
        <f>IFERROR(__xludf.DUMMYFUNCTION("""COMPUTED_VALUE"""),"CAMIONETA")</f>
        <v>CAMIONETA</v>
      </c>
      <c r="E188" s="252" t="str">
        <f>IFERROR(__xludf.DUMMYFUNCTION("""COMPUTED_VALUE"""),"HYUNDAI")</f>
        <v>HYUNDAI</v>
      </c>
      <c r="F188" s="252" t="str">
        <f>IFERROR(__xludf.DUMMYFUNCTION("""COMPUTED_VALUE"""),"H100 PORTER")</f>
        <v>H100 PORTER</v>
      </c>
      <c r="G188" s="252">
        <f>IFERROR(__xludf.DUMMYFUNCTION("""COMPUTED_VALUE"""),2012.0)</f>
        <v>2012</v>
      </c>
      <c r="H188" s="252"/>
      <c r="I188" s="252"/>
      <c r="J188" s="252" t="str">
        <f>IFERROR(__xludf.DUMMYFUNCTION("""COMPUTED_VALUE"""),"DZXV32")</f>
        <v>DZXV32</v>
      </c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  <c r="AA188" s="252"/>
      <c r="AB188" s="252" t="str">
        <f>IFERROR(__xludf.DUMMYFUNCTION("""COMPUTED_VALUE"""),"Discontinuado")</f>
        <v>Discontinuado</v>
      </c>
      <c r="AC188" s="252"/>
      <c r="AD188" s="252"/>
      <c r="AE188" s="252" t="str">
        <f>IFERROR(__xludf.DUMMYFUNCTION("""COMPUTED_VALUE"""),"Sin incidentes")</f>
        <v>Sin incidentes</v>
      </c>
      <c r="AF188" s="252">
        <f>IFERROR(__xludf.DUMMYFUNCTION("""COMPUTED_VALUE"""),1.0)</f>
        <v>1</v>
      </c>
      <c r="AG188" s="252" t="str">
        <f>IFERROR(__xludf.DUMMYFUNCTION("""COMPUTED_VALUE"""),"[C-01 DZXV32] - HYUNDAI H100 PORTER")</f>
        <v>[C-01 DZXV32] - HYUNDAI H100 PORTER</v>
      </c>
      <c r="AH188" s="252"/>
      <c r="AI188" s="252"/>
      <c r="AJ188" s="252"/>
      <c r="AK188" s="252"/>
      <c r="AL188" s="880" t="str">
        <f>IFERROR(__xludf.DUMMYFUNCTION("""COMPUTED_VALUE"""),"")</f>
        <v/>
      </c>
      <c r="AM188" s="880" t="str">
        <f>IFERROR(__xludf.DUMMYFUNCTION("""COMPUTED_VALUE"""),"")</f>
        <v/>
      </c>
      <c r="AN188" s="252"/>
      <c r="AO188" s="252" t="str">
        <f>IFERROR(__xludf.DUMMYFUNCTION("""COMPUTED_VALUE"""),"Km")</f>
        <v>Km</v>
      </c>
      <c r="AP188" s="252"/>
      <c r="AQ188" s="252"/>
      <c r="AR188" s="252"/>
      <c r="AS188" s="881">
        <f>IFERROR(__xludf.DUMMYFUNCTION("""COMPUTED_VALUE"""),44927.0)</f>
        <v>44927</v>
      </c>
      <c r="AT188" s="881">
        <f>IFERROR(__xludf.DUMMYFUNCTION("""COMPUTED_VALUE"""),44927.0)</f>
        <v>44927</v>
      </c>
      <c r="AU188" s="252"/>
      <c r="AV188" s="252"/>
      <c r="AW188" s="252"/>
      <c r="AX188" s="252"/>
      <c r="AY188" s="252"/>
      <c r="AZ188" s="252"/>
    </row>
    <row r="189">
      <c r="A189" s="252" t="str">
        <f>IFERROR(__xludf.DUMMYFUNCTION("""COMPUTED_VALUE"""),"m000102")</f>
        <v>m000102</v>
      </c>
      <c r="B189" s="252" t="str">
        <f>IFERROR(__xludf.DUMMYFUNCTION("""COMPUTED_VALUE"""),"C-02 FBWJ56")</f>
        <v>C-02 FBWJ56</v>
      </c>
      <c r="C189" s="252" t="str">
        <f>IFERROR(__xludf.DUMMYFUNCTION("""COMPUTED_VALUE"""),"CAMIONETA")</f>
        <v>CAMIONETA</v>
      </c>
      <c r="D189" s="252" t="str">
        <f>IFERROR(__xludf.DUMMYFUNCTION("""COMPUTED_VALUE"""),"CAMIONETA")</f>
        <v>CAMIONETA</v>
      </c>
      <c r="E189" s="252" t="str">
        <f>IFERROR(__xludf.DUMMYFUNCTION("""COMPUTED_VALUE"""),"NISSAN")</f>
        <v>NISSAN</v>
      </c>
      <c r="F189" s="252" t="str">
        <f>IFERROR(__xludf.DUMMYFUNCTION("""COMPUTED_VALUE"""),"TERRANO 4X4 2,5cc DOB CAB")</f>
        <v>TERRANO 4X4 2,5cc DOB CAB</v>
      </c>
      <c r="G189" s="252">
        <f>IFERROR(__xludf.DUMMYFUNCTION("""COMPUTED_VALUE"""),2014.0)</f>
        <v>2014</v>
      </c>
      <c r="H189" s="252" t="str">
        <f>IFERROR(__xludf.DUMMYFUNCTION("""COMPUTED_VALUE"""),"MARCO DIAZ")</f>
        <v>MARCO DIAZ</v>
      </c>
      <c r="I189" s="252"/>
      <c r="J189" s="252" t="str">
        <f>IFERROR(__xludf.DUMMYFUNCTION("""COMPUTED_VALUE"""),"FBWJ56")</f>
        <v>FBWJ56</v>
      </c>
      <c r="K189" s="252" t="str">
        <f>IFERROR(__xludf.DUMMYFUNCTION("""COMPUTED_VALUE"""),"MARCO DIAZ")</f>
        <v>MARCO DIAZ</v>
      </c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  <c r="AA189" s="252"/>
      <c r="AB189" s="252" t="str">
        <f>IFERROR(__xludf.DUMMYFUNCTION("""COMPUTED_VALUE"""),"En producción")</f>
        <v>En producción</v>
      </c>
      <c r="AC189" s="252"/>
      <c r="AD189" s="252">
        <f>IFERROR(__xludf.DUMMYFUNCTION("""COMPUTED_VALUE"""),1073.0)</f>
        <v>1073</v>
      </c>
      <c r="AE189" s="252" t="str">
        <f>IFERROR(__xludf.DUMMYFUNCTION("""COMPUTED_VALUE"""),"Alerta incidente")</f>
        <v>Alerta incidente</v>
      </c>
      <c r="AF189" s="252">
        <f>IFERROR(__xludf.DUMMYFUNCTION("""COMPUTED_VALUE"""),2.0)</f>
        <v>2</v>
      </c>
      <c r="AG189" s="252" t="str">
        <f>IFERROR(__xludf.DUMMYFUNCTION("""COMPUTED_VALUE"""),"[C-02 FBWJ56] - NISSAN TERRANO 4X4 2,5cc DOB CAB")</f>
        <v>[C-02 FBWJ56] - NISSAN TERRANO 4X4 2,5cc DOB CAB</v>
      </c>
      <c r="AH189" s="252"/>
      <c r="AI189" s="252">
        <f>IFERROR(__xludf.DUMMYFUNCTION("""COMPUTED_VALUE"""),379583.0)</f>
        <v>379583</v>
      </c>
      <c r="AJ189" s="252"/>
      <c r="AK189" s="882">
        <f>IFERROR(__xludf.DUMMYFUNCTION("""COMPUTED_VALUE"""),46095.261296296296)</f>
        <v>46095.2613</v>
      </c>
      <c r="AL189" s="880" t="str">
        <f>IFERROR(__xludf.DUMMYFUNCTION("""COMPUTED_VALUE"""),"")</f>
        <v/>
      </c>
      <c r="AM189" s="880">
        <f>IFERROR(__xludf.DUMMYFUNCTION("""COMPUTED_VALUE"""),382000.0)</f>
        <v>382000</v>
      </c>
      <c r="AN189" s="252"/>
      <c r="AO189" s="252" t="str">
        <f>IFERROR(__xludf.DUMMYFUNCTION("""COMPUTED_VALUE"""),"Km")</f>
        <v>Km</v>
      </c>
      <c r="AP189" s="252"/>
      <c r="AQ189" s="252"/>
      <c r="AR189" s="252">
        <f>IFERROR(__xludf.DUMMYFUNCTION("""COMPUTED_VALUE"""),372000.0)</f>
        <v>372000</v>
      </c>
      <c r="AS189" s="881">
        <f>IFERROR(__xludf.DUMMYFUNCTION("""COMPUTED_VALUE"""),44927.0)</f>
        <v>44927</v>
      </c>
      <c r="AT189" s="881">
        <f>IFERROR(__xludf.DUMMYFUNCTION("""COMPUTED_VALUE"""),44927.0)</f>
        <v>44927</v>
      </c>
      <c r="AU189" s="252" t="str">
        <f>IFERROR(__xludf.DUMMYFUNCTION("""COMPUTED_VALUE"""),"RDC260216132305")</f>
        <v>RDC260216132305</v>
      </c>
      <c r="AV189" s="252" t="str">
        <f>IFERROR(__xludf.DUMMYFUNCTION("""COMPUTED_VALUE"""),"RCO260314081147")</f>
        <v>RCO260314081147</v>
      </c>
      <c r="AW189" s="252">
        <f>IFERROR(__xludf.DUMMYFUNCTION("""COMPUTED_VALUE"""),57.0)</f>
        <v>57</v>
      </c>
      <c r="AX189" s="252"/>
      <c r="AY189" s="252">
        <f>IFERROR(__xludf.DUMMYFUNCTION("""COMPUTED_VALUE"""),315.0)</f>
        <v>315</v>
      </c>
      <c r="AZ189" s="881">
        <f>IFERROR(__xludf.DUMMYFUNCTION("""COMPUTED_VALUE"""),46095.0)</f>
        <v>46095</v>
      </c>
    </row>
    <row r="190">
      <c r="A190" s="252" t="str">
        <f>IFERROR(__xludf.DUMMYFUNCTION("""COMPUTED_VALUE"""),"m000103")</f>
        <v>m000103</v>
      </c>
      <c r="B190" s="252" t="str">
        <f>IFERROR(__xludf.DUMMYFUNCTION("""COMPUTED_VALUE"""),"C-03 FSLK53")</f>
        <v>C-03 FSLK53</v>
      </c>
      <c r="C190" s="252" t="str">
        <f>IFERROR(__xludf.DUMMYFUNCTION("""COMPUTED_VALUE"""),"CAMIONETA")</f>
        <v>CAMIONETA</v>
      </c>
      <c r="D190" s="252" t="str">
        <f>IFERROR(__xludf.DUMMYFUNCTION("""COMPUTED_VALUE"""),"CAMIONETA")</f>
        <v>CAMIONETA</v>
      </c>
      <c r="E190" s="252" t="str">
        <f>IFERROR(__xludf.DUMMYFUNCTION("""COMPUTED_VALUE"""),"NISSAN")</f>
        <v>NISSAN</v>
      </c>
      <c r="F190" s="252" t="str">
        <f>IFERROR(__xludf.DUMMYFUNCTION("""COMPUTED_VALUE"""),"TERRANO 4X4 2,5cc DOB CAB")</f>
        <v>TERRANO 4X4 2,5cc DOB CAB</v>
      </c>
      <c r="G190" s="252">
        <f>IFERROR(__xludf.DUMMYFUNCTION("""COMPUTED_VALUE"""),2014.0)</f>
        <v>2014</v>
      </c>
      <c r="H190" s="252"/>
      <c r="I190" s="252"/>
      <c r="J190" s="252" t="str">
        <f>IFERROR(__xludf.DUMMYFUNCTION("""COMPUTED_VALUE"""),"FSLK53")</f>
        <v>FSLK53</v>
      </c>
      <c r="K190" s="252" t="str">
        <f>IFERROR(__xludf.DUMMYFUNCTION("""COMPUTED_VALUE"""),"ECMA")</f>
        <v>ECMA</v>
      </c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  <c r="AA190" s="252"/>
      <c r="AB190" s="252" t="str">
        <f>IFERROR(__xludf.DUMMYFUNCTION("""COMPUTED_VALUE"""),"En producción")</f>
        <v>En producción</v>
      </c>
      <c r="AC190" s="252"/>
      <c r="AD190" s="252">
        <f>IFERROR(__xludf.DUMMYFUNCTION("""COMPUTED_VALUE"""),40.0)</f>
        <v>40</v>
      </c>
      <c r="AE190" s="252" t="str">
        <f>IFERROR(__xludf.DUMMYFUNCTION("""COMPUTED_VALUE"""),"Sin incidentes")</f>
        <v>Sin incidentes</v>
      </c>
      <c r="AF190" s="252">
        <f>IFERROR(__xludf.DUMMYFUNCTION("""COMPUTED_VALUE"""),5.0)</f>
        <v>5</v>
      </c>
      <c r="AG190" s="252" t="str">
        <f>IFERROR(__xludf.DUMMYFUNCTION("""COMPUTED_VALUE"""),"[C-03 FSLK53] - NISSAN TERRANO 4X4 2,5cc DOB CAB")</f>
        <v>[C-03 FSLK53] - NISSAN TERRANO 4X4 2,5cc DOB CAB</v>
      </c>
      <c r="AH190" s="252"/>
      <c r="AI190" s="252">
        <f>IFERROR(__xludf.DUMMYFUNCTION("""COMPUTED_VALUE"""),332383.0)</f>
        <v>332383</v>
      </c>
      <c r="AJ190" s="882">
        <f>IFERROR(__xludf.DUMMYFUNCTION("""COMPUTED_VALUE"""),45723.539722222224)</f>
        <v>45723.53972</v>
      </c>
      <c r="AK190" s="882">
        <f>IFERROR(__xludf.DUMMYFUNCTION("""COMPUTED_VALUE"""),45783.637719907405)</f>
        <v>45783.63772</v>
      </c>
      <c r="AL190" s="252"/>
      <c r="AM190" s="880">
        <f>IFERROR(__xludf.DUMMYFUNCTION("""COMPUTED_VALUE"""),339498.0)</f>
        <v>339498</v>
      </c>
      <c r="AN190" s="252"/>
      <c r="AO190" s="252" t="str">
        <f>IFERROR(__xludf.DUMMYFUNCTION("""COMPUTED_VALUE"""),"Km")</f>
        <v>Km</v>
      </c>
      <c r="AP190" s="252" t="str">
        <f>IFERROR(__xludf.DUMMYFUNCTION("""COMPUTED_VALUE"""),"IS260310101405")</f>
        <v>IS260310101405</v>
      </c>
      <c r="AQ190" s="252"/>
      <c r="AR190" s="252">
        <f>IFERROR(__xludf.DUMMYFUNCTION("""COMPUTED_VALUE"""),329498.0)</f>
        <v>329498</v>
      </c>
      <c r="AS190" s="881">
        <f>IFERROR(__xludf.DUMMYFUNCTION("""COMPUTED_VALUE"""),44927.0)</f>
        <v>44927</v>
      </c>
      <c r="AT190" s="881">
        <f>IFERROR(__xludf.DUMMYFUNCTION("""COMPUTED_VALUE"""),44927.0)</f>
        <v>44927</v>
      </c>
      <c r="AU190" s="252" t="str">
        <f>IFERROR(__xludf.DUMMYFUNCTION("""COMPUTED_VALUE"""),"RDC250506161202")</f>
        <v>RDC250506161202</v>
      </c>
      <c r="AV190" s="252" t="str">
        <f>IFERROR(__xludf.DUMMYFUNCTION("""COMPUTED_VALUE"""),"RCO250609124805")</f>
        <v>RCO250609124805</v>
      </c>
      <c r="AW190" s="252">
        <f>IFERROR(__xludf.DUMMYFUNCTION("""COMPUTED_VALUE"""),47.2)</f>
        <v>47.2</v>
      </c>
      <c r="AX190" s="252"/>
      <c r="AY190" s="252">
        <f>IFERROR(__xludf.DUMMYFUNCTION("""COMPUTED_VALUE"""),1014.0)</f>
        <v>1014</v>
      </c>
      <c r="AZ190" s="883">
        <f>IFERROR(__xludf.DUMMYFUNCTION("""COMPUTED_VALUE"""),45817.0)</f>
        <v>45817</v>
      </c>
    </row>
    <row r="191">
      <c r="A191" s="252" t="str">
        <f>IFERROR(__xludf.DUMMYFUNCTION("""COMPUTED_VALUE"""),"m000104")</f>
        <v>m000104</v>
      </c>
      <c r="B191" s="252" t="str">
        <f>IFERROR(__xludf.DUMMYFUNCTION("""COMPUTED_VALUE"""),"C-04 GBPH77")</f>
        <v>C-04 GBPH77</v>
      </c>
      <c r="C191" s="252" t="str">
        <f>IFERROR(__xludf.DUMMYFUNCTION("""COMPUTED_VALUE"""),"CAMIONETA")</f>
        <v>CAMIONETA</v>
      </c>
      <c r="D191" s="252" t="str">
        <f>IFERROR(__xludf.DUMMYFUNCTION("""COMPUTED_VALUE"""),"CAMIONETA")</f>
        <v>CAMIONETA</v>
      </c>
      <c r="E191" s="252" t="str">
        <f>IFERROR(__xludf.DUMMYFUNCTION("""COMPUTED_VALUE"""),"JAC")</f>
        <v>JAC</v>
      </c>
      <c r="F191" s="252" t="str">
        <f>IFERROR(__xludf.DUMMYFUNCTION("""COMPUTED_VALUE"""),"REFINE 1,9cc")</f>
        <v>REFINE 1,9cc</v>
      </c>
      <c r="G191" s="252">
        <f>IFERROR(__xludf.DUMMYFUNCTION("""COMPUTED_VALUE"""),2014.0)</f>
        <v>2014</v>
      </c>
      <c r="H191" s="252"/>
      <c r="I191" s="252"/>
      <c r="J191" s="252" t="str">
        <f>IFERROR(__xludf.DUMMYFUNCTION("""COMPUTED_VALUE"""),"GBPH77")</f>
        <v>GBPH77</v>
      </c>
      <c r="K191" s="252" t="str">
        <f>IFERROR(__xludf.DUMMYFUNCTION("""COMPUTED_VALUE"""),"ECMA")</f>
        <v>ECMA</v>
      </c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  <c r="AA191" s="252"/>
      <c r="AB191" s="252" t="str">
        <f>IFERROR(__xludf.DUMMYFUNCTION("""COMPUTED_VALUE"""),"En producción")</f>
        <v>En producción</v>
      </c>
      <c r="AC191" s="252" t="str">
        <f>IFERROR(__xludf.DUMMYFUNCTION("""COMPUTED_VALUE"""),"MAQUINAS_Images/m000104.FOTO1.192148.jpg")</f>
        <v>MAQUINAS_Images/m000104.FOTO1.192148.jpg</v>
      </c>
      <c r="AD191" s="252">
        <f>IFERROR(__xludf.DUMMYFUNCTION("""COMPUTED_VALUE"""),906.0)</f>
        <v>906</v>
      </c>
      <c r="AE191" s="252" t="str">
        <f>IFERROR(__xludf.DUMMYFUNCTION("""COMPUTED_VALUE"""),"Sin incidentes")</f>
        <v>Sin incidentes</v>
      </c>
      <c r="AF191" s="252">
        <f>IFERROR(__xludf.DUMMYFUNCTION("""COMPUTED_VALUE"""),1.0)</f>
        <v>1</v>
      </c>
      <c r="AG191" s="252" t="str">
        <f>IFERROR(__xludf.DUMMYFUNCTION("""COMPUTED_VALUE"""),"[C-04 GBPH77] - JAC REFINE 1,9cc")</f>
        <v>[C-04 GBPH77] - JAC REFINE 1,9cc</v>
      </c>
      <c r="AH191" s="252">
        <f>IFERROR(__xludf.DUMMYFUNCTION("""COMPUTED_VALUE"""),1.0)</f>
        <v>1</v>
      </c>
      <c r="AI191" s="252">
        <f>IFERROR(__xludf.DUMMYFUNCTION("""COMPUTED_VALUE"""),386791.0)</f>
        <v>386791</v>
      </c>
      <c r="AJ191" s="882">
        <f>IFERROR(__xludf.DUMMYFUNCTION("""COMPUTED_VALUE"""),46080.56414351852)</f>
        <v>46080.56414</v>
      </c>
      <c r="AK191" s="882">
        <f>IFERROR(__xludf.DUMMYFUNCTION("""COMPUTED_VALUE"""),46080.56421296296)</f>
        <v>46080.56421</v>
      </c>
      <c r="AL191" s="252"/>
      <c r="AM191" s="880">
        <f>IFERROR(__xludf.DUMMYFUNCTION("""COMPUTED_VALUE"""),394316.0)</f>
        <v>394316</v>
      </c>
      <c r="AN191" s="252" t="str">
        <f>IFERROR(__xludf.DUMMYFUNCTION("""COMPUTED_VALUE"""),"OT260116101353")</f>
        <v>OT260116101353</v>
      </c>
      <c r="AO191" s="252" t="str">
        <f>IFERROR(__xludf.DUMMYFUNCTION("""COMPUTED_VALUE"""),"Km")</f>
        <v>Km</v>
      </c>
      <c r="AP191" s="252" t="str">
        <f>IFERROR(__xludf.DUMMYFUNCTION("""COMPUTED_VALUE"""),"IS260225180809")</f>
        <v>IS260225180809</v>
      </c>
      <c r="AQ191" s="252"/>
      <c r="AR191" s="252">
        <f>IFERROR(__xludf.DUMMYFUNCTION("""COMPUTED_VALUE"""),367465.0)</f>
        <v>367465</v>
      </c>
      <c r="AS191" s="881">
        <f>IFERROR(__xludf.DUMMYFUNCTION("""COMPUTED_VALUE"""),44927.0)</f>
        <v>44927</v>
      </c>
      <c r="AT191" s="881">
        <f>IFERROR(__xludf.DUMMYFUNCTION("""COMPUTED_VALUE"""),44927.0)</f>
        <v>44927</v>
      </c>
      <c r="AU191" s="252" t="str">
        <f>IFERROR(__xludf.DUMMYFUNCTION("""COMPUTED_VALUE"""),"RDC260216132954")</f>
        <v>RDC260216132954</v>
      </c>
      <c r="AV191" s="252" t="str">
        <f>IFERROR(__xludf.DUMMYFUNCTION("""COMPUTED_VALUE"""),"RCO260227152519")</f>
        <v>RCO260227152519</v>
      </c>
      <c r="AW191" s="252">
        <f>IFERROR(__xludf.DUMMYFUNCTION("""COMPUTED_VALUE"""),66.0)</f>
        <v>66</v>
      </c>
      <c r="AX191" s="252">
        <f>IFERROR(__xludf.DUMMYFUNCTION("""COMPUTED_VALUE"""),0.0)</f>
        <v>0</v>
      </c>
      <c r="AY191" s="252">
        <f>IFERROR(__xludf.DUMMYFUNCTION("""COMPUTED_VALUE"""),509.0)</f>
        <v>509</v>
      </c>
      <c r="AZ191" s="884">
        <f>IFERROR(__xludf.DUMMYFUNCTION("""COMPUTED_VALUE"""),46080.0)</f>
        <v>46080</v>
      </c>
    </row>
    <row r="192">
      <c r="A192" s="252" t="str">
        <f>IFERROR(__xludf.DUMMYFUNCTION("""COMPUTED_VALUE"""),"m000105")</f>
        <v>m000105</v>
      </c>
      <c r="B192" s="252" t="str">
        <f>IFERROR(__xludf.DUMMYFUNCTION("""COMPUTED_VALUE"""),"C-36 GBPD93")</f>
        <v>C-36 GBPD93</v>
      </c>
      <c r="C192" s="252" t="str">
        <f>IFERROR(__xludf.DUMMYFUNCTION("""COMPUTED_VALUE"""),"CAMIONETA")</f>
        <v>CAMIONETA</v>
      </c>
      <c r="D192" s="252" t="str">
        <f>IFERROR(__xludf.DUMMYFUNCTION("""COMPUTED_VALUE"""),"CAMIONETA")</f>
        <v>CAMIONETA</v>
      </c>
      <c r="E192" s="252" t="str">
        <f>IFERROR(__xludf.DUMMYFUNCTION("""COMPUTED_VALUE"""),"ZNA")</f>
        <v>ZNA</v>
      </c>
      <c r="F192" s="252" t="str">
        <f>IFERROR(__xludf.DUMMYFUNCTION("""COMPUTED_VALUE"""),"RICH 4X2 2,5cc DOB CAB")</f>
        <v>RICH 4X2 2,5cc DOB CAB</v>
      </c>
      <c r="G192" s="252">
        <f>IFERROR(__xludf.DUMMYFUNCTION("""COMPUTED_VALUE"""),2014.0)</f>
        <v>2014</v>
      </c>
      <c r="H192" s="252"/>
      <c r="I192" s="252"/>
      <c r="J192" s="252" t="str">
        <f>IFERROR(__xludf.DUMMYFUNCTION("""COMPUTED_VALUE"""),"GBPD93")</f>
        <v>GBPD93</v>
      </c>
      <c r="K192" s="252" t="str">
        <f>IFERROR(__xludf.DUMMYFUNCTION("""COMPUTED_VALUE"""),"JHL")</f>
        <v>JHL</v>
      </c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  <c r="AA192" s="252"/>
      <c r="AB192" s="252" t="str">
        <f>IFERROR(__xludf.DUMMYFUNCTION("""COMPUTED_VALUE"""),"Fuera de la empresa")</f>
        <v>Fuera de la empresa</v>
      </c>
      <c r="AC192" s="252"/>
      <c r="AD192" s="252">
        <f>IFERROR(__xludf.DUMMYFUNCTION("""COMPUTED_VALUE"""),1061.0)</f>
        <v>1061</v>
      </c>
      <c r="AE192" s="252" t="str">
        <f>IFERROR(__xludf.DUMMYFUNCTION("""COMPUTED_VALUE"""),"Sin incidentes")</f>
        <v>Sin incidentes</v>
      </c>
      <c r="AF192" s="252">
        <f>IFERROR(__xludf.DUMMYFUNCTION("""COMPUTED_VALUE"""),1.0)</f>
        <v>1</v>
      </c>
      <c r="AG192" s="252" t="str">
        <f>IFERROR(__xludf.DUMMYFUNCTION("""COMPUTED_VALUE"""),"[C-36 GBPD93] - ZNA RICH 4X2 2,5cc DOB CAB")</f>
        <v>[C-36 GBPD93] - ZNA RICH 4X2 2,5cc DOB CAB</v>
      </c>
      <c r="AH192" s="252">
        <f>IFERROR(__xludf.DUMMYFUNCTION("""COMPUTED_VALUE"""),541.0)</f>
        <v>541</v>
      </c>
      <c r="AI192" s="252">
        <f>IFERROR(__xludf.DUMMYFUNCTION("""COMPUTED_VALUE"""),1.0)</f>
        <v>1</v>
      </c>
      <c r="AJ192" s="882">
        <f>IFERROR(__xludf.DUMMYFUNCTION("""COMPUTED_VALUE"""),46096.44133101852)</f>
        <v>46096.44133</v>
      </c>
      <c r="AK192" s="885">
        <f>IFERROR(__xludf.DUMMYFUNCTION("""COMPUTED_VALUE"""),46096.44136574074)</f>
        <v>46096.44137</v>
      </c>
      <c r="AL192" s="880">
        <f>IFERROR(__xludf.DUMMYFUNCTION("""COMPUTED_VALUE"""),706.0)</f>
        <v>706</v>
      </c>
      <c r="AM192" s="880" t="str">
        <f>IFERROR(__xludf.DUMMYFUNCTION("""COMPUTED_VALUE"""),"")</f>
        <v/>
      </c>
      <c r="AN192" s="252" t="str">
        <f>IFERROR(__xludf.DUMMYFUNCTION("""COMPUTED_VALUE"""),"OT251013112213")</f>
        <v>OT251013112213</v>
      </c>
      <c r="AO192" s="252" t="str">
        <f>IFERROR(__xludf.DUMMYFUNCTION("""COMPUTED_VALUE"""),"Hr")</f>
        <v>Hr</v>
      </c>
      <c r="AP192" s="252" t="str">
        <f>IFERROR(__xludf.DUMMYFUNCTION("""COMPUTED_VALUE"""),"IS251218170443")</f>
        <v>IS251218170443</v>
      </c>
      <c r="AQ192" s="252">
        <f>IFERROR(__xludf.DUMMYFUNCTION("""COMPUTED_VALUE"""),111.0)</f>
        <v>111</v>
      </c>
      <c r="AR192" s="252"/>
      <c r="AS192" s="881">
        <f>IFERROR(__xludf.DUMMYFUNCTION("""COMPUTED_VALUE"""),44927.0)</f>
        <v>44927</v>
      </c>
      <c r="AT192" s="881">
        <f>IFERROR(__xludf.DUMMYFUNCTION("""COMPUTED_VALUE"""),44927.0)</f>
        <v>44927</v>
      </c>
      <c r="AU192" s="252" t="str">
        <f>IFERROR(__xludf.DUMMYFUNCTION("""COMPUTED_VALUE"""),"RDC260224082332")</f>
        <v>RDC260224082332</v>
      </c>
      <c r="AV192" s="252" t="str">
        <f>IFERROR(__xludf.DUMMYFUNCTION("""COMPUTED_VALUE"""),"RCO260315123352")</f>
        <v>RCO260315123352</v>
      </c>
      <c r="AW192" s="252">
        <f>IFERROR(__xludf.DUMMYFUNCTION("""COMPUTED_VALUE"""),36.0)</f>
        <v>36</v>
      </c>
      <c r="AX192" s="252">
        <f>IFERROR(__xludf.DUMMYFUNCTION("""COMPUTED_VALUE"""),21.0)</f>
        <v>21</v>
      </c>
      <c r="AY192" s="252">
        <f>IFERROR(__xludf.DUMMYFUNCTION("""COMPUTED_VALUE"""),0.0)</f>
        <v>0</v>
      </c>
      <c r="AZ192" s="881">
        <f>IFERROR(__xludf.DUMMYFUNCTION("""COMPUTED_VALUE"""),46096.0)</f>
        <v>46096</v>
      </c>
    </row>
    <row r="193">
      <c r="A193" s="252" t="str">
        <f>IFERROR(__xludf.DUMMYFUNCTION("""COMPUTED_VALUE"""),"m000106")</f>
        <v>m000106</v>
      </c>
      <c r="B193" s="252" t="str">
        <f>IFERROR(__xludf.DUMMYFUNCTION("""COMPUTED_VALUE"""),"C-06 GZZB73")</f>
        <v>C-06 GZZB73</v>
      </c>
      <c r="C193" s="252" t="str">
        <f>IFERROR(__xludf.DUMMYFUNCTION("""COMPUTED_VALUE"""),"CAMIONETA")</f>
        <v>CAMIONETA</v>
      </c>
      <c r="D193" s="252" t="str">
        <f>IFERROR(__xludf.DUMMYFUNCTION("""COMPUTED_VALUE"""),"CAMIONETA")</f>
        <v>CAMIONETA</v>
      </c>
      <c r="E193" s="252" t="str">
        <f>IFERROR(__xludf.DUMMYFUNCTION("""COMPUTED_VALUE"""),"MAHINDRA")</f>
        <v>MAHINDRA</v>
      </c>
      <c r="F193" s="252" t="str">
        <f>IFERROR(__xludf.DUMMYFUNCTION("""COMPUTED_VALUE"""),"PIC UP 4X2 2,2cc DOB CAB")</f>
        <v>PIC UP 4X2 2,2cc DOB CAB</v>
      </c>
      <c r="G193" s="252">
        <f>IFERROR(__xludf.DUMMYFUNCTION("""COMPUTED_VALUE"""),2015.0)</f>
        <v>2015</v>
      </c>
      <c r="H193" s="252"/>
      <c r="I193" s="252"/>
      <c r="J193" s="252" t="str">
        <f>IFERROR(__xludf.DUMMYFUNCTION("""COMPUTED_VALUE"""),"GZZB73")</f>
        <v>GZZB73</v>
      </c>
      <c r="K193" s="252" t="str">
        <f>IFERROR(__xludf.DUMMYFUNCTION("""COMPUTED_VALUE"""),"ECMA")</f>
        <v>ECMA</v>
      </c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  <c r="AA193" s="252"/>
      <c r="AB193" s="252" t="str">
        <f>IFERROR(__xludf.DUMMYFUNCTION("""COMPUTED_VALUE"""),"En producción")</f>
        <v>En producción</v>
      </c>
      <c r="AC193" s="252"/>
      <c r="AD193" s="252">
        <f>IFERROR(__xludf.DUMMYFUNCTION("""COMPUTED_VALUE"""),1083.0)</f>
        <v>1083</v>
      </c>
      <c r="AE193" s="252" t="str">
        <f>IFERROR(__xludf.DUMMYFUNCTION("""COMPUTED_VALUE"""),"Sin incidentes")</f>
        <v>Sin incidentes</v>
      </c>
      <c r="AF193" s="252">
        <f>IFERROR(__xludf.DUMMYFUNCTION("""COMPUTED_VALUE"""),1.0)</f>
        <v>1</v>
      </c>
      <c r="AG193" s="252" t="str">
        <f>IFERROR(__xludf.DUMMYFUNCTION("""COMPUTED_VALUE"""),"[C-06 GZZB73] - MAHINDRA PIC UP 4X2 2,2cc DOB CAB")</f>
        <v>[C-06 GZZB73] - MAHINDRA PIC UP 4X2 2,2cc DOB CAB</v>
      </c>
      <c r="AH193" s="252"/>
      <c r="AI193" s="252">
        <f>IFERROR(__xludf.DUMMYFUNCTION("""COMPUTED_VALUE"""),449279.0)</f>
        <v>449279</v>
      </c>
      <c r="AJ193" s="882">
        <f>IFERROR(__xludf.DUMMYFUNCTION("""COMPUTED_VALUE"""),45723.54002314815)</f>
        <v>45723.54002</v>
      </c>
      <c r="AK193" s="882">
        <f>IFERROR(__xludf.DUMMYFUNCTION("""COMPUTED_VALUE"""),46093.54162037037)</f>
        <v>46093.54162</v>
      </c>
      <c r="AL193" s="252"/>
      <c r="AM193" s="880">
        <f>IFERROR(__xludf.DUMMYFUNCTION("""COMPUTED_VALUE"""),459209.0)</f>
        <v>459209</v>
      </c>
      <c r="AN193" s="252" t="str">
        <f>IFERROR(__xludf.DUMMYFUNCTION("""COMPUTED_VALUE"""),"OT260303093826")</f>
        <v>OT260303093826</v>
      </c>
      <c r="AO193" s="252" t="str">
        <f>IFERROR(__xludf.DUMMYFUNCTION("""COMPUTED_VALUE"""),"Km")</f>
        <v>Km</v>
      </c>
      <c r="AP193" s="252" t="str">
        <f>IFERROR(__xludf.DUMMYFUNCTION("""COMPUTED_VALUE"""),"IS251007100312")</f>
        <v>IS251007100312</v>
      </c>
      <c r="AQ193" s="252"/>
      <c r="AR193" s="252">
        <f>IFERROR(__xludf.DUMMYFUNCTION("""COMPUTED_VALUE"""),411394.0)</f>
        <v>411394</v>
      </c>
      <c r="AS193" s="881">
        <f>IFERROR(__xludf.DUMMYFUNCTION("""COMPUTED_VALUE"""),44927.0)</f>
        <v>44927</v>
      </c>
      <c r="AT193" s="881">
        <f>IFERROR(__xludf.DUMMYFUNCTION("""COMPUTED_VALUE"""),44927.0)</f>
        <v>44927</v>
      </c>
      <c r="AU193" s="252" t="str">
        <f>IFERROR(__xludf.DUMMYFUNCTION("""COMPUTED_VALUE"""),"RDC260225102226")</f>
        <v>RDC260225102226</v>
      </c>
      <c r="AV193" s="252" t="str">
        <f>IFERROR(__xludf.DUMMYFUNCTION("""COMPUTED_VALUE"""),"RCO260302172653")</f>
        <v>RCO260302172653</v>
      </c>
      <c r="AW193" s="252">
        <f>IFERROR(__xludf.DUMMYFUNCTION("""COMPUTED_VALUE"""),51.0)</f>
        <v>51</v>
      </c>
      <c r="AX193" s="252"/>
      <c r="AY193" s="252">
        <f>IFERROR(__xludf.DUMMYFUNCTION("""COMPUTED_VALUE"""),584.0)</f>
        <v>584</v>
      </c>
      <c r="AZ193" s="881">
        <f>IFERROR(__xludf.DUMMYFUNCTION("""COMPUTED_VALUE"""),46083.0)</f>
        <v>46083</v>
      </c>
    </row>
    <row r="194">
      <c r="A194" s="252" t="str">
        <f>IFERROR(__xludf.DUMMYFUNCTION("""COMPUTED_VALUE"""),"m000107")</f>
        <v>m000107</v>
      </c>
      <c r="B194" s="252" t="str">
        <f>IFERROR(__xludf.DUMMYFUNCTION("""COMPUTED_VALUE"""),"C-07 HYWS35")</f>
        <v>C-07 HYWS35</v>
      </c>
      <c r="C194" s="252" t="str">
        <f>IFERROR(__xludf.DUMMYFUNCTION("""COMPUTED_VALUE"""),"CAMIONETA")</f>
        <v>CAMIONETA</v>
      </c>
      <c r="D194" s="252" t="str">
        <f>IFERROR(__xludf.DUMMYFUNCTION("""COMPUTED_VALUE"""),"CAMIONETA")</f>
        <v>CAMIONETA</v>
      </c>
      <c r="E194" s="252" t="str">
        <f>IFERROR(__xludf.DUMMYFUNCTION("""COMPUTED_VALUE"""),"SSANGYONG")</f>
        <v>SSANGYONG</v>
      </c>
      <c r="F194" s="252" t="str">
        <f>IFERROR(__xludf.DUMMYFUNCTION("""COMPUTED_VALUE"""),"NEW ACTION SPORTS 2,0cc 4X2, DOB CAB")</f>
        <v>NEW ACTION SPORTS 2,0cc 4X2, DOB CAB</v>
      </c>
      <c r="G194" s="252">
        <f>IFERROR(__xludf.DUMMYFUNCTION("""COMPUTED_VALUE"""),2016.0)</f>
        <v>2016</v>
      </c>
      <c r="H194" s="252"/>
      <c r="I194" s="252"/>
      <c r="J194" s="252" t="str">
        <f>IFERROR(__xludf.DUMMYFUNCTION("""COMPUTED_VALUE"""),"HYWS35")</f>
        <v>HYWS35</v>
      </c>
      <c r="K194" s="252" t="str">
        <f>IFERROR(__xludf.DUMMYFUNCTION("""COMPUTED_VALUE"""),"ECMA")</f>
        <v>ECMA</v>
      </c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  <c r="AA194" s="252"/>
      <c r="AB194" s="252" t="str">
        <f>IFERROR(__xludf.DUMMYFUNCTION("""COMPUTED_VALUE"""),"Discontinuado")</f>
        <v>Discontinuado</v>
      </c>
      <c r="AC194" s="252"/>
      <c r="AD194" s="252"/>
      <c r="AE194" s="252" t="str">
        <f>IFERROR(__xludf.DUMMYFUNCTION("""COMPUTED_VALUE"""),"Sin incidentes")</f>
        <v>Sin incidentes</v>
      </c>
      <c r="AF194" s="252">
        <f>IFERROR(__xludf.DUMMYFUNCTION("""COMPUTED_VALUE"""),1.0)</f>
        <v>1</v>
      </c>
      <c r="AG194" s="252" t="str">
        <f>IFERROR(__xludf.DUMMYFUNCTION("""COMPUTED_VALUE"""),"[C-07 HYWS35] - SSANGYONG NEW ACTION SPORTS 2,0cc 4X2, DOB CAB")</f>
        <v>[C-07 HYWS35] - SSANGYONG NEW ACTION SPORTS 2,0cc 4X2, DOB CAB</v>
      </c>
      <c r="AH194" s="252"/>
      <c r="AI194" s="252"/>
      <c r="AJ194" s="252"/>
      <c r="AK194" s="252"/>
      <c r="AL194" s="880" t="str">
        <f>IFERROR(__xludf.DUMMYFUNCTION("""COMPUTED_VALUE"""),"")</f>
        <v/>
      </c>
      <c r="AM194" s="880" t="str">
        <f>IFERROR(__xludf.DUMMYFUNCTION("""COMPUTED_VALUE"""),"")</f>
        <v/>
      </c>
      <c r="AN194" s="252"/>
      <c r="AO194" s="252"/>
      <c r="AP194" s="252"/>
      <c r="AQ194" s="252"/>
      <c r="AR194" s="252"/>
      <c r="AS194" s="881">
        <f>IFERROR(__xludf.DUMMYFUNCTION("""COMPUTED_VALUE"""),44927.0)</f>
        <v>44927</v>
      </c>
      <c r="AT194" s="881">
        <f>IFERROR(__xludf.DUMMYFUNCTION("""COMPUTED_VALUE"""),44927.0)</f>
        <v>44927</v>
      </c>
      <c r="AU194" s="252"/>
      <c r="AV194" s="252"/>
      <c r="AW194" s="252"/>
      <c r="AX194" s="252"/>
      <c r="AY194" s="252"/>
      <c r="AZ194" s="252"/>
    </row>
    <row r="195">
      <c r="A195" s="252" t="str">
        <f>IFERROR(__xludf.DUMMYFUNCTION("""COMPUTED_VALUE"""),"m000108")</f>
        <v>m000108</v>
      </c>
      <c r="B195" s="252" t="str">
        <f>IFERROR(__xludf.DUMMYFUNCTION("""COMPUTED_VALUE"""),"C-08 HGSJ62")</f>
        <v>C-08 HGSJ62</v>
      </c>
      <c r="C195" s="252" t="str">
        <f>IFERROR(__xludf.DUMMYFUNCTION("""COMPUTED_VALUE"""),"CAMIONETA")</f>
        <v>CAMIONETA</v>
      </c>
      <c r="D195" s="252" t="str">
        <f>IFERROR(__xludf.DUMMYFUNCTION("""COMPUTED_VALUE"""),"CAMIONETA")</f>
        <v>CAMIONETA</v>
      </c>
      <c r="E195" s="252" t="str">
        <f>IFERROR(__xludf.DUMMYFUNCTION("""COMPUTED_VALUE"""),"MITSUBISHI")</f>
        <v>MITSUBISHI</v>
      </c>
      <c r="F195" s="252" t="str">
        <f>IFERROR(__xludf.DUMMYFUNCTION("""COMPUTED_VALUE"""),"L 200 4X2, WORK CR 2,4cc DOB CAB")</f>
        <v>L 200 4X2, WORK CR 2,4cc DOB CAB</v>
      </c>
      <c r="G195" s="252">
        <f>IFERROR(__xludf.DUMMYFUNCTION("""COMPUTED_VALUE"""),2016.0)</f>
        <v>2016</v>
      </c>
      <c r="H195" s="252"/>
      <c r="I195" s="252"/>
      <c r="J195" s="252" t="str">
        <f>IFERROR(__xludf.DUMMYFUNCTION("""COMPUTED_VALUE"""),"HGSJ62")</f>
        <v>HGSJ62</v>
      </c>
      <c r="K195" s="252" t="str">
        <f>IFERROR(__xludf.DUMMYFUNCTION("""COMPUTED_VALUE"""),"ECMA")</f>
        <v>ECMA</v>
      </c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  <c r="AA195" s="252"/>
      <c r="AB195" s="252" t="str">
        <f>IFERROR(__xludf.DUMMYFUNCTION("""COMPUTED_VALUE"""),"Discontinuado")</f>
        <v>Discontinuado</v>
      </c>
      <c r="AC195" s="252"/>
      <c r="AD195" s="252"/>
      <c r="AE195" s="252" t="str">
        <f>IFERROR(__xludf.DUMMYFUNCTION("""COMPUTED_VALUE"""),"Sin incidentes")</f>
        <v>Sin incidentes</v>
      </c>
      <c r="AF195" s="252">
        <f>IFERROR(__xludf.DUMMYFUNCTION("""COMPUTED_VALUE"""),1.0)</f>
        <v>1</v>
      </c>
      <c r="AG195" s="252" t="str">
        <f>IFERROR(__xludf.DUMMYFUNCTION("""COMPUTED_VALUE"""),"[C-08 HGSJ62] - MITSUBISHI L 200 4X2, WORK CR 2,4cc DOB CAB")</f>
        <v>[C-08 HGSJ62] - MITSUBISHI L 200 4X2, WORK CR 2,4cc DOB CAB</v>
      </c>
      <c r="AH195" s="252"/>
      <c r="AI195" s="252"/>
      <c r="AJ195" s="252"/>
      <c r="AK195" s="252"/>
      <c r="AL195" s="880" t="str">
        <f>IFERROR(__xludf.DUMMYFUNCTION("""COMPUTED_VALUE"""),"")</f>
        <v/>
      </c>
      <c r="AM195" s="880" t="str">
        <f>IFERROR(__xludf.DUMMYFUNCTION("""COMPUTED_VALUE"""),"")</f>
        <v/>
      </c>
      <c r="AN195" s="252"/>
      <c r="AO195" s="252"/>
      <c r="AP195" s="252"/>
      <c r="AQ195" s="252"/>
      <c r="AR195" s="252"/>
      <c r="AS195" s="881">
        <f>IFERROR(__xludf.DUMMYFUNCTION("""COMPUTED_VALUE"""),44927.0)</f>
        <v>44927</v>
      </c>
      <c r="AT195" s="881">
        <f>IFERROR(__xludf.DUMMYFUNCTION("""COMPUTED_VALUE"""),44927.0)</f>
        <v>44927</v>
      </c>
      <c r="AU195" s="252"/>
      <c r="AV195" s="252"/>
      <c r="AW195" s="252"/>
      <c r="AX195" s="252"/>
      <c r="AY195" s="252"/>
      <c r="AZ195" s="252"/>
    </row>
    <row r="196">
      <c r="A196" s="252" t="str">
        <f>IFERROR(__xludf.DUMMYFUNCTION("""COMPUTED_VALUE"""),"m000109")</f>
        <v>m000109</v>
      </c>
      <c r="B196" s="252" t="str">
        <f>IFERROR(__xludf.DUMMYFUNCTION("""COMPUTED_VALUE"""),"C-09  JYFV98")</f>
        <v>C-09  JYFV98</v>
      </c>
      <c r="C196" s="252" t="str">
        <f>IFERROR(__xludf.DUMMYFUNCTION("""COMPUTED_VALUE"""),"CAMIONETA")</f>
        <v>CAMIONETA</v>
      </c>
      <c r="D196" s="252" t="str">
        <f>IFERROR(__xludf.DUMMYFUNCTION("""COMPUTED_VALUE"""),"CAMIONETA")</f>
        <v>CAMIONETA</v>
      </c>
      <c r="E196" s="252" t="str">
        <f>IFERROR(__xludf.DUMMYFUNCTION("""COMPUTED_VALUE"""),"MITSUBISHI")</f>
        <v>MITSUBISHI</v>
      </c>
      <c r="F196" s="252" t="str">
        <f>IFERROR(__xludf.DUMMYFUNCTION("""COMPUTED_VALUE"""),"L 200 4X2, WORK CR 2,4cc DOB CAB")</f>
        <v>L 200 4X2, WORK CR 2,4cc DOB CAB</v>
      </c>
      <c r="G196" s="252">
        <f>IFERROR(__xludf.DUMMYFUNCTION("""COMPUTED_VALUE"""),2018.0)</f>
        <v>2018</v>
      </c>
      <c r="H196" s="252"/>
      <c r="I196" s="252"/>
      <c r="J196" s="252" t="str">
        <f>IFERROR(__xludf.DUMMYFUNCTION("""COMPUTED_VALUE"""),"JYFV98")</f>
        <v>JYFV98</v>
      </c>
      <c r="K196" s="252" t="str">
        <f>IFERROR(__xludf.DUMMYFUNCTION("""COMPUTED_VALUE"""),"ECMA")</f>
        <v>ECMA</v>
      </c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  <c r="AA196" s="252"/>
      <c r="AB196" s="252" t="str">
        <f>IFERROR(__xludf.DUMMYFUNCTION("""COMPUTED_VALUE"""),"En producción")</f>
        <v>En producción</v>
      </c>
      <c r="AC196" s="252"/>
      <c r="AD196" s="252">
        <f>IFERROR(__xludf.DUMMYFUNCTION("""COMPUTED_VALUE"""),28.0)</f>
        <v>28</v>
      </c>
      <c r="AE196" s="252" t="str">
        <f>IFERROR(__xludf.DUMMYFUNCTION("""COMPUTED_VALUE"""),"Sin incidentes")</f>
        <v>Sin incidentes</v>
      </c>
      <c r="AF196" s="252">
        <f>IFERROR(__xludf.DUMMYFUNCTION("""COMPUTED_VALUE"""),1.0)</f>
        <v>1</v>
      </c>
      <c r="AG196" s="252" t="str">
        <f>IFERROR(__xludf.DUMMYFUNCTION("""COMPUTED_VALUE"""),"[C-09  JYFV98] - MITSUBISHI L 200 4X2, WORK CR 2,4cc DOB CAB")</f>
        <v>[C-09  JYFV98] - MITSUBISHI L 200 4X2, WORK CR 2,4cc DOB CAB</v>
      </c>
      <c r="AH196" s="252">
        <f>IFERROR(__xludf.DUMMYFUNCTION("""COMPUTED_VALUE"""),1.0)</f>
        <v>1</v>
      </c>
      <c r="AI196" s="252">
        <f>IFERROR(__xludf.DUMMYFUNCTION("""COMPUTED_VALUE"""),364846.0)</f>
        <v>364846</v>
      </c>
      <c r="AJ196" s="882">
        <f>IFERROR(__xludf.DUMMYFUNCTION("""COMPUTED_VALUE"""),46093.29079861111)</f>
        <v>46093.2908</v>
      </c>
      <c r="AK196" s="882">
        <f>IFERROR(__xludf.DUMMYFUNCTION("""COMPUTED_VALUE"""),46093.29083333333)</f>
        <v>46093.29083</v>
      </c>
      <c r="AL196" s="252"/>
      <c r="AM196" s="880">
        <f>IFERROR(__xludf.DUMMYFUNCTION("""COMPUTED_VALUE"""),371779.0)</f>
        <v>371779</v>
      </c>
      <c r="AN196" s="252" t="str">
        <f>IFERROR(__xludf.DUMMYFUNCTION("""COMPUTED_VALUE"""),"OT260218082228")</f>
        <v>OT260218082228</v>
      </c>
      <c r="AO196" s="252" t="str">
        <f>IFERROR(__xludf.DUMMYFUNCTION("""COMPUTED_VALUE"""),"Km")</f>
        <v>Km</v>
      </c>
      <c r="AP196" s="252" t="str">
        <f>IFERROR(__xludf.DUMMYFUNCTION("""COMPUTED_VALUE"""),"IS260311164001")</f>
        <v>IS260311164001</v>
      </c>
      <c r="AQ196" s="252"/>
      <c r="AR196" s="252">
        <f>IFERROR(__xludf.DUMMYFUNCTION("""COMPUTED_VALUE"""),320306.0)</f>
        <v>320306</v>
      </c>
      <c r="AS196" s="881">
        <f>IFERROR(__xludf.DUMMYFUNCTION("""COMPUTED_VALUE"""),44927.0)</f>
        <v>44927</v>
      </c>
      <c r="AT196" s="881">
        <f>IFERROR(__xludf.DUMMYFUNCTION("""COMPUTED_VALUE"""),44927.0)</f>
        <v>44927</v>
      </c>
      <c r="AU196" s="252" t="str">
        <f>IFERROR(__xludf.DUMMYFUNCTION("""COMPUTED_VALUE"""),"RDC260303211232")</f>
        <v>RDC260303211232</v>
      </c>
      <c r="AV196" s="252" t="str">
        <f>IFERROR(__xludf.DUMMYFUNCTION("""COMPUTED_VALUE"""),"RCO260312085433")</f>
        <v>RCO260312085433</v>
      </c>
      <c r="AW196" s="252">
        <f>IFERROR(__xludf.DUMMYFUNCTION("""COMPUTED_VALUE"""),50.0)</f>
        <v>50</v>
      </c>
      <c r="AX196" s="252">
        <f>IFERROR(__xludf.DUMMYFUNCTION("""COMPUTED_VALUE"""),0.0)</f>
        <v>0</v>
      </c>
      <c r="AY196" s="252">
        <f>IFERROR(__xludf.DUMMYFUNCTION("""COMPUTED_VALUE"""),517.0)</f>
        <v>517</v>
      </c>
      <c r="AZ196" s="884">
        <f>IFERROR(__xludf.DUMMYFUNCTION("""COMPUTED_VALUE"""),46093.0)</f>
        <v>46093</v>
      </c>
    </row>
    <row r="197">
      <c r="A197" s="252" t="str">
        <f>IFERROR(__xludf.DUMMYFUNCTION("""COMPUTED_VALUE"""),"m000110")</f>
        <v>m000110</v>
      </c>
      <c r="B197" s="252" t="str">
        <f>IFERROR(__xludf.DUMMYFUNCTION("""COMPUTED_VALUE"""),"C-10 JZRK51")</f>
        <v>C-10 JZRK51</v>
      </c>
      <c r="C197" s="252" t="str">
        <f>IFERROR(__xludf.DUMMYFUNCTION("""COMPUTED_VALUE"""),"CAMIONETA")</f>
        <v>CAMIONETA</v>
      </c>
      <c r="D197" s="252" t="str">
        <f>IFERROR(__xludf.DUMMYFUNCTION("""COMPUTED_VALUE"""),"CAMIONETA")</f>
        <v>CAMIONETA</v>
      </c>
      <c r="E197" s="252" t="str">
        <f>IFERROR(__xludf.DUMMYFUNCTION("""COMPUTED_VALUE"""),"MITSUBISHI")</f>
        <v>MITSUBISHI</v>
      </c>
      <c r="F197" s="252" t="str">
        <f>IFERROR(__xludf.DUMMYFUNCTION("""COMPUTED_VALUE"""),"L 200 4X2, WORK CR 2,4cc DOB CAB")</f>
        <v>L 200 4X2, WORK CR 2,4cc DOB CAB</v>
      </c>
      <c r="G197" s="252">
        <f>IFERROR(__xludf.DUMMYFUNCTION("""COMPUTED_VALUE"""),2018.0)</f>
        <v>2018</v>
      </c>
      <c r="H197" s="252"/>
      <c r="I197" s="252"/>
      <c r="J197" s="252" t="str">
        <f>IFERROR(__xludf.DUMMYFUNCTION("""COMPUTED_VALUE"""),"JZRK51")</f>
        <v>JZRK51</v>
      </c>
      <c r="K197" s="252" t="str">
        <f>IFERROR(__xludf.DUMMYFUNCTION("""COMPUTED_VALUE"""),"ECMA")</f>
        <v>ECMA</v>
      </c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  <c r="AA197" s="252"/>
      <c r="AB197" s="252" t="str">
        <f>IFERROR(__xludf.DUMMYFUNCTION("""COMPUTED_VALUE"""),"Reparando en taller")</f>
        <v>Reparando en taller</v>
      </c>
      <c r="AC197" s="252"/>
      <c r="AD197" s="252"/>
      <c r="AE197" s="252" t="str">
        <f>IFERROR(__xludf.DUMMYFUNCTION("""COMPUTED_VALUE"""),"Sin incidentes")</f>
        <v>Sin incidentes</v>
      </c>
      <c r="AF197" s="252">
        <f>IFERROR(__xludf.DUMMYFUNCTION("""COMPUTED_VALUE"""),1.0)</f>
        <v>1</v>
      </c>
      <c r="AG197" s="252" t="str">
        <f>IFERROR(__xludf.DUMMYFUNCTION("""COMPUTED_VALUE"""),"[C-10 JZRK51] - MITSUBISHI L 200 4X2, WORK CR 2,4cc DOB CAB")</f>
        <v>[C-10 JZRK51] - MITSUBISHI L 200 4X2, WORK CR 2,4cc DOB CAB</v>
      </c>
      <c r="AH197" s="252"/>
      <c r="AI197" s="252"/>
      <c r="AJ197" s="252"/>
      <c r="AK197" s="252"/>
      <c r="AL197" s="880" t="str">
        <f>IFERROR(__xludf.DUMMYFUNCTION("""COMPUTED_VALUE"""),"")</f>
        <v/>
      </c>
      <c r="AM197" s="880" t="str">
        <f>IFERROR(__xludf.DUMMYFUNCTION("""COMPUTED_VALUE"""),"")</f>
        <v/>
      </c>
      <c r="AN197" s="252"/>
      <c r="AO197" s="252"/>
      <c r="AP197" s="252"/>
      <c r="AQ197" s="252"/>
      <c r="AR197" s="252"/>
      <c r="AS197" s="881">
        <f>IFERROR(__xludf.DUMMYFUNCTION("""COMPUTED_VALUE"""),44927.0)</f>
        <v>44927</v>
      </c>
      <c r="AT197" s="881">
        <f>IFERROR(__xludf.DUMMYFUNCTION("""COMPUTED_VALUE"""),44927.0)</f>
        <v>44927</v>
      </c>
      <c r="AU197" s="252"/>
      <c r="AV197" s="252"/>
      <c r="AW197" s="252"/>
      <c r="AX197" s="252"/>
      <c r="AY197" s="252"/>
      <c r="AZ197" s="252"/>
    </row>
    <row r="198">
      <c r="A198" s="252" t="str">
        <f>IFERROR(__xludf.DUMMYFUNCTION("""COMPUTED_VALUE"""),"m000111")</f>
        <v>m000111</v>
      </c>
      <c r="B198" s="252" t="str">
        <f>IFERROR(__xludf.DUMMYFUNCTION("""COMPUTED_VALUE"""),"C-11 BTVK72")</f>
        <v>C-11 BTVK72</v>
      </c>
      <c r="C198" s="252" t="str">
        <f>IFERROR(__xludf.DUMMYFUNCTION("""COMPUTED_VALUE"""),"CAMIONETA")</f>
        <v>CAMIONETA</v>
      </c>
      <c r="D198" s="252" t="str">
        <f>IFERROR(__xludf.DUMMYFUNCTION("""COMPUTED_VALUE"""),"CAMIONETA")</f>
        <v>CAMIONETA</v>
      </c>
      <c r="E198" s="252" t="str">
        <f>IFERROR(__xludf.DUMMYFUNCTION("""COMPUTED_VALUE"""),"FIAT")</f>
        <v>FIAT</v>
      </c>
      <c r="F198" s="252" t="str">
        <f>IFERROR(__xludf.DUMMYFUNCTION("""COMPUTED_VALUE"""),"FIORINO FIRE 1,3cc")</f>
        <v>FIORINO FIRE 1,3cc</v>
      </c>
      <c r="G198" s="252">
        <f>IFERROR(__xludf.DUMMYFUNCTION("""COMPUTED_VALUE"""),2011.0)</f>
        <v>2011</v>
      </c>
      <c r="H198" s="252"/>
      <c r="I198" s="252"/>
      <c r="J198" s="252" t="str">
        <f>IFERROR(__xludf.DUMMYFUNCTION("""COMPUTED_VALUE"""),"BTVK72")</f>
        <v>BTVK72</v>
      </c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  <c r="AA198" s="252"/>
      <c r="AB198" s="252" t="str">
        <f>IFERROR(__xludf.DUMMYFUNCTION("""COMPUTED_VALUE"""),"Discontinuado")</f>
        <v>Discontinuado</v>
      </c>
      <c r="AC198" s="252"/>
      <c r="AD198" s="252"/>
      <c r="AE198" s="252" t="str">
        <f>IFERROR(__xludf.DUMMYFUNCTION("""COMPUTED_VALUE"""),"Sin incidentes")</f>
        <v>Sin incidentes</v>
      </c>
      <c r="AF198" s="252">
        <f>IFERROR(__xludf.DUMMYFUNCTION("""COMPUTED_VALUE"""),1.0)</f>
        <v>1</v>
      </c>
      <c r="AG198" s="252" t="str">
        <f>IFERROR(__xludf.DUMMYFUNCTION("""COMPUTED_VALUE"""),"[C-11 BTVK72] - FIAT FIORINO FIRE 1,3cc")</f>
        <v>[C-11 BTVK72] - FIAT FIORINO FIRE 1,3cc</v>
      </c>
      <c r="AH198" s="252">
        <f>IFERROR(__xludf.DUMMYFUNCTION("""COMPUTED_VALUE"""),390.0)</f>
        <v>390</v>
      </c>
      <c r="AI198" s="252"/>
      <c r="AJ198" s="252"/>
      <c r="AK198" s="252"/>
      <c r="AL198" s="880">
        <f>IFERROR(__xludf.DUMMYFUNCTION("""COMPUTED_VALUE"""),350.0)</f>
        <v>350</v>
      </c>
      <c r="AM198" s="252"/>
      <c r="AN198" s="252" t="str">
        <f>IFERROR(__xludf.DUMMYFUNCTION("""COMPUTED_VALUE"""),"OT240902105716")</f>
        <v>OT240902105716</v>
      </c>
      <c r="AO198" s="252" t="str">
        <f>IFERROR(__xludf.DUMMYFUNCTION("""COMPUTED_VALUE"""),"Hr")</f>
        <v>Hr</v>
      </c>
      <c r="AP198" s="252"/>
      <c r="AQ198" s="252">
        <f>IFERROR(__xludf.DUMMYFUNCTION("""COMPUTED_VALUE"""),390.0)</f>
        <v>390</v>
      </c>
      <c r="AR198" s="252"/>
      <c r="AS198" s="881">
        <f>IFERROR(__xludf.DUMMYFUNCTION("""COMPUTED_VALUE"""),44927.0)</f>
        <v>44927</v>
      </c>
      <c r="AT198" s="881">
        <f>IFERROR(__xludf.DUMMYFUNCTION("""COMPUTED_VALUE"""),44927.0)</f>
        <v>44927</v>
      </c>
      <c r="AU198" s="252"/>
      <c r="AV198" s="252"/>
      <c r="AW198" s="252"/>
      <c r="AX198" s="252"/>
      <c r="AY198" s="252"/>
      <c r="AZ198" s="252"/>
    </row>
    <row r="199">
      <c r="A199" s="252" t="str">
        <f>IFERROR(__xludf.DUMMYFUNCTION("""COMPUTED_VALUE"""),"m000112")</f>
        <v>m000112</v>
      </c>
      <c r="B199" s="252" t="str">
        <f>IFERROR(__xludf.DUMMYFUNCTION("""COMPUTED_VALUE"""),"C-12 JZRK53")</f>
        <v>C-12 JZRK53</v>
      </c>
      <c r="C199" s="252" t="str">
        <f>IFERROR(__xludf.DUMMYFUNCTION("""COMPUTED_VALUE"""),"CAMIONETA")</f>
        <v>CAMIONETA</v>
      </c>
      <c r="D199" s="252" t="str">
        <f>IFERROR(__xludf.DUMMYFUNCTION("""COMPUTED_VALUE"""),"CAMIONETA")</f>
        <v>CAMIONETA</v>
      </c>
      <c r="E199" s="252" t="str">
        <f>IFERROR(__xludf.DUMMYFUNCTION("""COMPUTED_VALUE"""),"MITSUBISHI")</f>
        <v>MITSUBISHI</v>
      </c>
      <c r="F199" s="252" t="str">
        <f>IFERROR(__xludf.DUMMYFUNCTION("""COMPUTED_VALUE"""),"L 200 4X2, WORK CR 2,4cc DOB CAB")</f>
        <v>L 200 4X2, WORK CR 2,4cc DOB CAB</v>
      </c>
      <c r="G199" s="252">
        <f>IFERROR(__xludf.DUMMYFUNCTION("""COMPUTED_VALUE"""),2018.0)</f>
        <v>2018</v>
      </c>
      <c r="H199" s="252"/>
      <c r="I199" s="252"/>
      <c r="J199" s="252" t="str">
        <f>IFERROR(__xludf.DUMMYFUNCTION("""COMPUTED_VALUE"""),"JZRK53")</f>
        <v>JZRK53</v>
      </c>
      <c r="K199" s="252" t="str">
        <f>IFERROR(__xludf.DUMMYFUNCTION("""COMPUTED_VALUE"""),"ECMA")</f>
        <v>ECMA</v>
      </c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  <c r="AA199" s="252"/>
      <c r="AB199" s="252" t="str">
        <f>IFERROR(__xludf.DUMMYFUNCTION("""COMPUTED_VALUE"""),"Fuera de la empresa")</f>
        <v>Fuera de la empresa</v>
      </c>
      <c r="AC199" s="252"/>
      <c r="AD199" s="252"/>
      <c r="AE199" s="252" t="str">
        <f>IFERROR(__xludf.DUMMYFUNCTION("""COMPUTED_VALUE"""),"Sin incidentes")</f>
        <v>Sin incidentes</v>
      </c>
      <c r="AF199" s="252">
        <f>IFERROR(__xludf.DUMMYFUNCTION("""COMPUTED_VALUE"""),1.0)</f>
        <v>1</v>
      </c>
      <c r="AG199" s="252" t="str">
        <f>IFERROR(__xludf.DUMMYFUNCTION("""COMPUTED_VALUE"""),"[C-12 JZRK53] - MITSUBISHI L 200 4X2, WORK CR 2,4cc DOB CAB")</f>
        <v>[C-12 JZRK53] - MITSUBISHI L 200 4X2, WORK CR 2,4cc DOB CAB</v>
      </c>
      <c r="AH199" s="252">
        <f>IFERROR(__xludf.DUMMYFUNCTION("""COMPUTED_VALUE"""),9219.0)</f>
        <v>9219</v>
      </c>
      <c r="AI199" s="252">
        <f>IFERROR(__xludf.DUMMYFUNCTION("""COMPUTED_VALUE"""),362130.0)</f>
        <v>362130</v>
      </c>
      <c r="AJ199" s="882">
        <f>IFERROR(__xludf.DUMMYFUNCTION("""COMPUTED_VALUE"""),46093.360983796294)</f>
        <v>46093.36098</v>
      </c>
      <c r="AK199" s="882">
        <f>IFERROR(__xludf.DUMMYFUNCTION("""COMPUTED_VALUE"""),46093.36100694445)</f>
        <v>46093.36101</v>
      </c>
      <c r="AL199" s="880" t="str">
        <f>IFERROR(__xludf.DUMMYFUNCTION("""COMPUTED_VALUE"""),"")</f>
        <v/>
      </c>
      <c r="AM199" s="880">
        <f>IFERROR(__xludf.DUMMYFUNCTION("""COMPUTED_VALUE"""),369157.0)</f>
        <v>369157</v>
      </c>
      <c r="AN199" s="252" t="str">
        <f>IFERROR(__xludf.DUMMYFUNCTION("""COMPUTED_VALUE"""),"OT251006153521")</f>
        <v>OT251006153521</v>
      </c>
      <c r="AO199" s="252" t="str">
        <f>IFERROR(__xludf.DUMMYFUNCTION("""COMPUTED_VALUE"""),"Km")</f>
        <v>Km</v>
      </c>
      <c r="AP199" s="252" t="str">
        <f>IFERROR(__xludf.DUMMYFUNCTION("""COMPUTED_VALUE"""),"IS260312164958")</f>
        <v>IS260312164958</v>
      </c>
      <c r="AQ199" s="252"/>
      <c r="AR199" s="252">
        <f>IFERROR(__xludf.DUMMYFUNCTION("""COMPUTED_VALUE"""),346724.0)</f>
        <v>346724</v>
      </c>
      <c r="AS199" s="881">
        <f>IFERROR(__xludf.DUMMYFUNCTION("""COMPUTED_VALUE"""),44927.0)</f>
        <v>44927</v>
      </c>
      <c r="AT199" s="881">
        <f>IFERROR(__xludf.DUMMYFUNCTION("""COMPUTED_VALUE"""),44927.0)</f>
        <v>44927</v>
      </c>
      <c r="AU199" s="252"/>
      <c r="AV199" s="252" t="str">
        <f>IFERROR(__xludf.DUMMYFUNCTION("""COMPUTED_VALUE"""),"RCO260312103652")</f>
        <v>RCO260312103652</v>
      </c>
      <c r="AW199" s="252">
        <f>IFERROR(__xludf.DUMMYFUNCTION("""COMPUTED_VALUE"""),13.0)</f>
        <v>13</v>
      </c>
      <c r="AX199" s="252">
        <f>IFERROR(__xludf.DUMMYFUNCTION("""COMPUTED_VALUE"""),0.0)</f>
        <v>0</v>
      </c>
      <c r="AY199" s="252">
        <f>IFERROR(__xludf.DUMMYFUNCTION("""COMPUTED_VALUE"""),126.0)</f>
        <v>126</v>
      </c>
      <c r="AZ199" s="881">
        <f>IFERROR(__xludf.DUMMYFUNCTION("""COMPUTED_VALUE"""),46093.0)</f>
        <v>46093</v>
      </c>
    </row>
    <row r="200">
      <c r="A200" s="252" t="str">
        <f>IFERROR(__xludf.DUMMYFUNCTION("""COMPUTED_VALUE"""),"m000113")</f>
        <v>m000113</v>
      </c>
      <c r="B200" s="252" t="str">
        <f>IFERROR(__xludf.DUMMYFUNCTION("""COMPUTED_VALUE"""),"C-16 KPGT70")</f>
        <v>C-16 KPGT70</v>
      </c>
      <c r="C200" s="252" t="str">
        <f>IFERROR(__xludf.DUMMYFUNCTION("""COMPUTED_VALUE"""),"CAMIONETA")</f>
        <v>CAMIONETA</v>
      </c>
      <c r="D200" s="252" t="str">
        <f>IFERROR(__xludf.DUMMYFUNCTION("""COMPUTED_VALUE"""),"CAMIONETA")</f>
        <v>CAMIONETA</v>
      </c>
      <c r="E200" s="252" t="str">
        <f>IFERROR(__xludf.DUMMYFUNCTION("""COMPUTED_VALUE"""),"MITSUBISHI")</f>
        <v>MITSUBISHI</v>
      </c>
      <c r="F200" s="252" t="str">
        <f>IFERROR(__xludf.DUMMYFUNCTION("""COMPUTED_VALUE"""),"L 200 4X2, WORK CR 2,4cc DOB CAB")</f>
        <v>L 200 4X2, WORK CR 2,4cc DOB CAB</v>
      </c>
      <c r="G200" s="252">
        <f>IFERROR(__xludf.DUMMYFUNCTION("""COMPUTED_VALUE"""),2018.0)</f>
        <v>2018</v>
      </c>
      <c r="H200" s="252"/>
      <c r="I200" s="252"/>
      <c r="J200" s="252" t="str">
        <f>IFERROR(__xludf.DUMMYFUNCTION("""COMPUTED_VALUE"""),"KPGT70")</f>
        <v>KPGT70</v>
      </c>
      <c r="K200" s="252" t="str">
        <f>IFERROR(__xludf.DUMMYFUNCTION("""COMPUTED_VALUE"""),"ECMA")</f>
        <v>ECMA</v>
      </c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  <c r="AA200" s="252"/>
      <c r="AB200" s="252" t="str">
        <f>IFERROR(__xludf.DUMMYFUNCTION("""COMPUTED_VALUE"""),"En producción")</f>
        <v>En producción</v>
      </c>
      <c r="AC200" s="252"/>
      <c r="AD200" s="252">
        <f>IFERROR(__xludf.DUMMYFUNCTION("""COMPUTED_VALUE"""),1035.0)</f>
        <v>1035</v>
      </c>
      <c r="AE200" s="252" t="str">
        <f>IFERROR(__xludf.DUMMYFUNCTION("""COMPUTED_VALUE"""),"Sin incidentes")</f>
        <v>Sin incidentes</v>
      </c>
      <c r="AF200" s="252">
        <f>IFERROR(__xludf.DUMMYFUNCTION("""COMPUTED_VALUE"""),1.0)</f>
        <v>1</v>
      </c>
      <c r="AG200" s="252" t="str">
        <f>IFERROR(__xludf.DUMMYFUNCTION("""COMPUTED_VALUE"""),"[C-16 KPGT70] - MITSUBISHI L 200 4X2, WORK CR 2,4cc DOB CAB")</f>
        <v>[C-16 KPGT70] - MITSUBISHI L 200 4X2, WORK CR 2,4cc DOB CAB</v>
      </c>
      <c r="AH200" s="252"/>
      <c r="AI200" s="252">
        <f>IFERROR(__xludf.DUMMYFUNCTION("""COMPUTED_VALUE"""),379492.0)</f>
        <v>379492</v>
      </c>
      <c r="AJ200" s="882">
        <f>IFERROR(__xludf.DUMMYFUNCTION("""COMPUTED_VALUE"""),45723.54006944445)</f>
        <v>45723.54007</v>
      </c>
      <c r="AK200" s="882">
        <f>IFERROR(__xludf.DUMMYFUNCTION("""COMPUTED_VALUE"""),46096.44347222222)</f>
        <v>46096.44347</v>
      </c>
      <c r="AL200" s="252"/>
      <c r="AM200" s="880">
        <f>IFERROR(__xludf.DUMMYFUNCTION("""COMPUTED_VALUE"""),386726.0)</f>
        <v>386726</v>
      </c>
      <c r="AN200" s="252" t="str">
        <f>IFERROR(__xludf.DUMMYFUNCTION("""COMPUTED_VALUE"""),"OT260209110334")</f>
        <v>OT260209110334</v>
      </c>
      <c r="AO200" s="252" t="str">
        <f>IFERROR(__xludf.DUMMYFUNCTION("""COMPUTED_VALUE"""),"Km")</f>
        <v>Km</v>
      </c>
      <c r="AP200" s="252" t="str">
        <f>IFERROR(__xludf.DUMMYFUNCTION("""COMPUTED_VALUE"""),"IS260223105803")</f>
        <v>IS260223105803</v>
      </c>
      <c r="AQ200" s="252"/>
      <c r="AR200" s="252">
        <f>IFERROR(__xludf.DUMMYFUNCTION("""COMPUTED_VALUE"""),361535.0)</f>
        <v>361535</v>
      </c>
      <c r="AS200" s="881">
        <f>IFERROR(__xludf.DUMMYFUNCTION("""COMPUTED_VALUE"""),44927.0)</f>
        <v>44927</v>
      </c>
      <c r="AT200" s="881">
        <f>IFERROR(__xludf.DUMMYFUNCTION("""COMPUTED_VALUE"""),44927.0)</f>
        <v>44927</v>
      </c>
      <c r="AU200" s="252" t="str">
        <f>IFERROR(__xludf.DUMMYFUNCTION("""COMPUTED_VALUE"""),"RDC260126162337")</f>
        <v>RDC260126162337</v>
      </c>
      <c r="AV200" s="252" t="str">
        <f>IFERROR(__xludf.DUMMYFUNCTION("""COMPUTED_VALUE"""),"RCO260315123548")</f>
        <v>RCO260315123548</v>
      </c>
      <c r="AW200" s="252">
        <f>IFERROR(__xludf.DUMMYFUNCTION("""COMPUTED_VALUE"""),50.0)</f>
        <v>50</v>
      </c>
      <c r="AX200" s="252"/>
      <c r="AY200" s="252">
        <f>IFERROR(__xludf.DUMMYFUNCTION("""COMPUTED_VALUE"""),0.0)</f>
        <v>0</v>
      </c>
      <c r="AZ200" s="881">
        <f>IFERROR(__xludf.DUMMYFUNCTION("""COMPUTED_VALUE"""),46096.0)</f>
        <v>46096</v>
      </c>
    </row>
    <row r="201">
      <c r="A201" s="252" t="str">
        <f>IFERROR(__xludf.DUMMYFUNCTION("""COMPUTED_VALUE"""),"m000114")</f>
        <v>m000114</v>
      </c>
      <c r="B201" s="252" t="str">
        <f>IFERROR(__xludf.DUMMYFUNCTION("""COMPUTED_VALUE"""),"C-14 KPGT71")</f>
        <v>C-14 KPGT71</v>
      </c>
      <c r="C201" s="252" t="str">
        <f>IFERROR(__xludf.DUMMYFUNCTION("""COMPUTED_VALUE"""),"CAMIONETA")</f>
        <v>CAMIONETA</v>
      </c>
      <c r="D201" s="252" t="str">
        <f>IFERROR(__xludf.DUMMYFUNCTION("""COMPUTED_VALUE"""),"CAMIONETA")</f>
        <v>CAMIONETA</v>
      </c>
      <c r="E201" s="252" t="str">
        <f>IFERROR(__xludf.DUMMYFUNCTION("""COMPUTED_VALUE"""),"MITSUBISHI")</f>
        <v>MITSUBISHI</v>
      </c>
      <c r="F201" s="252" t="str">
        <f>IFERROR(__xludf.DUMMYFUNCTION("""COMPUTED_VALUE"""),"L 200 4X2, WORK CR 2,4cc DOB CAB")</f>
        <v>L 200 4X2, WORK CR 2,4cc DOB CAB</v>
      </c>
      <c r="G201" s="252">
        <f>IFERROR(__xludf.DUMMYFUNCTION("""COMPUTED_VALUE"""),2018.0)</f>
        <v>2018</v>
      </c>
      <c r="H201" s="252"/>
      <c r="I201" s="252"/>
      <c r="J201" s="252" t="str">
        <f>IFERROR(__xludf.DUMMYFUNCTION("""COMPUTED_VALUE"""),"KPGT71")</f>
        <v>KPGT71</v>
      </c>
      <c r="K201" s="252" t="str">
        <f>IFERROR(__xludf.DUMMYFUNCTION("""COMPUTED_VALUE"""),"ECMA")</f>
        <v>ECMA</v>
      </c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  <c r="AA201" s="252"/>
      <c r="AB201" s="252" t="str">
        <f>IFERROR(__xludf.DUMMYFUNCTION("""COMPUTED_VALUE"""),"En producción")</f>
        <v>En producción</v>
      </c>
      <c r="AC201" s="252"/>
      <c r="AD201" s="252">
        <f>IFERROR(__xludf.DUMMYFUNCTION("""COMPUTED_VALUE"""),1072.0)</f>
        <v>1072</v>
      </c>
      <c r="AE201" s="252" t="str">
        <f>IFERROR(__xludf.DUMMYFUNCTION("""COMPUTED_VALUE"""),"Sin incidentes")</f>
        <v>Sin incidentes</v>
      </c>
      <c r="AF201" s="252">
        <f>IFERROR(__xludf.DUMMYFUNCTION("""COMPUTED_VALUE"""),1.0)</f>
        <v>1</v>
      </c>
      <c r="AG201" s="252" t="str">
        <f>IFERROR(__xludf.DUMMYFUNCTION("""COMPUTED_VALUE"""),"[C-14 KPGT71] - MITSUBISHI L 200 4X2, WORK CR 2,4cc DOB CAB")</f>
        <v>[C-14 KPGT71] - MITSUBISHI L 200 4X2, WORK CR 2,4cc DOB CAB</v>
      </c>
      <c r="AH201" s="252">
        <f>IFERROR(__xludf.DUMMYFUNCTION("""COMPUTED_VALUE"""),1.0)</f>
        <v>1</v>
      </c>
      <c r="AI201" s="252">
        <f>IFERROR(__xludf.DUMMYFUNCTION("""COMPUTED_VALUE"""),277993.0)</f>
        <v>277993</v>
      </c>
      <c r="AJ201" s="882">
        <f>IFERROR(__xludf.DUMMYFUNCTION("""COMPUTED_VALUE"""),46092.30168981481)</f>
        <v>46092.30169</v>
      </c>
      <c r="AK201" s="882">
        <f>IFERROR(__xludf.DUMMYFUNCTION("""COMPUTED_VALUE"""),46092.30179398148)</f>
        <v>46092.30179</v>
      </c>
      <c r="AL201" s="252"/>
      <c r="AM201" s="880">
        <f>IFERROR(__xludf.DUMMYFUNCTION("""COMPUTED_VALUE"""),274563.0)</f>
        <v>274563</v>
      </c>
      <c r="AN201" s="252" t="str">
        <f>IFERROR(__xludf.DUMMYFUNCTION("""COMPUTED_VALUE"""),"OT250714112511")</f>
        <v>OT250714112511</v>
      </c>
      <c r="AO201" s="252" t="str">
        <f>IFERROR(__xludf.DUMMYFUNCTION("""COMPUTED_VALUE"""),"Km")</f>
        <v>Km</v>
      </c>
      <c r="AP201" s="252" t="str">
        <f>IFERROR(__xludf.DUMMYFUNCTION("""COMPUTED_VALUE"""),"IS260311163642")</f>
        <v>IS260311163642</v>
      </c>
      <c r="AQ201" s="252"/>
      <c r="AR201" s="252">
        <f>IFERROR(__xludf.DUMMYFUNCTION("""COMPUTED_VALUE"""),264464.0)</f>
        <v>264464</v>
      </c>
      <c r="AS201" s="881">
        <f>IFERROR(__xludf.DUMMYFUNCTION("""COMPUTED_VALUE"""),44927.0)</f>
        <v>44927</v>
      </c>
      <c r="AT201" s="881">
        <f>IFERROR(__xludf.DUMMYFUNCTION("""COMPUTED_VALUE"""),44927.0)</f>
        <v>44927</v>
      </c>
      <c r="AU201" s="252" t="str">
        <f>IFERROR(__xludf.DUMMYFUNCTION("""COMPUTED_VALUE"""),"RDC260310082009")</f>
        <v>RDC260310082009</v>
      </c>
      <c r="AV201" s="252" t="str">
        <f>IFERROR(__xludf.DUMMYFUNCTION("""COMPUTED_VALUE"""),"RCO260311091033")</f>
        <v>RCO260311091033</v>
      </c>
      <c r="AW201" s="252">
        <f>IFERROR(__xludf.DUMMYFUNCTION("""COMPUTED_VALUE"""),30.0)</f>
        <v>30</v>
      </c>
      <c r="AX201" s="252">
        <f>IFERROR(__xludf.DUMMYFUNCTION("""COMPUTED_VALUE"""),0.0)</f>
        <v>0</v>
      </c>
      <c r="AY201" s="252">
        <f>IFERROR(__xludf.DUMMYFUNCTION("""COMPUTED_VALUE"""),276.0)</f>
        <v>276</v>
      </c>
      <c r="AZ201" s="884">
        <f>IFERROR(__xludf.DUMMYFUNCTION("""COMPUTED_VALUE"""),46092.0)</f>
        <v>46092</v>
      </c>
    </row>
    <row r="202">
      <c r="A202" s="252" t="str">
        <f>IFERROR(__xludf.DUMMYFUNCTION("""COMPUTED_VALUE"""),"m000115")</f>
        <v>m000115</v>
      </c>
      <c r="B202" s="252" t="str">
        <f>IFERROR(__xludf.DUMMYFUNCTION("""COMPUTED_VALUE"""),"C-15 KPGT72")</f>
        <v>C-15 KPGT72</v>
      </c>
      <c r="C202" s="252" t="str">
        <f>IFERROR(__xludf.DUMMYFUNCTION("""COMPUTED_VALUE"""),"CAMIONETA")</f>
        <v>CAMIONETA</v>
      </c>
      <c r="D202" s="252" t="str">
        <f>IFERROR(__xludf.DUMMYFUNCTION("""COMPUTED_VALUE"""),"CAMIONETA")</f>
        <v>CAMIONETA</v>
      </c>
      <c r="E202" s="252" t="str">
        <f>IFERROR(__xludf.DUMMYFUNCTION("""COMPUTED_VALUE"""),"MITSUBISHI")</f>
        <v>MITSUBISHI</v>
      </c>
      <c r="F202" s="252" t="str">
        <f>IFERROR(__xludf.DUMMYFUNCTION("""COMPUTED_VALUE"""),"L 200 4X2, WORK CR 2,4cc DOB CAB")</f>
        <v>L 200 4X2, WORK CR 2,4cc DOB CAB</v>
      </c>
      <c r="G202" s="252">
        <f>IFERROR(__xludf.DUMMYFUNCTION("""COMPUTED_VALUE"""),2018.0)</f>
        <v>2018</v>
      </c>
      <c r="H202" s="252"/>
      <c r="I202" s="252"/>
      <c r="J202" s="252" t="str">
        <f>IFERROR(__xludf.DUMMYFUNCTION("""COMPUTED_VALUE"""),"KPGT72")</f>
        <v>KPGT72</v>
      </c>
      <c r="K202" s="252" t="str">
        <f>IFERROR(__xludf.DUMMYFUNCTION("""COMPUTED_VALUE"""),"ECMA")</f>
        <v>ECMA</v>
      </c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  <c r="AA202" s="252"/>
      <c r="AB202" s="252" t="str">
        <f>IFERROR(__xludf.DUMMYFUNCTION("""COMPUTED_VALUE"""),"Reparando en terreno")</f>
        <v>Reparando en terreno</v>
      </c>
      <c r="AC202" s="252"/>
      <c r="AD202" s="252">
        <f>IFERROR(__xludf.DUMMYFUNCTION("""COMPUTED_VALUE"""),37.0)</f>
        <v>37</v>
      </c>
      <c r="AE202" s="252" t="str">
        <f>IFERROR(__xludf.DUMMYFUNCTION("""COMPUTED_VALUE"""),"Sin incidentes")</f>
        <v>Sin incidentes</v>
      </c>
      <c r="AF202" s="252">
        <f>IFERROR(__xludf.DUMMYFUNCTION("""COMPUTED_VALUE"""),1.0)</f>
        <v>1</v>
      </c>
      <c r="AG202" s="252" t="str">
        <f>IFERROR(__xludf.DUMMYFUNCTION("""COMPUTED_VALUE"""),"[C-15 KPGT72] - MITSUBISHI L 200 4X2, WORK CR 2,4cc DOB CAB")</f>
        <v>[C-15 KPGT72] - MITSUBISHI L 200 4X2, WORK CR 2,4cc DOB CAB</v>
      </c>
      <c r="AH202" s="252">
        <f>IFERROR(__xludf.DUMMYFUNCTION("""COMPUTED_VALUE"""),1.0)</f>
        <v>1</v>
      </c>
      <c r="AI202" s="252">
        <f>IFERROR(__xludf.DUMMYFUNCTION("""COMPUTED_VALUE"""),373946.0)</f>
        <v>373946</v>
      </c>
      <c r="AJ202" s="882">
        <f>IFERROR(__xludf.DUMMYFUNCTION("""COMPUTED_VALUE"""),46056.26372685185)</f>
        <v>46056.26373</v>
      </c>
      <c r="AK202" s="882">
        <f>IFERROR(__xludf.DUMMYFUNCTION("""COMPUTED_VALUE"""),46056.263773148145)</f>
        <v>46056.26377</v>
      </c>
      <c r="AL202" s="252"/>
      <c r="AM202" s="880">
        <f>IFERROR(__xludf.DUMMYFUNCTION("""COMPUTED_VALUE"""),381827.0)</f>
        <v>381827</v>
      </c>
      <c r="AN202" s="252" t="str">
        <f>IFERROR(__xludf.DUMMYFUNCTION("""COMPUTED_VALUE"""),"OT250902113807")</f>
        <v>OT250902113807</v>
      </c>
      <c r="AO202" s="252" t="str">
        <f>IFERROR(__xludf.DUMMYFUNCTION("""COMPUTED_VALUE"""),"Km")</f>
        <v>Km</v>
      </c>
      <c r="AP202" s="252" t="str">
        <f>IFERROR(__xludf.DUMMYFUNCTION("""COMPUTED_VALUE"""),"IS251001150128")</f>
        <v>IS251001150128</v>
      </c>
      <c r="AQ202" s="252"/>
      <c r="AR202" s="252">
        <f>IFERROR(__xludf.DUMMYFUNCTION("""COMPUTED_VALUE"""),361535.0)</f>
        <v>361535</v>
      </c>
      <c r="AS202" s="881">
        <f>IFERROR(__xludf.DUMMYFUNCTION("""COMPUTED_VALUE"""),44927.0)</f>
        <v>44927</v>
      </c>
      <c r="AT202" s="881">
        <f>IFERROR(__xludf.DUMMYFUNCTION("""COMPUTED_VALUE"""),44927.0)</f>
        <v>44927</v>
      </c>
      <c r="AU202" s="252"/>
      <c r="AV202" s="252" t="str">
        <f>IFERROR(__xludf.DUMMYFUNCTION("""COMPUTED_VALUE"""),"RCO260203081507")</f>
        <v>RCO260203081507</v>
      </c>
      <c r="AW202" s="252">
        <f>IFERROR(__xludf.DUMMYFUNCTION("""COMPUTED_VALUE"""),41.0)</f>
        <v>41</v>
      </c>
      <c r="AX202" s="252">
        <f>IFERROR(__xludf.DUMMYFUNCTION("""COMPUTED_VALUE"""),0.0)</f>
        <v>0</v>
      </c>
      <c r="AY202" s="252">
        <f>IFERROR(__xludf.DUMMYFUNCTION("""COMPUTED_VALUE"""),-124755.0)</f>
        <v>-124755</v>
      </c>
      <c r="AZ202" s="884">
        <f>IFERROR(__xludf.DUMMYFUNCTION("""COMPUTED_VALUE"""),46056.0)</f>
        <v>46056</v>
      </c>
    </row>
    <row r="203">
      <c r="A203" s="252" t="str">
        <f>IFERROR(__xludf.DUMMYFUNCTION("""COMPUTED_VALUE"""),"m000116")</f>
        <v>m000116</v>
      </c>
      <c r="B203" s="252" t="str">
        <f>IFERROR(__xludf.DUMMYFUNCTION("""COMPUTED_VALUE"""),"C-13 KPGT73")</f>
        <v>C-13 KPGT73</v>
      </c>
      <c r="C203" s="252" t="str">
        <f>IFERROR(__xludf.DUMMYFUNCTION("""COMPUTED_VALUE"""),"CAMIONETA")</f>
        <v>CAMIONETA</v>
      </c>
      <c r="D203" s="252" t="str">
        <f>IFERROR(__xludf.DUMMYFUNCTION("""COMPUTED_VALUE"""),"CAMIONETA")</f>
        <v>CAMIONETA</v>
      </c>
      <c r="E203" s="252" t="str">
        <f>IFERROR(__xludf.DUMMYFUNCTION("""COMPUTED_VALUE"""),"MITSUBISHI")</f>
        <v>MITSUBISHI</v>
      </c>
      <c r="F203" s="252" t="str">
        <f>IFERROR(__xludf.DUMMYFUNCTION("""COMPUTED_VALUE"""),"L 200 4X2, WORK CR 2,4cc DOB CAB")</f>
        <v>L 200 4X2, WORK CR 2,4cc DOB CAB</v>
      </c>
      <c r="G203" s="252">
        <f>IFERROR(__xludf.DUMMYFUNCTION("""COMPUTED_VALUE"""),2018.0)</f>
        <v>2018</v>
      </c>
      <c r="H203" s="252"/>
      <c r="I203" s="252"/>
      <c r="J203" s="252" t="str">
        <f>IFERROR(__xludf.DUMMYFUNCTION("""COMPUTED_VALUE"""),"KPGT73")</f>
        <v>KPGT73</v>
      </c>
      <c r="K203" s="252" t="str">
        <f>IFERROR(__xludf.DUMMYFUNCTION("""COMPUTED_VALUE"""),"ECMA")</f>
        <v>ECMA</v>
      </c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  <c r="AA203" s="252"/>
      <c r="AB203" s="252" t="str">
        <f>IFERROR(__xludf.DUMMYFUNCTION("""COMPUTED_VALUE"""),"En producción")</f>
        <v>En producción</v>
      </c>
      <c r="AC203" s="252"/>
      <c r="AD203" s="252">
        <f>IFERROR(__xludf.DUMMYFUNCTION("""COMPUTED_VALUE"""),33.0)</f>
        <v>33</v>
      </c>
      <c r="AE203" s="252" t="str">
        <f>IFERROR(__xludf.DUMMYFUNCTION("""COMPUTED_VALUE"""),"Sin incidentes")</f>
        <v>Sin incidentes</v>
      </c>
      <c r="AF203" s="252">
        <f>IFERROR(__xludf.DUMMYFUNCTION("""COMPUTED_VALUE"""),1.0)</f>
        <v>1</v>
      </c>
      <c r="AG203" s="252" t="str">
        <f>IFERROR(__xludf.DUMMYFUNCTION("""COMPUTED_VALUE"""),"[C-13 KPGT73] - MITSUBISHI L 200 4X2, WORK CR 2,4cc DOB CAB")</f>
        <v>[C-13 KPGT73] - MITSUBISHI L 200 4X2, WORK CR 2,4cc DOB CAB</v>
      </c>
      <c r="AH203" s="252">
        <f>IFERROR(__xludf.DUMMYFUNCTION("""COMPUTED_VALUE"""),1.0)</f>
        <v>1</v>
      </c>
      <c r="AI203" s="252">
        <f>IFERROR(__xludf.DUMMYFUNCTION("""COMPUTED_VALUE"""),293489.0)</f>
        <v>293489</v>
      </c>
      <c r="AJ203" s="882">
        <f>IFERROR(__xludf.DUMMYFUNCTION("""COMPUTED_VALUE"""),46092.316099537034)</f>
        <v>46092.3161</v>
      </c>
      <c r="AK203" s="882">
        <f>IFERROR(__xludf.DUMMYFUNCTION("""COMPUTED_VALUE"""),46092.316145833334)</f>
        <v>46092.31615</v>
      </c>
      <c r="AL203" s="252"/>
      <c r="AM203" s="880">
        <f>IFERROR(__xludf.DUMMYFUNCTION("""COMPUTED_VALUE"""),295143.0)</f>
        <v>295143</v>
      </c>
      <c r="AN203" s="252" t="str">
        <f>IFERROR(__xludf.DUMMYFUNCTION("""COMPUTED_VALUE"""),"OT251211152614")</f>
        <v>OT251211152614</v>
      </c>
      <c r="AO203" s="252" t="str">
        <f>IFERROR(__xludf.DUMMYFUNCTION("""COMPUTED_VALUE"""),"Km")</f>
        <v>Km</v>
      </c>
      <c r="AP203" s="252" t="str">
        <f>IFERROR(__xludf.DUMMYFUNCTION("""COMPUTED_VALUE"""),"IS260312165342")</f>
        <v>IS260312165342</v>
      </c>
      <c r="AQ203" s="252"/>
      <c r="AR203" s="252">
        <f>IFERROR(__xludf.DUMMYFUNCTION("""COMPUTED_VALUE"""),255545.0)</f>
        <v>255545</v>
      </c>
      <c r="AS203" s="881">
        <f>IFERROR(__xludf.DUMMYFUNCTION("""COMPUTED_VALUE"""),44927.0)</f>
        <v>44927</v>
      </c>
      <c r="AT203" s="881">
        <f>IFERROR(__xludf.DUMMYFUNCTION("""COMPUTED_VALUE"""),44927.0)</f>
        <v>44927</v>
      </c>
      <c r="AU203" s="252" t="str">
        <f>IFERROR(__xludf.DUMMYFUNCTION("""COMPUTED_VALUE"""),"RDC250901111056")</f>
        <v>RDC250901111056</v>
      </c>
      <c r="AV203" s="252" t="str">
        <f>IFERROR(__xludf.DUMMYFUNCTION("""COMPUTED_VALUE"""),"RCO260311092733")</f>
        <v>RCO260311092733</v>
      </c>
      <c r="AW203" s="252">
        <f>IFERROR(__xludf.DUMMYFUNCTION("""COMPUTED_VALUE"""),35.0)</f>
        <v>35</v>
      </c>
      <c r="AX203" s="252">
        <f>IFERROR(__xludf.DUMMYFUNCTION("""COMPUTED_VALUE"""),0.0)</f>
        <v>0</v>
      </c>
      <c r="AY203" s="252">
        <f>IFERROR(__xludf.DUMMYFUNCTION("""COMPUTED_VALUE"""),342.0)</f>
        <v>342</v>
      </c>
      <c r="AZ203" s="883">
        <f>IFERROR(__xludf.DUMMYFUNCTION("""COMPUTED_VALUE"""),46092.0)</f>
        <v>46092</v>
      </c>
    </row>
    <row r="204">
      <c r="A204" s="252" t="str">
        <f>IFERROR(__xludf.DUMMYFUNCTION("""COMPUTED_VALUE"""),"m000117")</f>
        <v>m000117</v>
      </c>
      <c r="B204" s="252" t="str">
        <f>IFERROR(__xludf.DUMMYFUNCTION("""COMPUTED_VALUE"""),"C-17 KPGT74")</f>
        <v>C-17 KPGT74</v>
      </c>
      <c r="C204" s="252" t="str">
        <f>IFERROR(__xludf.DUMMYFUNCTION("""COMPUTED_VALUE"""),"CAMIONETA")</f>
        <v>CAMIONETA</v>
      </c>
      <c r="D204" s="252" t="str">
        <f>IFERROR(__xludf.DUMMYFUNCTION("""COMPUTED_VALUE"""),"CAMIONETA")</f>
        <v>CAMIONETA</v>
      </c>
      <c r="E204" s="252" t="str">
        <f>IFERROR(__xludf.DUMMYFUNCTION("""COMPUTED_VALUE"""),"MITSUBISHI")</f>
        <v>MITSUBISHI</v>
      </c>
      <c r="F204" s="252" t="str">
        <f>IFERROR(__xludf.DUMMYFUNCTION("""COMPUTED_VALUE"""),"L 200 4X2, WORK CR 2,4cc DOB CAB")</f>
        <v>L 200 4X2, WORK CR 2,4cc DOB CAB</v>
      </c>
      <c r="G204" s="252">
        <f>IFERROR(__xludf.DUMMYFUNCTION("""COMPUTED_VALUE"""),2018.0)</f>
        <v>2018</v>
      </c>
      <c r="H204" s="252"/>
      <c r="I204" s="252"/>
      <c r="J204" s="252" t="str">
        <f>IFERROR(__xludf.DUMMYFUNCTION("""COMPUTED_VALUE"""),"KPGT74")</f>
        <v>KPGT74</v>
      </c>
      <c r="K204" s="252" t="str">
        <f>IFERROR(__xludf.DUMMYFUNCTION("""COMPUTED_VALUE"""),"ECMA")</f>
        <v>ECMA</v>
      </c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  <c r="AA204" s="252"/>
      <c r="AB204" s="252" t="str">
        <f>IFERROR(__xludf.DUMMYFUNCTION("""COMPUTED_VALUE"""),"En producción")</f>
        <v>En producción</v>
      </c>
      <c r="AC204" s="252"/>
      <c r="AD204" s="252">
        <f>IFERROR(__xludf.DUMMYFUNCTION("""COMPUTED_VALUE"""),681.0)</f>
        <v>681</v>
      </c>
      <c r="AE204" s="252" t="str">
        <f>IFERROR(__xludf.DUMMYFUNCTION("""COMPUTED_VALUE"""),"Sin incidentes")</f>
        <v>Sin incidentes</v>
      </c>
      <c r="AF204" s="252">
        <f>IFERROR(__xludf.DUMMYFUNCTION("""COMPUTED_VALUE"""),1.0)</f>
        <v>1</v>
      </c>
      <c r="AG204" s="252" t="str">
        <f>IFERROR(__xludf.DUMMYFUNCTION("""COMPUTED_VALUE"""),"[C-17 KPGT74] - MITSUBISHI L 200 4X2, WORK CR 2,4cc DOB CAB")</f>
        <v>[C-17 KPGT74] - MITSUBISHI L 200 4X2, WORK CR 2,4cc DOB CAB</v>
      </c>
      <c r="AH204" s="252"/>
      <c r="AI204" s="252">
        <f>IFERROR(__xludf.DUMMYFUNCTION("""COMPUTED_VALUE"""),251720.0)</f>
        <v>251720</v>
      </c>
      <c r="AJ204" s="882">
        <f>IFERROR(__xludf.DUMMYFUNCTION("""COMPUTED_VALUE"""),45723.54009259259)</f>
        <v>45723.54009</v>
      </c>
      <c r="AK204" s="882">
        <f>IFERROR(__xludf.DUMMYFUNCTION("""COMPUTED_VALUE"""),46094.26488425926)</f>
        <v>46094.26488</v>
      </c>
      <c r="AL204" s="252"/>
      <c r="AM204" s="880">
        <f>IFERROR(__xludf.DUMMYFUNCTION("""COMPUTED_VALUE"""),257429.0)</f>
        <v>257429</v>
      </c>
      <c r="AN204" s="252" t="str">
        <f>IFERROR(__xludf.DUMMYFUNCTION("""COMPUTED_VALUE"""),"OT251210170318")</f>
        <v>OT251210170318</v>
      </c>
      <c r="AO204" s="252" t="str">
        <f>IFERROR(__xludf.DUMMYFUNCTION("""COMPUTED_VALUE"""),"Km")</f>
        <v>Km</v>
      </c>
      <c r="AP204" s="252" t="str">
        <f>IFERROR(__xludf.DUMMYFUNCTION("""COMPUTED_VALUE"""),"IS260312093711")</f>
        <v>IS260312093711</v>
      </c>
      <c r="AQ204" s="252"/>
      <c r="AR204" s="252">
        <f>IFERROR(__xludf.DUMMYFUNCTION("""COMPUTED_VALUE"""),230689.0)</f>
        <v>230689</v>
      </c>
      <c r="AS204" s="881">
        <f>IFERROR(__xludf.DUMMYFUNCTION("""COMPUTED_VALUE"""),44927.0)</f>
        <v>44927</v>
      </c>
      <c r="AT204" s="881">
        <f>IFERROR(__xludf.DUMMYFUNCTION("""COMPUTED_VALUE"""),44927.0)</f>
        <v>44927</v>
      </c>
      <c r="AU204" s="252" t="str">
        <f>IFERROR(__xludf.DUMMYFUNCTION("""COMPUTED_VALUE"""),"RDC250428120609")</f>
        <v>RDC250428120609</v>
      </c>
      <c r="AV204" s="252" t="str">
        <f>IFERROR(__xludf.DUMMYFUNCTION("""COMPUTED_VALUE"""),"RCO260313081747")</f>
        <v>RCO260313081747</v>
      </c>
      <c r="AW204" s="252">
        <f>IFERROR(__xludf.DUMMYFUNCTION("""COMPUTED_VALUE"""),36.0)</f>
        <v>36</v>
      </c>
      <c r="AX204" s="252"/>
      <c r="AY204" s="252">
        <f>IFERROR(__xludf.DUMMYFUNCTION("""COMPUTED_VALUE"""),366.0)</f>
        <v>366</v>
      </c>
      <c r="AZ204" s="884">
        <f>IFERROR(__xludf.DUMMYFUNCTION("""COMPUTED_VALUE"""),46094.0)</f>
        <v>46094</v>
      </c>
    </row>
    <row r="205">
      <c r="A205" s="252" t="str">
        <f>IFERROR(__xludf.DUMMYFUNCTION("""COMPUTED_VALUE"""),"m000118")</f>
        <v>m000118</v>
      </c>
      <c r="B205" s="252" t="str">
        <f>IFERROR(__xludf.DUMMYFUNCTION("""COMPUTED_VALUE"""),"C-18 KSRB30")</f>
        <v>C-18 KSRB30</v>
      </c>
      <c r="C205" s="252" t="str">
        <f>IFERROR(__xludf.DUMMYFUNCTION("""COMPUTED_VALUE"""),"CAMIONETA")</f>
        <v>CAMIONETA</v>
      </c>
      <c r="D205" s="252" t="str">
        <f>IFERROR(__xludf.DUMMYFUNCTION("""COMPUTED_VALUE"""),"CAMIONETA")</f>
        <v>CAMIONETA</v>
      </c>
      <c r="E205" s="252" t="str">
        <f>IFERROR(__xludf.DUMMYFUNCTION("""COMPUTED_VALUE"""),"MITSUBISHI")</f>
        <v>MITSUBISHI</v>
      </c>
      <c r="F205" s="252" t="str">
        <f>IFERROR(__xludf.DUMMYFUNCTION("""COMPUTED_VALUE"""),"L 200 4X4, WORK CR 2,4cc DOB CAB")</f>
        <v>L 200 4X4, WORK CR 2,4cc DOB CAB</v>
      </c>
      <c r="G205" s="252">
        <f>IFERROR(__xludf.DUMMYFUNCTION("""COMPUTED_VALUE"""),2018.0)</f>
        <v>2018</v>
      </c>
      <c r="H205" s="252"/>
      <c r="I205" s="252"/>
      <c r="J205" s="252" t="str">
        <f>IFERROR(__xludf.DUMMYFUNCTION("""COMPUTED_VALUE"""),"KSRB30")</f>
        <v>KSRB30</v>
      </c>
      <c r="K205" s="252" t="str">
        <f>IFERROR(__xludf.DUMMYFUNCTION("""COMPUTED_VALUE"""),"ECMA")</f>
        <v>ECMA</v>
      </c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  <c r="AA205" s="252"/>
      <c r="AB205" s="252" t="str">
        <f>IFERROR(__xludf.DUMMYFUNCTION("""COMPUTED_VALUE"""),"Reparando en taller")</f>
        <v>Reparando en taller</v>
      </c>
      <c r="AC205" s="252"/>
      <c r="AD205" s="252"/>
      <c r="AE205" s="252" t="str">
        <f>IFERROR(__xludf.DUMMYFUNCTION("""COMPUTED_VALUE"""),"Sin incidentes")</f>
        <v>Sin incidentes</v>
      </c>
      <c r="AF205" s="252">
        <f>IFERROR(__xludf.DUMMYFUNCTION("""COMPUTED_VALUE"""),1.0)</f>
        <v>1</v>
      </c>
      <c r="AG205" s="252" t="str">
        <f>IFERROR(__xludf.DUMMYFUNCTION("""COMPUTED_VALUE"""),"[C-18 KSRB30] - MITSUBISHI L 200 4X4, WORK CR 2,4cc DOB CAB")</f>
        <v>[C-18 KSRB30] - MITSUBISHI L 200 4X4, WORK CR 2,4cc DOB CAB</v>
      </c>
      <c r="AH205" s="252">
        <f>IFERROR(__xludf.DUMMYFUNCTION("""COMPUTED_VALUE"""),1.0)</f>
        <v>1</v>
      </c>
      <c r="AI205" s="252">
        <f>IFERROR(__xludf.DUMMYFUNCTION("""COMPUTED_VALUE"""),352840.0)</f>
        <v>352840</v>
      </c>
      <c r="AJ205" s="882">
        <f>IFERROR(__xludf.DUMMYFUNCTION("""COMPUTED_VALUE"""),46058.543275462966)</f>
        <v>46058.54328</v>
      </c>
      <c r="AK205" s="882">
        <f>IFERROR(__xludf.DUMMYFUNCTION("""COMPUTED_VALUE"""),46058.543344907404)</f>
        <v>46058.54334</v>
      </c>
      <c r="AL205" s="252"/>
      <c r="AM205" s="880">
        <f>IFERROR(__xludf.DUMMYFUNCTION("""COMPUTED_VALUE"""),357960.0)</f>
        <v>357960</v>
      </c>
      <c r="AN205" s="252" t="str">
        <f>IFERROR(__xludf.DUMMYFUNCTION("""COMPUTED_VALUE"""),"OT260114105200")</f>
        <v>OT260114105200</v>
      </c>
      <c r="AO205" s="252" t="str">
        <f>IFERROR(__xludf.DUMMYFUNCTION("""COMPUTED_VALUE"""),"Km")</f>
        <v>Km</v>
      </c>
      <c r="AP205" s="252" t="str">
        <f>IFERROR(__xludf.DUMMYFUNCTION("""COMPUTED_VALUE"""),"IS260205160005")</f>
        <v>IS260205160005</v>
      </c>
      <c r="AQ205" s="252"/>
      <c r="AR205" s="252">
        <f>IFERROR(__xludf.DUMMYFUNCTION("""COMPUTED_VALUE"""),310122.0)</f>
        <v>310122</v>
      </c>
      <c r="AS205" s="881">
        <f>IFERROR(__xludf.DUMMYFUNCTION("""COMPUTED_VALUE"""),44927.0)</f>
        <v>44927</v>
      </c>
      <c r="AT205" s="881">
        <f>IFERROR(__xludf.DUMMYFUNCTION("""COMPUTED_VALUE"""),44927.0)</f>
        <v>44927</v>
      </c>
      <c r="AU205" s="252"/>
      <c r="AV205" s="252" t="str">
        <f>IFERROR(__xludf.DUMMYFUNCTION("""COMPUTED_VALUE"""),"RCO260205145905")</f>
        <v>RCO260205145905</v>
      </c>
      <c r="AW205" s="252">
        <f>IFERROR(__xludf.DUMMYFUNCTION("""COMPUTED_VALUE"""),54.0)</f>
        <v>54</v>
      </c>
      <c r="AX205" s="252">
        <f>IFERROR(__xludf.DUMMYFUNCTION("""COMPUTED_VALUE"""),0.0)</f>
        <v>0</v>
      </c>
      <c r="AY205" s="252">
        <f>IFERROR(__xludf.DUMMYFUNCTION("""COMPUTED_VALUE"""),573.0)</f>
        <v>573</v>
      </c>
      <c r="AZ205" s="881">
        <f>IFERROR(__xludf.DUMMYFUNCTION("""COMPUTED_VALUE"""),46058.0)</f>
        <v>46058</v>
      </c>
    </row>
    <row r="206">
      <c r="A206" s="252" t="str">
        <f>IFERROR(__xludf.DUMMYFUNCTION("""COMPUTED_VALUE"""),"m000119")</f>
        <v>m000119</v>
      </c>
      <c r="B206" s="252" t="str">
        <f>IFERROR(__xludf.DUMMYFUNCTION("""COMPUTED_VALUE"""),"C-19 RCZX21")</f>
        <v>C-19 RCZX21</v>
      </c>
      <c r="C206" s="252" t="str">
        <f>IFERROR(__xludf.DUMMYFUNCTION("""COMPUTED_VALUE"""),"CAMIONETA")</f>
        <v>CAMIONETA</v>
      </c>
      <c r="D206" s="252" t="str">
        <f>IFERROR(__xludf.DUMMYFUNCTION("""COMPUTED_VALUE"""),"CAMIONETA")</f>
        <v>CAMIONETA</v>
      </c>
      <c r="E206" s="252" t="str">
        <f>IFERROR(__xludf.DUMMYFUNCTION("""COMPUTED_VALUE"""),"MITSUBISHI")</f>
        <v>MITSUBISHI</v>
      </c>
      <c r="F206" s="252" t="str">
        <f>IFERROR(__xludf.DUMMYFUNCTION("""COMPUTED_VALUE"""),"L200 4X4 KATANA CRT 2,4CC")</f>
        <v>L200 4X4 KATANA CRT 2,4CC</v>
      </c>
      <c r="G206" s="252">
        <f>IFERROR(__xludf.DUMMYFUNCTION("""COMPUTED_VALUE"""),2021.0)</f>
        <v>2021</v>
      </c>
      <c r="H206" s="252"/>
      <c r="I206" s="252"/>
      <c r="J206" s="252" t="str">
        <f>IFERROR(__xludf.DUMMYFUNCTION("""COMPUTED_VALUE"""),"RCZX21")</f>
        <v>RCZX21</v>
      </c>
      <c r="K206" s="252" t="str">
        <f>IFERROR(__xludf.DUMMYFUNCTION("""COMPUTED_VALUE"""),"ITAU")</f>
        <v>ITAU</v>
      </c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  <c r="AA206" s="252"/>
      <c r="AB206" s="252" t="str">
        <f>IFERROR(__xludf.DUMMYFUNCTION("""COMPUTED_VALUE"""),"En producción")</f>
        <v>En producción</v>
      </c>
      <c r="AC206" s="252"/>
      <c r="AD206" s="252">
        <f>IFERROR(__xludf.DUMMYFUNCTION("""COMPUTED_VALUE"""),1075.0)</f>
        <v>1075</v>
      </c>
      <c r="AE206" s="252" t="str">
        <f>IFERROR(__xludf.DUMMYFUNCTION("""COMPUTED_VALUE"""),"Sin incidentes")</f>
        <v>Sin incidentes</v>
      </c>
      <c r="AF206" s="252">
        <f>IFERROR(__xludf.DUMMYFUNCTION("""COMPUTED_VALUE"""),1.0)</f>
        <v>1</v>
      </c>
      <c r="AG206" s="252" t="str">
        <f>IFERROR(__xludf.DUMMYFUNCTION("""COMPUTED_VALUE"""),"[C-19 RCZX21] - MITSUBISHI L200 4X4 KATANA CRT 2,4CC")</f>
        <v>[C-19 RCZX21] - MITSUBISHI L200 4X4 KATANA CRT 2,4CC</v>
      </c>
      <c r="AH206" s="252">
        <f>IFERROR(__xludf.DUMMYFUNCTION("""COMPUTED_VALUE"""),1.0)</f>
        <v>1</v>
      </c>
      <c r="AI206" s="252">
        <f>IFERROR(__xludf.DUMMYFUNCTION("""COMPUTED_VALUE"""),198675.0)</f>
        <v>198675</v>
      </c>
      <c r="AJ206" s="882">
        <f>IFERROR(__xludf.DUMMYFUNCTION("""COMPUTED_VALUE"""),46092.418703703705)</f>
        <v>46092.4187</v>
      </c>
      <c r="AK206" s="882">
        <f>IFERROR(__xludf.DUMMYFUNCTION("""COMPUTED_VALUE"""),46092.41875)</f>
        <v>46092.41875</v>
      </c>
      <c r="AL206" s="252"/>
      <c r="AM206" s="880">
        <f>IFERROR(__xludf.DUMMYFUNCTION("""COMPUTED_VALUE"""),200158.0)</f>
        <v>200158</v>
      </c>
      <c r="AN206" s="252" t="str">
        <f>IFERROR(__xludf.DUMMYFUNCTION("""COMPUTED_VALUE"""),"OT260106154224")</f>
        <v>OT260106154224</v>
      </c>
      <c r="AO206" s="252" t="str">
        <f>IFERROR(__xludf.DUMMYFUNCTION("""COMPUTED_VALUE"""),"Km")</f>
        <v>Km</v>
      </c>
      <c r="AP206" s="252" t="str">
        <f>IFERROR(__xludf.DUMMYFUNCTION("""COMPUTED_VALUE"""),"IS260311164116")</f>
        <v>IS260311164116</v>
      </c>
      <c r="AQ206" s="252"/>
      <c r="AR206" s="252">
        <f>IFERROR(__xludf.DUMMYFUNCTION("""COMPUTED_VALUE"""),156262.0)</f>
        <v>156262</v>
      </c>
      <c r="AS206" s="881">
        <f>IFERROR(__xludf.DUMMYFUNCTION("""COMPUTED_VALUE"""),44927.0)</f>
        <v>44927</v>
      </c>
      <c r="AT206" s="881">
        <f>IFERROR(__xludf.DUMMYFUNCTION("""COMPUTED_VALUE"""),44927.0)</f>
        <v>44927</v>
      </c>
      <c r="AU206" s="252" t="str">
        <f>IFERROR(__xludf.DUMMYFUNCTION("""COMPUTED_VALUE"""),"RDC260224082417")</f>
        <v>RDC260224082417</v>
      </c>
      <c r="AV206" s="252" t="str">
        <f>IFERROR(__xludf.DUMMYFUNCTION("""COMPUTED_VALUE"""),"RCO260311115936")</f>
        <v>RCO260311115936</v>
      </c>
      <c r="AW206" s="252">
        <f>IFERROR(__xludf.DUMMYFUNCTION("""COMPUTED_VALUE"""),45.0)</f>
        <v>45</v>
      </c>
      <c r="AX206" s="252">
        <f>IFERROR(__xludf.DUMMYFUNCTION("""COMPUTED_VALUE"""),0.0)</f>
        <v>0</v>
      </c>
      <c r="AY206" s="252">
        <f>IFERROR(__xludf.DUMMYFUNCTION("""COMPUTED_VALUE"""),529.0)</f>
        <v>529</v>
      </c>
      <c r="AZ206" s="884">
        <f>IFERROR(__xludf.DUMMYFUNCTION("""COMPUTED_VALUE"""),46092.0)</f>
        <v>46092</v>
      </c>
    </row>
    <row r="207">
      <c r="A207" s="252" t="str">
        <f>IFERROR(__xludf.DUMMYFUNCTION("""COMPUTED_VALUE"""),"m000120")</f>
        <v>m000120</v>
      </c>
      <c r="B207" s="252" t="str">
        <f>IFERROR(__xludf.DUMMYFUNCTION("""COMPUTED_VALUE"""),"C-20 RCZX23")</f>
        <v>C-20 RCZX23</v>
      </c>
      <c r="C207" s="252" t="str">
        <f>IFERROR(__xludf.DUMMYFUNCTION("""COMPUTED_VALUE"""),"CAMIONETA")</f>
        <v>CAMIONETA</v>
      </c>
      <c r="D207" s="252" t="str">
        <f>IFERROR(__xludf.DUMMYFUNCTION("""COMPUTED_VALUE"""),"CAMIONETA")</f>
        <v>CAMIONETA</v>
      </c>
      <c r="E207" s="252" t="str">
        <f>IFERROR(__xludf.DUMMYFUNCTION("""COMPUTED_VALUE"""),"MITSUBISHI")</f>
        <v>MITSUBISHI</v>
      </c>
      <c r="F207" s="252" t="str">
        <f>IFERROR(__xludf.DUMMYFUNCTION("""COMPUTED_VALUE"""),"L200 4X2, WORK CR WF 2,4CC")</f>
        <v>L200 4X2, WORK CR WF 2,4CC</v>
      </c>
      <c r="G207" s="252">
        <f>IFERROR(__xludf.DUMMYFUNCTION("""COMPUTED_VALUE"""),2021.0)</f>
        <v>2021</v>
      </c>
      <c r="H207" s="252"/>
      <c r="I207" s="252"/>
      <c r="J207" s="252" t="str">
        <f>IFERROR(__xludf.DUMMYFUNCTION("""COMPUTED_VALUE"""),"RCZX23")</f>
        <v>RCZX23</v>
      </c>
      <c r="K207" s="252" t="str">
        <f>IFERROR(__xludf.DUMMYFUNCTION("""COMPUTED_VALUE"""),"ITAU")</f>
        <v>ITAU</v>
      </c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  <c r="AA207" s="252"/>
      <c r="AB207" s="252" t="str">
        <f>IFERROR(__xludf.DUMMYFUNCTION("""COMPUTED_VALUE"""),"En producción")</f>
        <v>En producción</v>
      </c>
      <c r="AC207" s="252"/>
      <c r="AD207" s="252">
        <f>IFERROR(__xludf.DUMMYFUNCTION("""COMPUTED_VALUE"""),669.0)</f>
        <v>669</v>
      </c>
      <c r="AE207" s="252" t="str">
        <f>IFERROR(__xludf.DUMMYFUNCTION("""COMPUTED_VALUE"""),"Sin incidentes")</f>
        <v>Sin incidentes</v>
      </c>
      <c r="AF207" s="252">
        <f>IFERROR(__xludf.DUMMYFUNCTION("""COMPUTED_VALUE"""),1.0)</f>
        <v>1</v>
      </c>
      <c r="AG207" s="252" t="str">
        <f>IFERROR(__xludf.DUMMYFUNCTION("""COMPUTED_VALUE"""),"[C-20 RCZX23] - MITSUBISHI L200 4X2, WORK CR WF 2,4CC")</f>
        <v>[C-20 RCZX23] - MITSUBISHI L200 4X2, WORK CR WF 2,4CC</v>
      </c>
      <c r="AH207" s="252">
        <f>IFERROR(__xludf.DUMMYFUNCTION("""COMPUTED_VALUE"""),1.0)</f>
        <v>1</v>
      </c>
      <c r="AI207" s="252">
        <f>IFERROR(__xludf.DUMMYFUNCTION("""COMPUTED_VALUE"""),157411.0)</f>
        <v>157411</v>
      </c>
      <c r="AJ207" s="882">
        <f>IFERROR(__xludf.DUMMYFUNCTION("""COMPUTED_VALUE"""),46080.30703703704)</f>
        <v>46080.30704</v>
      </c>
      <c r="AK207" s="882">
        <f>IFERROR(__xludf.DUMMYFUNCTION("""COMPUTED_VALUE"""),46080.30709490741)</f>
        <v>46080.30709</v>
      </c>
      <c r="AL207" s="252"/>
      <c r="AM207" s="880">
        <f>IFERROR(__xludf.DUMMYFUNCTION("""COMPUTED_VALUE"""),159813.0)</f>
        <v>159813</v>
      </c>
      <c r="AN207" s="252" t="str">
        <f>IFERROR(__xludf.DUMMYFUNCTION("""COMPUTED_VALUE"""),"OT251124114834")</f>
        <v>OT251124114834</v>
      </c>
      <c r="AO207" s="252" t="str">
        <f>IFERROR(__xludf.DUMMYFUNCTION("""COMPUTED_VALUE"""),"Km")</f>
        <v>Km</v>
      </c>
      <c r="AP207" s="252" t="str">
        <f>IFERROR(__xludf.DUMMYFUNCTION("""COMPUTED_VALUE"""),"IS260309160054")</f>
        <v>IS260309160054</v>
      </c>
      <c r="AQ207" s="252"/>
      <c r="AR207" s="252">
        <f>IFERROR(__xludf.DUMMYFUNCTION("""COMPUTED_VALUE"""),131697.0)</f>
        <v>131697</v>
      </c>
      <c r="AS207" s="881">
        <f>IFERROR(__xludf.DUMMYFUNCTION("""COMPUTED_VALUE"""),44927.0)</f>
        <v>44927</v>
      </c>
      <c r="AT207" s="881">
        <f>IFERROR(__xludf.DUMMYFUNCTION("""COMPUTED_VALUE"""),44927.0)</f>
        <v>44927</v>
      </c>
      <c r="AU207" s="252" t="str">
        <f>IFERROR(__xludf.DUMMYFUNCTION("""COMPUTED_VALUE"""),"RDC260224082701")</f>
        <v>RDC260224082701</v>
      </c>
      <c r="AV207" s="252" t="str">
        <f>IFERROR(__xludf.DUMMYFUNCTION("""COMPUTED_VALUE"""),"RCO260227091841")</f>
        <v>RCO260227091841</v>
      </c>
      <c r="AW207" s="252">
        <f>IFERROR(__xludf.DUMMYFUNCTION("""COMPUTED_VALUE"""),56.0)</f>
        <v>56</v>
      </c>
      <c r="AX207" s="252">
        <f>IFERROR(__xludf.DUMMYFUNCTION("""COMPUTED_VALUE"""),0.0)</f>
        <v>0</v>
      </c>
      <c r="AY207" s="252">
        <f>IFERROR(__xludf.DUMMYFUNCTION("""COMPUTED_VALUE"""),480.0)</f>
        <v>480</v>
      </c>
      <c r="AZ207" s="883">
        <f>IFERROR(__xludf.DUMMYFUNCTION("""COMPUTED_VALUE"""),46080.0)</f>
        <v>46080</v>
      </c>
    </row>
    <row r="208">
      <c r="A208" s="252" t="str">
        <f>IFERROR(__xludf.DUMMYFUNCTION("""COMPUTED_VALUE"""),"m000121")</f>
        <v>m000121</v>
      </c>
      <c r="B208" s="252" t="str">
        <f>IFERROR(__xludf.DUMMYFUNCTION("""COMPUTED_VALUE"""),"C-21 RCZX26")</f>
        <v>C-21 RCZX26</v>
      </c>
      <c r="C208" s="252" t="str">
        <f>IFERROR(__xludf.DUMMYFUNCTION("""COMPUTED_VALUE"""),"CAMIONETA")</f>
        <v>CAMIONETA</v>
      </c>
      <c r="D208" s="252" t="str">
        <f>IFERROR(__xludf.DUMMYFUNCTION("""COMPUTED_VALUE"""),"CAMIONETA")</f>
        <v>CAMIONETA</v>
      </c>
      <c r="E208" s="252" t="str">
        <f>IFERROR(__xludf.DUMMYFUNCTION("""COMPUTED_VALUE"""),"MITSUBISHI")</f>
        <v>MITSUBISHI</v>
      </c>
      <c r="F208" s="252" t="str">
        <f>IFERROR(__xludf.DUMMYFUNCTION("""COMPUTED_VALUE"""),"L200 4X2, WORK CR WF 2,4CC")</f>
        <v>L200 4X2, WORK CR WF 2,4CC</v>
      </c>
      <c r="G208" s="252">
        <f>IFERROR(__xludf.DUMMYFUNCTION("""COMPUTED_VALUE"""),2021.0)</f>
        <v>2021</v>
      </c>
      <c r="H208" s="252"/>
      <c r="I208" s="252"/>
      <c r="J208" s="252" t="str">
        <f>IFERROR(__xludf.DUMMYFUNCTION("""COMPUTED_VALUE"""),"RCZX26")</f>
        <v>RCZX26</v>
      </c>
      <c r="K208" s="252" t="str">
        <f>IFERROR(__xludf.DUMMYFUNCTION("""COMPUTED_VALUE"""),"ITAU")</f>
        <v>ITAU</v>
      </c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  <c r="AA208" s="252"/>
      <c r="AB208" s="252" t="str">
        <f>IFERROR(__xludf.DUMMYFUNCTION("""COMPUTED_VALUE"""),"Fuera de la empresa")</f>
        <v>Fuera de la empresa</v>
      </c>
      <c r="AC208" s="252"/>
      <c r="AD208" s="252">
        <f>IFERROR(__xludf.DUMMYFUNCTION("""COMPUTED_VALUE"""),1054.0)</f>
        <v>1054</v>
      </c>
      <c r="AE208" s="252" t="str">
        <f>IFERROR(__xludf.DUMMYFUNCTION("""COMPUTED_VALUE"""),"Sin incidentes")</f>
        <v>Sin incidentes</v>
      </c>
      <c r="AF208" s="252">
        <f>IFERROR(__xludf.DUMMYFUNCTION("""COMPUTED_VALUE"""),1.0)</f>
        <v>1</v>
      </c>
      <c r="AG208" s="252" t="str">
        <f>IFERROR(__xludf.DUMMYFUNCTION("""COMPUTED_VALUE"""),"[C-21 RCZX26] - MITSUBISHI L200 4X2, WORK CR WF 2,4CC")</f>
        <v>[C-21 RCZX26] - MITSUBISHI L200 4X2, WORK CR WF 2,4CC</v>
      </c>
      <c r="AH208" s="252"/>
      <c r="AI208" s="252">
        <f>IFERROR(__xludf.DUMMYFUNCTION("""COMPUTED_VALUE"""),83380.0)</f>
        <v>83380</v>
      </c>
      <c r="AJ208" s="252"/>
      <c r="AK208" s="882">
        <f>IFERROR(__xludf.DUMMYFUNCTION("""COMPUTED_VALUE"""),46083.52569444444)</f>
        <v>46083.52569</v>
      </c>
      <c r="AL208" s="880" t="str">
        <f>IFERROR(__xludf.DUMMYFUNCTION("""COMPUTED_VALUE"""),"")</f>
        <v/>
      </c>
      <c r="AM208" s="880">
        <f>IFERROR(__xludf.DUMMYFUNCTION("""COMPUTED_VALUE"""),93099.0)</f>
        <v>93099</v>
      </c>
      <c r="AN208" s="252" t="str">
        <f>IFERROR(__xludf.DUMMYFUNCTION("""COMPUTED_VALUE"""),"OT260220151806")</f>
        <v>OT260220151806</v>
      </c>
      <c r="AO208" s="252" t="str">
        <f>IFERROR(__xludf.DUMMYFUNCTION("""COMPUTED_VALUE"""),"Km")</f>
        <v>Km</v>
      </c>
      <c r="AP208" s="252" t="str">
        <f>IFERROR(__xludf.DUMMYFUNCTION("""COMPUTED_VALUE"""),"IS251124113650")</f>
        <v>IS251124113650</v>
      </c>
      <c r="AQ208" s="252"/>
      <c r="AR208" s="252">
        <f>IFERROR(__xludf.DUMMYFUNCTION("""COMPUTED_VALUE"""),64400.0)</f>
        <v>64400</v>
      </c>
      <c r="AS208" s="881">
        <f>IFERROR(__xludf.DUMMYFUNCTION("""COMPUTED_VALUE"""),44927.0)</f>
        <v>44927</v>
      </c>
      <c r="AT208" s="881">
        <f>IFERROR(__xludf.DUMMYFUNCTION("""COMPUTED_VALUE"""),44927.0)</f>
        <v>44927</v>
      </c>
      <c r="AU208" s="252" t="str">
        <f>IFERROR(__xludf.DUMMYFUNCTION("""COMPUTED_VALUE"""),"RDC260210094656")</f>
        <v>RDC260210094656</v>
      </c>
      <c r="AV208" s="252" t="str">
        <f>IFERROR(__xludf.DUMMYFUNCTION("""COMPUTED_VALUE"""),"RCO260302142908")</f>
        <v>RCO260302142908</v>
      </c>
      <c r="AW208" s="252">
        <f>IFERROR(__xludf.DUMMYFUNCTION("""COMPUTED_VALUE"""),51.0)</f>
        <v>51</v>
      </c>
      <c r="AX208" s="252"/>
      <c r="AY208" s="252">
        <f>IFERROR(__xludf.DUMMYFUNCTION("""COMPUTED_VALUE"""),3744.0)</f>
        <v>3744</v>
      </c>
      <c r="AZ208" s="881">
        <f>IFERROR(__xludf.DUMMYFUNCTION("""COMPUTED_VALUE"""),46083.0)</f>
        <v>46083</v>
      </c>
    </row>
    <row r="209">
      <c r="A209" s="252" t="str">
        <f>IFERROR(__xludf.DUMMYFUNCTION("""COMPUTED_VALUE"""),"m000122")</f>
        <v>m000122</v>
      </c>
      <c r="B209" s="252" t="str">
        <f>IFERROR(__xludf.DUMMYFUNCTION("""COMPUTED_VALUE"""),"C-22 RCZX28")</f>
        <v>C-22 RCZX28</v>
      </c>
      <c r="C209" s="252" t="str">
        <f>IFERROR(__xludf.DUMMYFUNCTION("""COMPUTED_VALUE"""),"CAMIONETA")</f>
        <v>CAMIONETA</v>
      </c>
      <c r="D209" s="252" t="str">
        <f>IFERROR(__xludf.DUMMYFUNCTION("""COMPUTED_VALUE"""),"CAMIONETA")</f>
        <v>CAMIONETA</v>
      </c>
      <c r="E209" s="252" t="str">
        <f>IFERROR(__xludf.DUMMYFUNCTION("""COMPUTED_VALUE"""),"MITSUBISHI")</f>
        <v>MITSUBISHI</v>
      </c>
      <c r="F209" s="252" t="str">
        <f>IFERROR(__xludf.DUMMYFUNCTION("""COMPUTED_VALUE"""),"L200 4X2, WORK CR WF 2,4CC")</f>
        <v>L200 4X2, WORK CR WF 2,4CC</v>
      </c>
      <c r="G209" s="252">
        <f>IFERROR(__xludf.DUMMYFUNCTION("""COMPUTED_VALUE"""),2021.0)</f>
        <v>2021</v>
      </c>
      <c r="H209" s="252"/>
      <c r="I209" s="252"/>
      <c r="J209" s="252" t="str">
        <f>IFERROR(__xludf.DUMMYFUNCTION("""COMPUTED_VALUE"""),"RCZX28")</f>
        <v>RCZX28</v>
      </c>
      <c r="K209" s="252" t="str">
        <f>IFERROR(__xludf.DUMMYFUNCTION("""COMPUTED_VALUE"""),"ITAU")</f>
        <v>ITAU</v>
      </c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  <c r="AA209" s="252"/>
      <c r="AB209" s="252" t="str">
        <f>IFERROR(__xludf.DUMMYFUNCTION("""COMPUTED_VALUE"""),"En producción")</f>
        <v>En producción</v>
      </c>
      <c r="AC209" s="252"/>
      <c r="AD209" s="252">
        <f>IFERROR(__xludf.DUMMYFUNCTION("""COMPUTED_VALUE"""),1018.0)</f>
        <v>1018</v>
      </c>
      <c r="AE209" s="252" t="str">
        <f>IFERROR(__xludf.DUMMYFUNCTION("""COMPUTED_VALUE"""),"Sin incidentes")</f>
        <v>Sin incidentes</v>
      </c>
      <c r="AF209" s="252">
        <f>IFERROR(__xludf.DUMMYFUNCTION("""COMPUTED_VALUE"""),1.0)</f>
        <v>1</v>
      </c>
      <c r="AG209" s="252" t="str">
        <f>IFERROR(__xludf.DUMMYFUNCTION("""COMPUTED_VALUE"""),"[C-22 RCZX28] - MITSUBISHI L200 4X2, WORK CR WF 2,4CC")</f>
        <v>[C-22 RCZX28] - MITSUBISHI L200 4X2, WORK CR WF 2,4CC</v>
      </c>
      <c r="AH209" s="252">
        <f>IFERROR(__xludf.DUMMYFUNCTION("""COMPUTED_VALUE"""),149517.0)</f>
        <v>149517</v>
      </c>
      <c r="AI209" s="252">
        <f>IFERROR(__xludf.DUMMYFUNCTION("""COMPUTED_VALUE"""),192377.0)</f>
        <v>192377</v>
      </c>
      <c r="AJ209" s="882">
        <f>IFERROR(__xludf.DUMMYFUNCTION("""COMPUTED_VALUE"""),46093.428715277776)</f>
        <v>46093.42872</v>
      </c>
      <c r="AK209" s="882">
        <f>IFERROR(__xludf.DUMMYFUNCTION("""COMPUTED_VALUE"""),46093.42878472222)</f>
        <v>46093.42878</v>
      </c>
      <c r="AL209" s="252"/>
      <c r="AM209" s="880">
        <f>IFERROR(__xludf.DUMMYFUNCTION("""COMPUTED_VALUE"""),194025.0)</f>
        <v>194025</v>
      </c>
      <c r="AN209" s="252" t="str">
        <f>IFERROR(__xludf.DUMMYFUNCTION("""COMPUTED_VALUE"""),"OT260114144340")</f>
        <v>OT260114144340</v>
      </c>
      <c r="AO209" s="252" t="str">
        <f>IFERROR(__xludf.DUMMYFUNCTION("""COMPUTED_VALUE"""),"Km")</f>
        <v>Km</v>
      </c>
      <c r="AP209" s="252" t="str">
        <f>IFERROR(__xludf.DUMMYFUNCTION("""COMPUTED_VALUE"""),"IS260219140735")</f>
        <v>IS260219140735</v>
      </c>
      <c r="AQ209" s="252"/>
      <c r="AR209" s="252">
        <f>IFERROR(__xludf.DUMMYFUNCTION("""COMPUTED_VALUE"""),137898.0)</f>
        <v>137898</v>
      </c>
      <c r="AS209" s="881">
        <f>IFERROR(__xludf.DUMMYFUNCTION("""COMPUTED_VALUE"""),44927.0)</f>
        <v>44927</v>
      </c>
      <c r="AT209" s="881">
        <f>IFERROR(__xludf.DUMMYFUNCTION("""COMPUTED_VALUE"""),44927.0)</f>
        <v>44927</v>
      </c>
      <c r="AU209" s="252" t="str">
        <f>IFERROR(__xludf.DUMMYFUNCTION("""COMPUTED_VALUE"""),"RDC260213085949")</f>
        <v>RDC260213085949</v>
      </c>
      <c r="AV209" s="252" t="str">
        <f>IFERROR(__xludf.DUMMYFUNCTION("""COMPUTED_VALUE"""),"RCO260225125319")</f>
        <v>RCO260225125319</v>
      </c>
      <c r="AW209" s="252">
        <f>IFERROR(__xludf.DUMMYFUNCTION("""COMPUTED_VALUE"""),50.0)</f>
        <v>50</v>
      </c>
      <c r="AX209" s="252"/>
      <c r="AY209" s="252">
        <f>IFERROR(__xludf.DUMMYFUNCTION("""COMPUTED_VALUE"""),550.0)</f>
        <v>550</v>
      </c>
      <c r="AZ209" s="884">
        <f>IFERROR(__xludf.DUMMYFUNCTION("""COMPUTED_VALUE"""),46078.0)</f>
        <v>46078</v>
      </c>
    </row>
    <row r="210">
      <c r="A210" s="252" t="str">
        <f>IFERROR(__xludf.DUMMYFUNCTION("""COMPUTED_VALUE"""),"m000123")</f>
        <v>m000123</v>
      </c>
      <c r="B210" s="252" t="str">
        <f>IFERROR(__xludf.DUMMYFUNCTION("""COMPUTED_VALUE"""),"C-23 RCWX81")</f>
        <v>C-23 RCWX81</v>
      </c>
      <c r="C210" s="252" t="str">
        <f>IFERROR(__xludf.DUMMYFUNCTION("""COMPUTED_VALUE"""),"CAMIONETA")</f>
        <v>CAMIONETA</v>
      </c>
      <c r="D210" s="252" t="str">
        <f>IFERROR(__xludf.DUMMYFUNCTION("""COMPUTED_VALUE"""),"CAMIONETA")</f>
        <v>CAMIONETA</v>
      </c>
      <c r="E210" s="252" t="str">
        <f>IFERROR(__xludf.DUMMYFUNCTION("""COMPUTED_VALUE"""),"MAXUS")</f>
        <v>MAXUS</v>
      </c>
      <c r="F210" s="252" t="str">
        <f>IFERROR(__xludf.DUMMYFUNCTION("""COMPUTED_VALUE"""),"T60 DX 4X4 DCAB 2,8CC")</f>
        <v>T60 DX 4X4 DCAB 2,8CC</v>
      </c>
      <c r="G210" s="252">
        <f>IFERROR(__xludf.DUMMYFUNCTION("""COMPUTED_VALUE"""),2021.0)</f>
        <v>2021</v>
      </c>
      <c r="H210" s="252"/>
      <c r="I210" s="252"/>
      <c r="J210" s="252" t="str">
        <f>IFERROR(__xludf.DUMMYFUNCTION("""COMPUTED_VALUE"""),"RCWX81")</f>
        <v>RCWX81</v>
      </c>
      <c r="K210" s="252" t="str">
        <f>IFERROR(__xludf.DUMMYFUNCTION("""COMPUTED_VALUE"""),"ITAU")</f>
        <v>ITAU</v>
      </c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  <c r="AA210" s="252"/>
      <c r="AB210" s="252" t="str">
        <f>IFERROR(__xludf.DUMMYFUNCTION("""COMPUTED_VALUE"""),"En producción")</f>
        <v>En producción</v>
      </c>
      <c r="AC210" s="252"/>
      <c r="AD210" s="252">
        <f>IFERROR(__xludf.DUMMYFUNCTION("""COMPUTED_VALUE"""),683.0)</f>
        <v>683</v>
      </c>
      <c r="AE210" s="252" t="str">
        <f>IFERROR(__xludf.DUMMYFUNCTION("""COMPUTED_VALUE"""),"Sin incidentes")</f>
        <v>Sin incidentes</v>
      </c>
      <c r="AF210" s="252">
        <f>IFERROR(__xludf.DUMMYFUNCTION("""COMPUTED_VALUE"""),1.0)</f>
        <v>1</v>
      </c>
      <c r="AG210" s="252" t="str">
        <f>IFERROR(__xludf.DUMMYFUNCTION("""COMPUTED_VALUE"""),"[C-23 RCWX81] - MAXUS T60 DX 4X4 DCAB 2,8CC")</f>
        <v>[C-23 RCWX81] - MAXUS T60 DX 4X4 DCAB 2,8CC</v>
      </c>
      <c r="AH210" s="252"/>
      <c r="AI210" s="252">
        <f>IFERROR(__xludf.DUMMYFUNCTION("""COMPUTED_VALUE"""),176598.0)</f>
        <v>176598</v>
      </c>
      <c r="AJ210" s="882">
        <f>IFERROR(__xludf.DUMMYFUNCTION("""COMPUTED_VALUE"""),45723.54021990741)</f>
        <v>45723.54022</v>
      </c>
      <c r="AK210" s="882">
        <f>IFERROR(__xludf.DUMMYFUNCTION("""COMPUTED_VALUE"""),46093.52392361111)</f>
        <v>46093.52392</v>
      </c>
      <c r="AL210" s="252"/>
      <c r="AM210" s="880">
        <f>IFERROR(__xludf.DUMMYFUNCTION("""COMPUTED_VALUE"""),176307.0)</f>
        <v>176307</v>
      </c>
      <c r="AN210" s="252" t="str">
        <f>IFERROR(__xludf.DUMMYFUNCTION("""COMPUTED_VALUE"""),"OT251205145617")</f>
        <v>OT251205145617</v>
      </c>
      <c r="AO210" s="252" t="str">
        <f>IFERROR(__xludf.DUMMYFUNCTION("""COMPUTED_VALUE"""),"Km")</f>
        <v>Km</v>
      </c>
      <c r="AP210" s="252" t="str">
        <f>IFERROR(__xludf.DUMMYFUNCTION("""COMPUTED_VALUE"""),"IS260310101506")</f>
        <v>IS260310101506</v>
      </c>
      <c r="AQ210" s="252"/>
      <c r="AR210" s="252">
        <f>IFERROR(__xludf.DUMMYFUNCTION("""COMPUTED_VALUE"""),143907.0)</f>
        <v>143907</v>
      </c>
      <c r="AS210" s="881">
        <f>IFERROR(__xludf.DUMMYFUNCTION("""COMPUTED_VALUE"""),44927.0)</f>
        <v>44927</v>
      </c>
      <c r="AT210" s="881">
        <f>IFERROR(__xludf.DUMMYFUNCTION("""COMPUTED_VALUE"""),44927.0)</f>
        <v>44927</v>
      </c>
      <c r="AU210" s="252" t="str">
        <f>IFERROR(__xludf.DUMMYFUNCTION("""COMPUTED_VALUE"""),"RDC260216132509")</f>
        <v>RDC260216132509</v>
      </c>
      <c r="AV210" s="252" t="str">
        <f>IFERROR(__xludf.DUMMYFUNCTION("""COMPUTED_VALUE"""),"RCO260312141605")</f>
        <v>RCO260312141605</v>
      </c>
      <c r="AW210" s="252">
        <f>IFERROR(__xludf.DUMMYFUNCTION("""COMPUTED_VALUE"""),62.0)</f>
        <v>62</v>
      </c>
      <c r="AX210" s="252"/>
      <c r="AY210" s="252">
        <f>IFERROR(__xludf.DUMMYFUNCTION("""COMPUTED_VALUE"""),529.0)</f>
        <v>529</v>
      </c>
      <c r="AZ210" s="881">
        <f>IFERROR(__xludf.DUMMYFUNCTION("""COMPUTED_VALUE"""),46093.0)</f>
        <v>46093</v>
      </c>
    </row>
    <row r="211">
      <c r="A211" s="252" t="str">
        <f>IFERROR(__xludf.DUMMYFUNCTION("""COMPUTED_VALUE"""),"m000124")</f>
        <v>m000124</v>
      </c>
      <c r="B211" s="252" t="str">
        <f>IFERROR(__xludf.DUMMYFUNCTION("""COMPUTED_VALUE"""),"C-24  RCXB16")</f>
        <v>C-24  RCXB16</v>
      </c>
      <c r="C211" s="252" t="str">
        <f>IFERROR(__xludf.DUMMYFUNCTION("""COMPUTED_VALUE"""),"CAMIONETA")</f>
        <v>CAMIONETA</v>
      </c>
      <c r="D211" s="252" t="str">
        <f>IFERROR(__xludf.DUMMYFUNCTION("""COMPUTED_VALUE"""),"CAMIONETA")</f>
        <v>CAMIONETA</v>
      </c>
      <c r="E211" s="252" t="str">
        <f>IFERROR(__xludf.DUMMYFUNCTION("""COMPUTED_VALUE"""),"MAXUS")</f>
        <v>MAXUS</v>
      </c>
      <c r="F211" s="252" t="str">
        <f>IFERROR(__xludf.DUMMYFUNCTION("""COMPUTED_VALUE"""),"T60 DX 4X4 DCAB 2,8CC")</f>
        <v>T60 DX 4X4 DCAB 2,8CC</v>
      </c>
      <c r="G211" s="252">
        <f>IFERROR(__xludf.DUMMYFUNCTION("""COMPUTED_VALUE"""),2021.0)</f>
        <v>2021</v>
      </c>
      <c r="H211" s="252"/>
      <c r="I211" s="252"/>
      <c r="J211" s="252" t="str">
        <f>IFERROR(__xludf.DUMMYFUNCTION("""COMPUTED_VALUE"""),"RCXB16")</f>
        <v>RCXB16</v>
      </c>
      <c r="K211" s="252" t="str">
        <f>IFERROR(__xludf.DUMMYFUNCTION("""COMPUTED_VALUE"""),"ITAU")</f>
        <v>ITAU</v>
      </c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  <c r="AA211" s="252"/>
      <c r="AB211" s="252" t="str">
        <f>IFERROR(__xludf.DUMMYFUNCTION("""COMPUTED_VALUE"""),"En producción")</f>
        <v>En producción</v>
      </c>
      <c r="AC211" s="252"/>
      <c r="AD211" s="252">
        <f>IFERROR(__xludf.DUMMYFUNCTION("""COMPUTED_VALUE"""),1068.0)</f>
        <v>1068</v>
      </c>
      <c r="AE211" s="252" t="str">
        <f>IFERROR(__xludf.DUMMYFUNCTION("""COMPUTED_VALUE"""),"Sin incidentes")</f>
        <v>Sin incidentes</v>
      </c>
      <c r="AF211" s="252">
        <f>IFERROR(__xludf.DUMMYFUNCTION("""COMPUTED_VALUE"""),1.0)</f>
        <v>1</v>
      </c>
      <c r="AG211" s="252" t="str">
        <f>IFERROR(__xludf.DUMMYFUNCTION("""COMPUTED_VALUE"""),"[C-24  RCXB16] - MAXUS T60 DX 4X4 DCAB 2,8CC")</f>
        <v>[C-24  RCXB16] - MAXUS T60 DX 4X4 DCAB 2,8CC</v>
      </c>
      <c r="AH211" s="252">
        <f>IFERROR(__xludf.DUMMYFUNCTION("""COMPUTED_VALUE"""),1.0)</f>
        <v>1</v>
      </c>
      <c r="AI211" s="252">
        <f>IFERROR(__xludf.DUMMYFUNCTION("""COMPUTED_VALUE"""),132877.0)</f>
        <v>132877</v>
      </c>
      <c r="AJ211" s="882">
        <f>IFERROR(__xludf.DUMMYFUNCTION("""COMPUTED_VALUE"""),46094.59991898148)</f>
        <v>46094.59992</v>
      </c>
      <c r="AK211" s="882">
        <f>IFERROR(__xludf.DUMMYFUNCTION("""COMPUTED_VALUE"""),46094.600011574075)</f>
        <v>46094.60001</v>
      </c>
      <c r="AL211" s="252"/>
      <c r="AM211" s="880">
        <f>IFERROR(__xludf.DUMMYFUNCTION("""COMPUTED_VALUE"""),132932.0)</f>
        <v>132932</v>
      </c>
      <c r="AN211" s="252" t="str">
        <f>IFERROR(__xludf.DUMMYFUNCTION("""COMPUTED_VALUE"""),"OT260116100944")</f>
        <v>OT260116100944</v>
      </c>
      <c r="AO211" s="252" t="str">
        <f>IFERROR(__xludf.DUMMYFUNCTION("""COMPUTED_VALUE"""),"Km")</f>
        <v>Km</v>
      </c>
      <c r="AP211" s="252" t="str">
        <f>IFERROR(__xludf.DUMMYFUNCTION("""COMPUTED_VALUE"""),"IS260312165426")</f>
        <v>IS260312165426</v>
      </c>
      <c r="AQ211" s="252"/>
      <c r="AR211" s="252">
        <f>IFERROR(__xludf.DUMMYFUNCTION("""COMPUTED_VALUE"""),114460.0)</f>
        <v>114460</v>
      </c>
      <c r="AS211" s="881">
        <f>IFERROR(__xludf.DUMMYFUNCTION("""COMPUTED_VALUE"""),44927.0)</f>
        <v>44927</v>
      </c>
      <c r="AT211" s="881">
        <f>IFERROR(__xludf.DUMMYFUNCTION("""COMPUTED_VALUE"""),44927.0)</f>
        <v>44927</v>
      </c>
      <c r="AU211" s="252" t="str">
        <f>IFERROR(__xludf.DUMMYFUNCTION("""COMPUTED_VALUE"""),"RDC260224083006")</f>
        <v>RDC260224083006</v>
      </c>
      <c r="AV211" s="252" t="str">
        <f>IFERROR(__xludf.DUMMYFUNCTION("""COMPUTED_VALUE"""),"RCO260313161927")</f>
        <v>RCO260313161927</v>
      </c>
      <c r="AW211" s="252">
        <f>IFERROR(__xludf.DUMMYFUNCTION("""COMPUTED_VALUE"""),63.0)</f>
        <v>63</v>
      </c>
      <c r="AX211" s="252">
        <f>IFERROR(__xludf.DUMMYFUNCTION("""COMPUTED_VALUE"""),0.0)</f>
        <v>0</v>
      </c>
      <c r="AY211" s="252">
        <f>IFERROR(__xludf.DUMMYFUNCTION("""COMPUTED_VALUE"""),659.0)</f>
        <v>659</v>
      </c>
      <c r="AZ211" s="881">
        <f>IFERROR(__xludf.DUMMYFUNCTION("""COMPUTED_VALUE"""),46094.0)</f>
        <v>46094</v>
      </c>
    </row>
    <row r="212">
      <c r="A212" s="252" t="str">
        <f>IFERROR(__xludf.DUMMYFUNCTION("""COMPUTED_VALUE"""),"m000125")</f>
        <v>m000125</v>
      </c>
      <c r="B212" s="252" t="str">
        <f>IFERROR(__xludf.DUMMYFUNCTION("""COMPUTED_VALUE"""),"C-25  RHDY49")</f>
        <v>C-25  RHDY49</v>
      </c>
      <c r="C212" s="252" t="str">
        <f>IFERROR(__xludf.DUMMYFUNCTION("""COMPUTED_VALUE"""),"CAMIONETA")</f>
        <v>CAMIONETA</v>
      </c>
      <c r="D212" s="252" t="str">
        <f>IFERROR(__xludf.DUMMYFUNCTION("""COMPUTED_VALUE"""),"CAMIONETA")</f>
        <v>CAMIONETA</v>
      </c>
      <c r="E212" s="252" t="str">
        <f>IFERROR(__xludf.DUMMYFUNCTION("""COMPUTED_VALUE"""),"MAXUS")</f>
        <v>MAXUS</v>
      </c>
      <c r="F212" s="252" t="str">
        <f>IFERROR(__xludf.DUMMYFUNCTION("""COMPUTED_VALUE"""),"T60 DX 4X4 DCAB 2,8CC")</f>
        <v>T60 DX 4X4 DCAB 2,8CC</v>
      </c>
      <c r="G212" s="252">
        <f>IFERROR(__xludf.DUMMYFUNCTION("""COMPUTED_VALUE"""),2022.0)</f>
        <v>2022</v>
      </c>
      <c r="H212" s="252"/>
      <c r="I212" s="252"/>
      <c r="J212" s="252" t="str">
        <f>IFERROR(__xludf.DUMMYFUNCTION("""COMPUTED_VALUE"""),"RHDY49")</f>
        <v>RHDY49</v>
      </c>
      <c r="K212" s="252" t="str">
        <f>IFERROR(__xludf.DUMMYFUNCTION("""COMPUTED_VALUE"""),"SANTANDER")</f>
        <v>SANTANDER</v>
      </c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  <c r="AA212" s="252"/>
      <c r="AB212" s="252" t="str">
        <f>IFERROR(__xludf.DUMMYFUNCTION("""COMPUTED_VALUE"""),"Fuera de la empresa")</f>
        <v>Fuera de la empresa</v>
      </c>
      <c r="AC212" s="252"/>
      <c r="AD212" s="252">
        <f>IFERROR(__xludf.DUMMYFUNCTION("""COMPUTED_VALUE"""),1090.0)</f>
        <v>1090</v>
      </c>
      <c r="AE212" s="252" t="str">
        <f>IFERROR(__xludf.DUMMYFUNCTION("""COMPUTED_VALUE"""),"Sin incidentes")</f>
        <v>Sin incidentes</v>
      </c>
      <c r="AF212" s="252">
        <f>IFERROR(__xludf.DUMMYFUNCTION("""COMPUTED_VALUE"""),1.0)</f>
        <v>1</v>
      </c>
      <c r="AG212" s="252" t="str">
        <f>IFERROR(__xludf.DUMMYFUNCTION("""COMPUTED_VALUE"""),"[C-25  RHDY49] - MAXUS T60 DX 4X4 DCAB 2,8CC")</f>
        <v>[C-25  RHDY49] - MAXUS T60 DX 4X4 DCAB 2,8CC</v>
      </c>
      <c r="AH212" s="252">
        <f>IFERROR(__xludf.DUMMYFUNCTION("""COMPUTED_VALUE"""),1.0)</f>
        <v>1</v>
      </c>
      <c r="AI212" s="252">
        <f>IFERROR(__xludf.DUMMYFUNCTION("""COMPUTED_VALUE"""),181399.0)</f>
        <v>181399</v>
      </c>
      <c r="AJ212" s="882">
        <f>IFERROR(__xludf.DUMMYFUNCTION("""COMPUTED_VALUE"""),46087.51380787037)</f>
        <v>46087.51381</v>
      </c>
      <c r="AK212" s="882">
        <f>IFERROR(__xludf.DUMMYFUNCTION("""COMPUTED_VALUE"""),46087.51385416667)</f>
        <v>46087.51385</v>
      </c>
      <c r="AL212" s="252"/>
      <c r="AM212" s="880">
        <f>IFERROR(__xludf.DUMMYFUNCTION("""COMPUTED_VALUE"""),187228.0)</f>
        <v>187228</v>
      </c>
      <c r="AN212" s="252" t="str">
        <f>IFERROR(__xludf.DUMMYFUNCTION("""COMPUTED_VALUE"""),"OT251208092232")</f>
        <v>OT251208092232</v>
      </c>
      <c r="AO212" s="252" t="str">
        <f>IFERROR(__xludf.DUMMYFUNCTION("""COMPUTED_VALUE"""),"Km")</f>
        <v>Km</v>
      </c>
      <c r="AP212" s="252" t="str">
        <f>IFERROR(__xludf.DUMMYFUNCTION("""COMPUTED_VALUE"""),"IS260225180238")</f>
        <v>IS260225180238</v>
      </c>
      <c r="AQ212" s="252"/>
      <c r="AR212" s="252">
        <f>IFERROR(__xludf.DUMMYFUNCTION("""COMPUTED_VALUE"""),146668.0)</f>
        <v>146668</v>
      </c>
      <c r="AS212" s="881">
        <f>IFERROR(__xludf.DUMMYFUNCTION("""COMPUTED_VALUE"""),44927.0)</f>
        <v>44927</v>
      </c>
      <c r="AT212" s="881">
        <f>IFERROR(__xludf.DUMMYFUNCTION("""COMPUTED_VALUE"""),44927.0)</f>
        <v>44927</v>
      </c>
      <c r="AU212" s="252" t="str">
        <f>IFERROR(__xludf.DUMMYFUNCTION("""COMPUTED_VALUE"""),"RDC260302130535")</f>
        <v>RDC260302130535</v>
      </c>
      <c r="AV212" s="252" t="str">
        <f>IFERROR(__xludf.DUMMYFUNCTION("""COMPUTED_VALUE"""),"RCO260306141806")</f>
        <v>RCO260306141806</v>
      </c>
      <c r="AW212" s="252">
        <f>IFERROR(__xludf.DUMMYFUNCTION("""COMPUTED_VALUE"""),24.0)</f>
        <v>24</v>
      </c>
      <c r="AX212" s="252">
        <f>IFERROR(__xludf.DUMMYFUNCTION("""COMPUTED_VALUE"""),0.0)</f>
        <v>0</v>
      </c>
      <c r="AY212" s="252">
        <f>IFERROR(__xludf.DUMMYFUNCTION("""COMPUTED_VALUE"""),3399.0)</f>
        <v>3399</v>
      </c>
      <c r="AZ212" s="884">
        <f>IFERROR(__xludf.DUMMYFUNCTION("""COMPUTED_VALUE"""),46087.0)</f>
        <v>46087</v>
      </c>
    </row>
    <row r="213">
      <c r="A213" s="252" t="str">
        <f>IFERROR(__xludf.DUMMYFUNCTION("""COMPUTED_VALUE"""),"m000126")</f>
        <v>m000126</v>
      </c>
      <c r="B213" s="252" t="str">
        <f>IFERROR(__xludf.DUMMYFUNCTION("""COMPUTED_VALUE"""),"C-26  RTXW68")</f>
        <v>C-26  RTXW68</v>
      </c>
      <c r="C213" s="252" t="str">
        <f>IFERROR(__xludf.DUMMYFUNCTION("""COMPUTED_VALUE"""),"CAMIONETA")</f>
        <v>CAMIONETA</v>
      </c>
      <c r="D213" s="252" t="str">
        <f>IFERROR(__xludf.DUMMYFUNCTION("""COMPUTED_VALUE"""),"CAMIONETA")</f>
        <v>CAMIONETA</v>
      </c>
      <c r="E213" s="252" t="str">
        <f>IFERROR(__xludf.DUMMYFUNCTION("""COMPUTED_VALUE"""),"GEAT WALL")</f>
        <v>GEAT WALL</v>
      </c>
      <c r="F213" s="252" t="str">
        <f>IFERROR(__xludf.DUMMYFUNCTION("""COMPUTED_VALUE"""),"WNGLE 7  2,0T  D 4X4 ELITE")</f>
        <v>WNGLE 7  2,0T  D 4X4 ELITE</v>
      </c>
      <c r="G213" s="252">
        <f>IFERROR(__xludf.DUMMYFUNCTION("""COMPUTED_VALUE"""),2022.0)</f>
        <v>2022</v>
      </c>
      <c r="H213" s="252"/>
      <c r="I213" s="252"/>
      <c r="J213" s="252" t="str">
        <f>IFERROR(__xludf.DUMMYFUNCTION("""COMPUTED_VALUE"""),"RTXW68")</f>
        <v>RTXW68</v>
      </c>
      <c r="K213" s="252" t="str">
        <f>IFERROR(__xludf.DUMMYFUNCTION("""COMPUTED_VALUE"""),"ITAU")</f>
        <v>ITAU</v>
      </c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  <c r="AA213" s="252"/>
      <c r="AB213" s="252" t="str">
        <f>IFERROR(__xludf.DUMMYFUNCTION("""COMPUTED_VALUE"""),"Fuera de la empresa")</f>
        <v>Fuera de la empresa</v>
      </c>
      <c r="AC213" s="252"/>
      <c r="AD213" s="252">
        <f>IFERROR(__xludf.DUMMYFUNCTION("""COMPUTED_VALUE"""),1064.0)</f>
        <v>1064</v>
      </c>
      <c r="AE213" s="252" t="str">
        <f>IFERROR(__xludf.DUMMYFUNCTION("""COMPUTED_VALUE"""),"Sin incidentes")</f>
        <v>Sin incidentes</v>
      </c>
      <c r="AF213" s="252">
        <f>IFERROR(__xludf.DUMMYFUNCTION("""COMPUTED_VALUE"""),1.0)</f>
        <v>1</v>
      </c>
      <c r="AG213" s="252" t="str">
        <f>IFERROR(__xludf.DUMMYFUNCTION("""COMPUTED_VALUE"""),"[C-26  RTXW68] - GEAT WALL WNGLE 7  2,0T  D 4X4 ELITE")</f>
        <v>[C-26  RTXW68] - GEAT WALL WNGLE 7  2,0T  D 4X4 ELITE</v>
      </c>
      <c r="AH213" s="252">
        <f>IFERROR(__xludf.DUMMYFUNCTION("""COMPUTED_VALUE"""),1.0)</f>
        <v>1</v>
      </c>
      <c r="AI213" s="252">
        <f>IFERROR(__xludf.DUMMYFUNCTION("""COMPUTED_VALUE"""),110338.0)</f>
        <v>110338</v>
      </c>
      <c r="AJ213" s="882">
        <f>IFERROR(__xludf.DUMMYFUNCTION("""COMPUTED_VALUE"""),46071.35949074074)</f>
        <v>46071.35949</v>
      </c>
      <c r="AK213" s="882">
        <f>IFERROR(__xludf.DUMMYFUNCTION("""COMPUTED_VALUE"""),46071.35953703704)</f>
        <v>46071.35954</v>
      </c>
      <c r="AL213" s="252"/>
      <c r="AM213" s="880">
        <f>IFERROR(__xludf.DUMMYFUNCTION("""COMPUTED_VALUE"""),111747.0)</f>
        <v>111747</v>
      </c>
      <c r="AN213" s="252" t="str">
        <f>IFERROR(__xludf.DUMMYFUNCTION("""COMPUTED_VALUE"""),"OT251201140652")</f>
        <v>OT251201140652</v>
      </c>
      <c r="AO213" s="252" t="str">
        <f>IFERROR(__xludf.DUMMYFUNCTION("""COMPUTED_VALUE"""),"Km")</f>
        <v>Km</v>
      </c>
      <c r="AP213" s="252" t="str">
        <f>IFERROR(__xludf.DUMMYFUNCTION("""COMPUTED_VALUE"""),"IS251105151749")</f>
        <v>IS251105151749</v>
      </c>
      <c r="AQ213" s="252"/>
      <c r="AR213" s="252">
        <f>IFERROR(__xludf.DUMMYFUNCTION("""COMPUTED_VALUE"""),73158.0)</f>
        <v>73158</v>
      </c>
      <c r="AS213" s="881">
        <f>IFERROR(__xludf.DUMMYFUNCTION("""COMPUTED_VALUE"""),44927.0)</f>
        <v>44927</v>
      </c>
      <c r="AT213" s="881">
        <f>IFERROR(__xludf.DUMMYFUNCTION("""COMPUTED_VALUE"""),44927.0)</f>
        <v>44927</v>
      </c>
      <c r="AU213" s="252" t="str">
        <f>IFERROR(__xludf.DUMMYFUNCTION("""COMPUTED_VALUE"""),"RDC260210105705")</f>
        <v>RDC260210105705</v>
      </c>
      <c r="AV213" s="252" t="str">
        <f>IFERROR(__xludf.DUMMYFUNCTION("""COMPUTED_VALUE"""),"RCO251021173148")</f>
        <v>RCO251021173148</v>
      </c>
      <c r="AW213" s="252">
        <f>IFERROR(__xludf.DUMMYFUNCTION("""COMPUTED_VALUE"""),47.0)</f>
        <v>47</v>
      </c>
      <c r="AX213" s="252"/>
      <c r="AY213" s="252"/>
      <c r="AZ213" s="881">
        <f>IFERROR(__xludf.DUMMYFUNCTION("""COMPUTED_VALUE"""),45951.0)</f>
        <v>45951</v>
      </c>
    </row>
    <row r="214">
      <c r="A214" s="252" t="str">
        <f>IFERROR(__xludf.DUMMYFUNCTION("""COMPUTED_VALUE"""),"m000127")</f>
        <v>m000127</v>
      </c>
      <c r="B214" s="252" t="str">
        <f>IFERROR(__xludf.DUMMYFUNCTION("""COMPUTED_VALUE"""),"C-27 RTXW59")</f>
        <v>C-27 RTXW59</v>
      </c>
      <c r="C214" s="252" t="str">
        <f>IFERROR(__xludf.DUMMYFUNCTION("""COMPUTED_VALUE"""),"CAMIONETA")</f>
        <v>CAMIONETA</v>
      </c>
      <c r="D214" s="252" t="str">
        <f>IFERROR(__xludf.DUMMYFUNCTION("""COMPUTED_VALUE"""),"CAMIONETA")</f>
        <v>CAMIONETA</v>
      </c>
      <c r="E214" s="252" t="str">
        <f>IFERROR(__xludf.DUMMYFUNCTION("""COMPUTED_VALUE"""),"GEAT WALL")</f>
        <v>GEAT WALL</v>
      </c>
      <c r="F214" s="252" t="str">
        <f>IFERROR(__xludf.DUMMYFUNCTION("""COMPUTED_VALUE"""),"WNGLE 7  2,0T  D 4X4 ELITE")</f>
        <v>WNGLE 7  2,0T  D 4X4 ELITE</v>
      </c>
      <c r="G214" s="252">
        <f>IFERROR(__xludf.DUMMYFUNCTION("""COMPUTED_VALUE"""),2022.0)</f>
        <v>2022</v>
      </c>
      <c r="H214" s="252"/>
      <c r="I214" s="252"/>
      <c r="J214" s="252" t="str">
        <f>IFERROR(__xludf.DUMMYFUNCTION("""COMPUTED_VALUE"""),"RTXW59")</f>
        <v>RTXW59</v>
      </c>
      <c r="K214" s="252" t="str">
        <f>IFERROR(__xludf.DUMMYFUNCTION("""COMPUTED_VALUE"""),"ITAU")</f>
        <v>ITAU</v>
      </c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  <c r="AA214" s="252"/>
      <c r="AB214" s="252" t="str">
        <f>IFERROR(__xludf.DUMMYFUNCTION("""COMPUTED_VALUE"""),"En producción")</f>
        <v>En producción</v>
      </c>
      <c r="AC214" s="252"/>
      <c r="AD214" s="252">
        <f>IFERROR(__xludf.DUMMYFUNCTION("""COMPUTED_VALUE"""),1043.0)</f>
        <v>1043</v>
      </c>
      <c r="AE214" s="252" t="str">
        <f>IFERROR(__xludf.DUMMYFUNCTION("""COMPUTED_VALUE"""),"Sin incidentes")</f>
        <v>Sin incidentes</v>
      </c>
      <c r="AF214" s="252">
        <f>IFERROR(__xludf.DUMMYFUNCTION("""COMPUTED_VALUE"""),1.0)</f>
        <v>1</v>
      </c>
      <c r="AG214" s="252" t="str">
        <f>IFERROR(__xludf.DUMMYFUNCTION("""COMPUTED_VALUE"""),"[C-27 RTXW59] - GEAT WALL WNGLE 7  2,0T  D 4X4 ELITE")</f>
        <v>[C-27 RTXW59] - GEAT WALL WNGLE 7  2,0T  D 4X4 ELITE</v>
      </c>
      <c r="AH214" s="252">
        <f>IFERROR(__xludf.DUMMYFUNCTION("""COMPUTED_VALUE"""),1.0)</f>
        <v>1</v>
      </c>
      <c r="AI214" s="252">
        <f>IFERROR(__xludf.DUMMYFUNCTION("""COMPUTED_VALUE"""),104845.0)</f>
        <v>104845</v>
      </c>
      <c r="AJ214" s="882">
        <f>IFERROR(__xludf.DUMMYFUNCTION("""COMPUTED_VALUE"""),46094.54912037037)</f>
        <v>46094.54912</v>
      </c>
      <c r="AK214" s="882">
        <f>IFERROR(__xludf.DUMMYFUNCTION("""COMPUTED_VALUE"""),46094.549155092594)</f>
        <v>46094.54916</v>
      </c>
      <c r="AL214" s="252"/>
      <c r="AM214" s="880">
        <f>IFERROR(__xludf.DUMMYFUNCTION("""COMPUTED_VALUE"""),108939.0)</f>
        <v>108939</v>
      </c>
      <c r="AN214" s="252" t="str">
        <f>IFERROR(__xludf.DUMMYFUNCTION("""COMPUTED_VALUE"""),"OT250730113501")</f>
        <v>OT250730113501</v>
      </c>
      <c r="AO214" s="252" t="str">
        <f>IFERROR(__xludf.DUMMYFUNCTION("""COMPUTED_VALUE"""),"Km")</f>
        <v>Km</v>
      </c>
      <c r="AP214" s="252" t="str">
        <f>IFERROR(__xludf.DUMMYFUNCTION("""COMPUTED_VALUE"""),"IS260312165324")</f>
        <v>IS260312165324</v>
      </c>
      <c r="AQ214" s="252"/>
      <c r="AR214" s="252">
        <f>IFERROR(__xludf.DUMMYFUNCTION("""COMPUTED_VALUE"""),88535.0)</f>
        <v>88535</v>
      </c>
      <c r="AS214" s="881">
        <f>IFERROR(__xludf.DUMMYFUNCTION("""COMPUTED_VALUE"""),44927.0)</f>
        <v>44927</v>
      </c>
      <c r="AT214" s="881">
        <f>IFERROR(__xludf.DUMMYFUNCTION("""COMPUTED_VALUE"""),44927.0)</f>
        <v>44927</v>
      </c>
      <c r="AU214" s="252" t="str">
        <f>IFERROR(__xludf.DUMMYFUNCTION("""COMPUTED_VALUE"""),"RDC260202160857")</f>
        <v>RDC260202160857</v>
      </c>
      <c r="AV214" s="252" t="str">
        <f>IFERROR(__xludf.DUMMYFUNCTION("""COMPUTED_VALUE"""),"RCO260313140955")</f>
        <v>RCO260313140955</v>
      </c>
      <c r="AW214" s="252">
        <f>IFERROR(__xludf.DUMMYFUNCTION("""COMPUTED_VALUE"""),47.0)</f>
        <v>47</v>
      </c>
      <c r="AX214" s="252">
        <f>IFERROR(__xludf.DUMMYFUNCTION("""COMPUTED_VALUE"""),0.0)</f>
        <v>0</v>
      </c>
      <c r="AY214" s="252">
        <f>IFERROR(__xludf.DUMMYFUNCTION("""COMPUTED_VALUE"""),464.0)</f>
        <v>464</v>
      </c>
      <c r="AZ214" s="881">
        <f>IFERROR(__xludf.DUMMYFUNCTION("""COMPUTED_VALUE"""),46094.0)</f>
        <v>46094</v>
      </c>
    </row>
    <row r="215">
      <c r="A215" s="252" t="str">
        <f>IFERROR(__xludf.DUMMYFUNCTION("""COMPUTED_VALUE"""),"m000128")</f>
        <v>m000128</v>
      </c>
      <c r="B215" s="252" t="str">
        <f>IFERROR(__xludf.DUMMYFUNCTION("""COMPUTED_VALUE"""),"C-29 RWRH49")</f>
        <v>C-29 RWRH49</v>
      </c>
      <c r="C215" s="252" t="str">
        <f>IFERROR(__xludf.DUMMYFUNCTION("""COMPUTED_VALUE"""),"CAMIONETA")</f>
        <v>CAMIONETA</v>
      </c>
      <c r="D215" s="252" t="str">
        <f>IFERROR(__xludf.DUMMYFUNCTION("""COMPUTED_VALUE"""),"CAMIONETA")</f>
        <v>CAMIONETA</v>
      </c>
      <c r="E215" s="252" t="str">
        <f>IFERROR(__xludf.DUMMYFUNCTION("""COMPUTED_VALUE"""),"JMC")</f>
        <v>JMC</v>
      </c>
      <c r="F215" s="252" t="str">
        <f>IFERROR(__xludf.DUMMYFUNCTION("""COMPUTED_VALUE"""),"VIGUS WOR 4X4")</f>
        <v>VIGUS WOR 4X4</v>
      </c>
      <c r="G215" s="252">
        <f>IFERROR(__xludf.DUMMYFUNCTION("""COMPUTED_VALUE"""),2022.0)</f>
        <v>2022</v>
      </c>
      <c r="H215" s="252"/>
      <c r="I215" s="252"/>
      <c r="J215" s="252" t="str">
        <f>IFERROR(__xludf.DUMMYFUNCTION("""COMPUTED_VALUE"""),"RWRH49")</f>
        <v>RWRH49</v>
      </c>
      <c r="K215" s="252" t="str">
        <f>IFERROR(__xludf.DUMMYFUNCTION("""COMPUTED_VALUE"""),"ITAU")</f>
        <v>ITAU</v>
      </c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  <c r="AA215" s="252"/>
      <c r="AB215" s="252" t="str">
        <f>IFERROR(__xludf.DUMMYFUNCTION("""COMPUTED_VALUE"""),"En producción")</f>
        <v>En producción</v>
      </c>
      <c r="AC215" s="252"/>
      <c r="AD215" s="252">
        <f>IFERROR(__xludf.DUMMYFUNCTION("""COMPUTED_VALUE"""),696.0)</f>
        <v>696</v>
      </c>
      <c r="AE215" s="252" t="str">
        <f>IFERROR(__xludf.DUMMYFUNCTION("""COMPUTED_VALUE"""),"Sin incidentes")</f>
        <v>Sin incidentes</v>
      </c>
      <c r="AF215" s="252">
        <f>IFERROR(__xludf.DUMMYFUNCTION("""COMPUTED_VALUE"""),1.0)</f>
        <v>1</v>
      </c>
      <c r="AG215" s="252" t="str">
        <f>IFERROR(__xludf.DUMMYFUNCTION("""COMPUTED_VALUE"""),"[C-29 RWRH49] - JMC VIGUS WOR 4X4")</f>
        <v>[C-29 RWRH49] - JMC VIGUS WOR 4X4</v>
      </c>
      <c r="AH215" s="252">
        <f>IFERROR(__xludf.DUMMYFUNCTION("""COMPUTED_VALUE"""),1.0)</f>
        <v>1</v>
      </c>
      <c r="AI215" s="252">
        <f>IFERROR(__xludf.DUMMYFUNCTION("""COMPUTED_VALUE"""),169061.0)</f>
        <v>169061</v>
      </c>
      <c r="AJ215" s="882">
        <f>IFERROR(__xludf.DUMMYFUNCTION("""COMPUTED_VALUE"""),46093.52756944444)</f>
        <v>46093.52757</v>
      </c>
      <c r="AK215" s="882">
        <f>IFERROR(__xludf.DUMMYFUNCTION("""COMPUTED_VALUE"""),46093.527662037035)</f>
        <v>46093.52766</v>
      </c>
      <c r="AL215" s="252"/>
      <c r="AM215" s="880">
        <f>IFERROR(__xludf.DUMMYFUNCTION("""COMPUTED_VALUE"""),172799.0)</f>
        <v>172799</v>
      </c>
      <c r="AN215" s="252" t="str">
        <f>IFERROR(__xludf.DUMMYFUNCTION("""COMPUTED_VALUE"""),"OT260304181202")</f>
        <v>OT260304181202</v>
      </c>
      <c r="AO215" s="252" t="str">
        <f>IFERROR(__xludf.DUMMYFUNCTION("""COMPUTED_VALUE"""),"Km")</f>
        <v>Km</v>
      </c>
      <c r="AP215" s="252" t="str">
        <f>IFERROR(__xludf.DUMMYFUNCTION("""COMPUTED_VALUE"""),"IS260311163458")</f>
        <v>IS260311163458</v>
      </c>
      <c r="AQ215" s="252"/>
      <c r="AR215" s="252">
        <f>IFERROR(__xludf.DUMMYFUNCTION("""COMPUTED_VALUE"""),145267.0)</f>
        <v>145267</v>
      </c>
      <c r="AS215" s="881">
        <f>IFERROR(__xludf.DUMMYFUNCTION("""COMPUTED_VALUE"""),44927.0)</f>
        <v>44927</v>
      </c>
      <c r="AT215" s="881">
        <f>IFERROR(__xludf.DUMMYFUNCTION("""COMPUTED_VALUE"""),44927.0)</f>
        <v>44927</v>
      </c>
      <c r="AU215" s="252" t="str">
        <f>IFERROR(__xludf.DUMMYFUNCTION("""COMPUTED_VALUE"""),"RDC260227143812")</f>
        <v>RDC260227143812</v>
      </c>
      <c r="AV215" s="252" t="str">
        <f>IFERROR(__xludf.DUMMYFUNCTION("""COMPUTED_VALUE"""),"RCO260312143345")</f>
        <v>RCO260312143345</v>
      </c>
      <c r="AW215" s="252">
        <f>IFERROR(__xludf.DUMMYFUNCTION("""COMPUTED_VALUE"""),56.0)</f>
        <v>56</v>
      </c>
      <c r="AX215" s="252">
        <f>IFERROR(__xludf.DUMMYFUNCTION("""COMPUTED_VALUE"""),0.0)</f>
        <v>0</v>
      </c>
      <c r="AY215" s="252">
        <f>IFERROR(__xludf.DUMMYFUNCTION("""COMPUTED_VALUE"""),496.0)</f>
        <v>496</v>
      </c>
      <c r="AZ215" s="884">
        <f>IFERROR(__xludf.DUMMYFUNCTION("""COMPUTED_VALUE"""),46093.0)</f>
        <v>46093</v>
      </c>
    </row>
    <row r="216">
      <c r="A216" s="252" t="str">
        <f>IFERROR(__xludf.DUMMYFUNCTION("""COMPUTED_VALUE"""),"m000129")</f>
        <v>m000129</v>
      </c>
      <c r="B216" s="252" t="str">
        <f>IFERROR(__xludf.DUMMYFUNCTION("""COMPUTED_VALUE"""),"C-30 RWRH50")</f>
        <v>C-30 RWRH50</v>
      </c>
      <c r="C216" s="252" t="str">
        <f>IFERROR(__xludf.DUMMYFUNCTION("""COMPUTED_VALUE"""),"CAMIONETA")</f>
        <v>CAMIONETA</v>
      </c>
      <c r="D216" s="252" t="str">
        <f>IFERROR(__xludf.DUMMYFUNCTION("""COMPUTED_VALUE"""),"CAMIONETA")</f>
        <v>CAMIONETA</v>
      </c>
      <c r="E216" s="252" t="str">
        <f>IFERROR(__xludf.DUMMYFUNCTION("""COMPUTED_VALUE"""),"JMC")</f>
        <v>JMC</v>
      </c>
      <c r="F216" s="252" t="str">
        <f>IFERROR(__xludf.DUMMYFUNCTION("""COMPUTED_VALUE"""),"VIGUS WOR 4X4")</f>
        <v>VIGUS WOR 4X4</v>
      </c>
      <c r="G216" s="252">
        <f>IFERROR(__xludf.DUMMYFUNCTION("""COMPUTED_VALUE"""),2022.0)</f>
        <v>2022</v>
      </c>
      <c r="H216" s="252"/>
      <c r="I216" s="252"/>
      <c r="J216" s="252" t="str">
        <f>IFERROR(__xludf.DUMMYFUNCTION("""COMPUTED_VALUE"""),"RWRH50")</f>
        <v>RWRH50</v>
      </c>
      <c r="K216" s="252" t="str">
        <f>IFERROR(__xludf.DUMMYFUNCTION("""COMPUTED_VALUE"""),"ITAU")</f>
        <v>ITAU</v>
      </c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  <c r="AA216" s="252"/>
      <c r="AB216" s="252" t="str">
        <f>IFERROR(__xludf.DUMMYFUNCTION("""COMPUTED_VALUE"""),"En producción")</f>
        <v>En producción</v>
      </c>
      <c r="AC216" s="252"/>
      <c r="AD216" s="252">
        <f>IFERROR(__xludf.DUMMYFUNCTION("""COMPUTED_VALUE"""),957.0)</f>
        <v>957</v>
      </c>
      <c r="AE216" s="252" t="str">
        <f>IFERROR(__xludf.DUMMYFUNCTION("""COMPUTED_VALUE"""),"Sin incidentes")</f>
        <v>Sin incidentes</v>
      </c>
      <c r="AF216" s="252">
        <f>IFERROR(__xludf.DUMMYFUNCTION("""COMPUTED_VALUE"""),1.0)</f>
        <v>1</v>
      </c>
      <c r="AG216" s="252" t="str">
        <f>IFERROR(__xludf.DUMMYFUNCTION("""COMPUTED_VALUE"""),"[C-30 RWRH50] - JMC VIGUS WOR 4X4")</f>
        <v>[C-30 RWRH50] - JMC VIGUS WOR 4X4</v>
      </c>
      <c r="AH216" s="252">
        <f>IFERROR(__xludf.DUMMYFUNCTION("""COMPUTED_VALUE"""),1507.0)</f>
        <v>1507</v>
      </c>
      <c r="AI216" s="252">
        <f>IFERROR(__xludf.DUMMYFUNCTION("""COMPUTED_VALUE"""),87680.0)</f>
        <v>87680</v>
      </c>
      <c r="AJ216" s="882">
        <f>IFERROR(__xludf.DUMMYFUNCTION("""COMPUTED_VALUE"""),46095.50876157408)</f>
        <v>46095.50876</v>
      </c>
      <c r="AK216" s="882">
        <f>IFERROR(__xludf.DUMMYFUNCTION("""COMPUTED_VALUE"""),46095.50880787037)</f>
        <v>46095.50881</v>
      </c>
      <c r="AL216" s="880">
        <f>IFERROR(__xludf.DUMMYFUNCTION("""COMPUTED_VALUE"""),1426.0)</f>
        <v>1426</v>
      </c>
      <c r="AM216" s="252"/>
      <c r="AN216" s="252" t="str">
        <f>IFERROR(__xludf.DUMMYFUNCTION("""COMPUTED_VALUE"""),"OT251212092316")</f>
        <v>OT251212092316</v>
      </c>
      <c r="AO216" s="252" t="str">
        <f>IFERROR(__xludf.DUMMYFUNCTION("""COMPUTED_VALUE"""),"Hr")</f>
        <v>Hr</v>
      </c>
      <c r="AP216" s="252" t="str">
        <f>IFERROR(__xludf.DUMMYFUNCTION("""COMPUTED_VALUE"""),"IS260309110556")</f>
        <v>IS260309110556</v>
      </c>
      <c r="AQ216" s="252">
        <f>IFERROR(__xludf.DUMMYFUNCTION("""COMPUTED_VALUE"""),328.0)</f>
        <v>328</v>
      </c>
      <c r="AR216" s="252"/>
      <c r="AS216" s="881">
        <f>IFERROR(__xludf.DUMMYFUNCTION("""COMPUTED_VALUE"""),44927.0)</f>
        <v>44927</v>
      </c>
      <c r="AT216" s="881">
        <f>IFERROR(__xludf.DUMMYFUNCTION("""COMPUTED_VALUE"""),44927.0)</f>
        <v>44927</v>
      </c>
      <c r="AU216" s="252" t="str">
        <f>IFERROR(__xludf.DUMMYFUNCTION("""COMPUTED_VALUE"""),"RDC251022075056")</f>
        <v>RDC251022075056</v>
      </c>
      <c r="AV216" s="252" t="str">
        <f>IFERROR(__xludf.DUMMYFUNCTION("""COMPUTED_VALUE"""),"RCO260314140943")</f>
        <v>RCO260314140943</v>
      </c>
      <c r="AW216" s="252">
        <f>IFERROR(__xludf.DUMMYFUNCTION("""COMPUTED_VALUE"""),60.0)</f>
        <v>60</v>
      </c>
      <c r="AX216" s="252">
        <f>IFERROR(__xludf.DUMMYFUNCTION("""COMPUTED_VALUE"""),11.0)</f>
        <v>11</v>
      </c>
      <c r="AY216" s="252">
        <f>IFERROR(__xludf.DUMMYFUNCTION("""COMPUTED_VALUE"""),0.0)</f>
        <v>0</v>
      </c>
      <c r="AZ216" s="881">
        <f>IFERROR(__xludf.DUMMYFUNCTION("""COMPUTED_VALUE"""),46095.0)</f>
        <v>46095</v>
      </c>
    </row>
    <row r="217">
      <c r="A217" s="252" t="str">
        <f>IFERROR(__xludf.DUMMYFUNCTION("""COMPUTED_VALUE"""),"m000130")</f>
        <v>m000130</v>
      </c>
      <c r="B217" s="252" t="str">
        <f>IFERROR(__xludf.DUMMYFUNCTION("""COMPUTED_VALUE"""),"C-31  GLLL86")</f>
        <v>C-31  GLLL86</v>
      </c>
      <c r="C217" s="252" t="str">
        <f>IFERROR(__xludf.DUMMYFUNCTION("""COMPUTED_VALUE"""),"CAMIONETA")</f>
        <v>CAMIONETA</v>
      </c>
      <c r="D217" s="252" t="str">
        <f>IFERROR(__xludf.DUMMYFUNCTION("""COMPUTED_VALUE"""),"CAMIONETA")</f>
        <v>CAMIONETA</v>
      </c>
      <c r="E217" s="252" t="str">
        <f>IFERROR(__xludf.DUMMYFUNCTION("""COMPUTED_VALUE"""),"DODGE")</f>
        <v>DODGE</v>
      </c>
      <c r="F217" s="252" t="str">
        <f>IFERROR(__xludf.DUMMYFUNCTION("""COMPUTED_VALUE"""),"RAM1500 4X4 3,0CC AUTOMATICA")</f>
        <v>RAM1500 4X4 3,0CC AUTOMATICA</v>
      </c>
      <c r="G217" s="252">
        <f>IFERROR(__xludf.DUMMYFUNCTION("""COMPUTED_VALUE"""),2017.0)</f>
        <v>2017</v>
      </c>
      <c r="H217" s="252"/>
      <c r="I217" s="252"/>
      <c r="J217" s="252" t="str">
        <f>IFERROR(__xludf.DUMMYFUNCTION("""COMPUTED_VALUE"""),"GLLL86")</f>
        <v>GLLL86</v>
      </c>
      <c r="K217" s="252" t="str">
        <f>IFERROR(__xludf.DUMMYFUNCTION("""COMPUTED_VALUE"""),"ECMA")</f>
        <v>ECMA</v>
      </c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  <c r="AA217" s="252"/>
      <c r="AB217" s="252" t="str">
        <f>IFERROR(__xludf.DUMMYFUNCTION("""COMPUTED_VALUE"""),"En producción")</f>
        <v>En producción</v>
      </c>
      <c r="AC217" s="252" t="str">
        <f>IFERROR(__xludf.DUMMYFUNCTION("""COMPUTED_VALUE"""),"MAQUINAS_Images/m000130.FOTO1.185118.jpg")</f>
        <v>MAQUINAS_Images/m000130.FOTO1.185118.jpg</v>
      </c>
      <c r="AD217" s="252">
        <f>IFERROR(__xludf.DUMMYFUNCTION("""COMPUTED_VALUE"""),1027.0)</f>
        <v>1027</v>
      </c>
      <c r="AE217" s="252" t="str">
        <f>IFERROR(__xludf.DUMMYFUNCTION("""COMPUTED_VALUE"""),"Sin incidentes")</f>
        <v>Sin incidentes</v>
      </c>
      <c r="AF217" s="252">
        <f>IFERROR(__xludf.DUMMYFUNCTION("""COMPUTED_VALUE"""),1.0)</f>
        <v>1</v>
      </c>
      <c r="AG217" s="252" t="str">
        <f>IFERROR(__xludf.DUMMYFUNCTION("""COMPUTED_VALUE"""),"[C-31  GLLL86] - DODGE RAM1500 4X4 3,0CC AUTOMATICA")</f>
        <v>[C-31  GLLL86] - DODGE RAM1500 4X4 3,0CC AUTOMATICA</v>
      </c>
      <c r="AH217" s="252">
        <f>IFERROR(__xludf.DUMMYFUNCTION("""COMPUTED_VALUE"""),1.0)</f>
        <v>1</v>
      </c>
      <c r="AI217" s="252">
        <f>IFERROR(__xludf.DUMMYFUNCTION("""COMPUTED_VALUE"""),169400.0)</f>
        <v>169400</v>
      </c>
      <c r="AJ217" s="885">
        <f>IFERROR(__xludf.DUMMYFUNCTION("""COMPUTED_VALUE"""),46087.5399537037)</f>
        <v>46087.53995</v>
      </c>
      <c r="AK217" s="882">
        <f>IFERROR(__xludf.DUMMYFUNCTION("""COMPUTED_VALUE"""),46087.54001157408)</f>
        <v>46087.54001</v>
      </c>
      <c r="AL217" s="880" t="str">
        <f>IFERROR(__xludf.DUMMYFUNCTION("""COMPUTED_VALUE"""),"")</f>
        <v/>
      </c>
      <c r="AM217" s="880">
        <f>IFERROR(__xludf.DUMMYFUNCTION("""COMPUTED_VALUE"""),175808.0)</f>
        <v>175808</v>
      </c>
      <c r="AN217" s="252" t="str">
        <f>IFERROR(__xludf.DUMMYFUNCTION("""COMPUTED_VALUE"""),"OT251111095059")</f>
        <v>OT251111095059</v>
      </c>
      <c r="AO217" s="252" t="str">
        <f>IFERROR(__xludf.DUMMYFUNCTION("""COMPUTED_VALUE"""),"Km")</f>
        <v>Km</v>
      </c>
      <c r="AP217" s="252"/>
      <c r="AQ217" s="252"/>
      <c r="AR217" s="252">
        <f>IFERROR(__xludf.DUMMYFUNCTION("""COMPUTED_VALUE"""),157909.0)</f>
        <v>157909</v>
      </c>
      <c r="AS217" s="881">
        <f>IFERROR(__xludf.DUMMYFUNCTION("""COMPUTED_VALUE"""),44927.0)</f>
        <v>44927</v>
      </c>
      <c r="AT217" s="881">
        <f>IFERROR(__xludf.DUMMYFUNCTION("""COMPUTED_VALUE"""),44927.0)</f>
        <v>44927</v>
      </c>
      <c r="AU217" s="252"/>
      <c r="AV217" s="252" t="str">
        <f>IFERROR(__xludf.DUMMYFUNCTION("""COMPUTED_VALUE"""),"RCO260306145103")</f>
        <v>RCO260306145103</v>
      </c>
      <c r="AW217" s="252">
        <f>IFERROR(__xludf.DUMMYFUNCTION("""COMPUTED_VALUE"""),86.0)</f>
        <v>86</v>
      </c>
      <c r="AX217" s="252">
        <f>IFERROR(__xludf.DUMMYFUNCTION("""COMPUTED_VALUE"""),0.0)</f>
        <v>0</v>
      </c>
      <c r="AY217" s="252">
        <f>IFERROR(__xludf.DUMMYFUNCTION("""COMPUTED_VALUE"""),0.0)</f>
        <v>0</v>
      </c>
      <c r="AZ217" s="881">
        <f>IFERROR(__xludf.DUMMYFUNCTION("""COMPUTED_VALUE"""),46087.0)</f>
        <v>46087</v>
      </c>
    </row>
    <row r="218">
      <c r="A218" s="252" t="str">
        <f>IFERROR(__xludf.DUMMYFUNCTION("""COMPUTED_VALUE"""),"m000131")</f>
        <v>m000131</v>
      </c>
      <c r="B218" s="252" t="str">
        <f>IFERROR(__xludf.DUMMYFUNCTION("""COMPUTED_VALUE"""),"C-32 RWRH54")</f>
        <v>C-32 RWRH54</v>
      </c>
      <c r="C218" s="252" t="str">
        <f>IFERROR(__xludf.DUMMYFUNCTION("""COMPUTED_VALUE"""),"CAMIONETA")</f>
        <v>CAMIONETA</v>
      </c>
      <c r="D218" s="252" t="str">
        <f>IFERROR(__xludf.DUMMYFUNCTION("""COMPUTED_VALUE"""),"CAMIONETA")</f>
        <v>CAMIONETA</v>
      </c>
      <c r="E218" s="252" t="str">
        <f>IFERROR(__xludf.DUMMYFUNCTION("""COMPUTED_VALUE"""),"JMC")</f>
        <v>JMC</v>
      </c>
      <c r="F218" s="252" t="str">
        <f>IFERROR(__xludf.DUMMYFUNCTION("""COMPUTED_VALUE"""),"VIGUS WOR 4X4")</f>
        <v>VIGUS WOR 4X4</v>
      </c>
      <c r="G218" s="252">
        <f>IFERROR(__xludf.DUMMYFUNCTION("""COMPUTED_VALUE"""),2022.0)</f>
        <v>2022</v>
      </c>
      <c r="H218" s="252"/>
      <c r="I218" s="252"/>
      <c r="J218" s="252" t="str">
        <f>IFERROR(__xludf.DUMMYFUNCTION("""COMPUTED_VALUE"""),"RWRH54")</f>
        <v>RWRH54</v>
      </c>
      <c r="K218" s="252" t="str">
        <f>IFERROR(__xludf.DUMMYFUNCTION("""COMPUTED_VALUE"""),"ITAU")</f>
        <v>ITAU</v>
      </c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  <c r="AA218" s="252"/>
      <c r="AB218" s="252" t="str">
        <f>IFERROR(__xludf.DUMMYFUNCTION("""COMPUTED_VALUE"""),"Discontinuado")</f>
        <v>Discontinuado</v>
      </c>
      <c r="AC218" s="252"/>
      <c r="AD218" s="252"/>
      <c r="AE218" s="252" t="str">
        <f>IFERROR(__xludf.DUMMYFUNCTION("""COMPUTED_VALUE"""),"Sin incidentes")</f>
        <v>Sin incidentes</v>
      </c>
      <c r="AF218" s="252">
        <f>IFERROR(__xludf.DUMMYFUNCTION("""COMPUTED_VALUE"""),1.0)</f>
        <v>1</v>
      </c>
      <c r="AG218" s="252" t="str">
        <f>IFERROR(__xludf.DUMMYFUNCTION("""COMPUTED_VALUE"""),"[C-32 RWRH54] - JMC VIGUS WOR 4X4")</f>
        <v>[C-32 RWRH54] - JMC VIGUS WOR 4X4</v>
      </c>
      <c r="AH218" s="252"/>
      <c r="AI218" s="252"/>
      <c r="AJ218" s="252"/>
      <c r="AK218" s="252"/>
      <c r="AL218" s="880" t="str">
        <f>IFERROR(__xludf.DUMMYFUNCTION("""COMPUTED_VALUE"""),"")</f>
        <v/>
      </c>
      <c r="AM218" s="880" t="str">
        <f>IFERROR(__xludf.DUMMYFUNCTION("""COMPUTED_VALUE"""),"")</f>
        <v/>
      </c>
      <c r="AN218" s="252"/>
      <c r="AO218" s="252"/>
      <c r="AP218" s="252"/>
      <c r="AQ218" s="252"/>
      <c r="AR218" s="252"/>
      <c r="AS218" s="881">
        <f>IFERROR(__xludf.DUMMYFUNCTION("""COMPUTED_VALUE"""),44927.0)</f>
        <v>44927</v>
      </c>
      <c r="AT218" s="881">
        <f>IFERROR(__xludf.DUMMYFUNCTION("""COMPUTED_VALUE"""),44927.0)</f>
        <v>44927</v>
      </c>
      <c r="AU218" s="252"/>
      <c r="AV218" s="252"/>
      <c r="AW218" s="252"/>
      <c r="AX218" s="252"/>
      <c r="AY218" s="252"/>
      <c r="AZ218" s="252"/>
    </row>
    <row r="219">
      <c r="A219" s="252" t="str">
        <f>IFERROR(__xludf.DUMMYFUNCTION("""COMPUTED_VALUE"""),"m000132")</f>
        <v>m000132</v>
      </c>
      <c r="B219" s="252" t="str">
        <f>IFERROR(__xludf.DUMMYFUNCTION("""COMPUTED_VALUE"""),"C-33  RXKR45")</f>
        <v>C-33  RXKR45</v>
      </c>
      <c r="C219" s="252" t="str">
        <f>IFERROR(__xludf.DUMMYFUNCTION("""COMPUTED_VALUE"""),"CAMIONETA")</f>
        <v>CAMIONETA</v>
      </c>
      <c r="D219" s="252" t="str">
        <f>IFERROR(__xludf.DUMMYFUNCTION("""COMPUTED_VALUE"""),"CAMIONETA")</f>
        <v>CAMIONETA</v>
      </c>
      <c r="E219" s="252" t="str">
        <f>IFERROR(__xludf.DUMMYFUNCTION("""COMPUTED_VALUE"""),"JMC")</f>
        <v>JMC</v>
      </c>
      <c r="F219" s="252" t="str">
        <f>IFERROR(__xludf.DUMMYFUNCTION("""COMPUTED_VALUE"""),"VIGUS WOR 4X4")</f>
        <v>VIGUS WOR 4X4</v>
      </c>
      <c r="G219" s="252">
        <f>IFERROR(__xludf.DUMMYFUNCTION("""COMPUTED_VALUE"""),2022.0)</f>
        <v>2022</v>
      </c>
      <c r="H219" s="252"/>
      <c r="I219" s="252"/>
      <c r="J219" s="252" t="str">
        <f>IFERROR(__xludf.DUMMYFUNCTION("""COMPUTED_VALUE"""),"RXKR45")</f>
        <v>RXKR45</v>
      </c>
      <c r="K219" s="252" t="str">
        <f>IFERROR(__xludf.DUMMYFUNCTION("""COMPUTED_VALUE"""),"ITAU")</f>
        <v>ITAU</v>
      </c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  <c r="AA219" s="252"/>
      <c r="AB219" s="252" t="str">
        <f>IFERROR(__xludf.DUMMYFUNCTION("""COMPUTED_VALUE"""),"Discontinuado")</f>
        <v>Discontinuado</v>
      </c>
      <c r="AC219" s="252"/>
      <c r="AD219" s="252"/>
      <c r="AE219" s="252" t="str">
        <f>IFERROR(__xludf.DUMMYFUNCTION("""COMPUTED_VALUE"""),"Sin incidentes")</f>
        <v>Sin incidentes</v>
      </c>
      <c r="AF219" s="252">
        <f>IFERROR(__xludf.DUMMYFUNCTION("""COMPUTED_VALUE"""),1.0)</f>
        <v>1</v>
      </c>
      <c r="AG219" s="252" t="str">
        <f>IFERROR(__xludf.DUMMYFUNCTION("""COMPUTED_VALUE"""),"[C-33  RXKR45] - JMC VIGUS WOR 4X4")</f>
        <v>[C-33  RXKR45] - JMC VIGUS WOR 4X4</v>
      </c>
      <c r="AH219" s="252">
        <f>IFERROR(__xludf.DUMMYFUNCTION("""COMPUTED_VALUE"""),612.0)</f>
        <v>612</v>
      </c>
      <c r="AI219" s="252"/>
      <c r="AJ219" s="882">
        <f>IFERROR(__xludf.DUMMYFUNCTION("""COMPUTED_VALUE"""),46003.617210648146)</f>
        <v>46003.61721</v>
      </c>
      <c r="AK219" s="252"/>
      <c r="AL219" s="880" t="str">
        <f>IFERROR(__xludf.DUMMYFUNCTION("""COMPUTED_VALUE"""),"")</f>
        <v/>
      </c>
      <c r="AM219" s="880" t="str">
        <f>IFERROR(__xludf.DUMMYFUNCTION("""COMPUTED_VALUE"""),"")</f>
        <v/>
      </c>
      <c r="AN219" s="252" t="str">
        <f>IFERROR(__xludf.DUMMYFUNCTION("""COMPUTED_VALUE"""),"OT241205110911")</f>
        <v>OT241205110911</v>
      </c>
      <c r="AO219" s="252" t="str">
        <f>IFERROR(__xludf.DUMMYFUNCTION("""COMPUTED_VALUE"""),"Hr")</f>
        <v>Hr</v>
      </c>
      <c r="AP219" s="252" t="str">
        <f>IFERROR(__xludf.DUMMYFUNCTION("""COMPUTED_VALUE"""),"IS250409085832")</f>
        <v>IS250409085832</v>
      </c>
      <c r="AQ219" s="252"/>
      <c r="AR219" s="252"/>
      <c r="AS219" s="881">
        <f>IFERROR(__xludf.DUMMYFUNCTION("""COMPUTED_VALUE"""),44927.0)</f>
        <v>44927</v>
      </c>
      <c r="AT219" s="881">
        <f>IFERROR(__xludf.DUMMYFUNCTION("""COMPUTED_VALUE"""),44927.0)</f>
        <v>44927</v>
      </c>
      <c r="AU219" s="252"/>
      <c r="AV219" s="252" t="str">
        <f>IFERROR(__xludf.DUMMYFUNCTION("""COMPUTED_VALUE"""),"RCO251212153338")</f>
        <v>RCO251212153338</v>
      </c>
      <c r="AW219" s="252">
        <f>IFERROR(__xludf.DUMMYFUNCTION("""COMPUTED_VALUE"""),66.0)</f>
        <v>66</v>
      </c>
      <c r="AX219" s="252">
        <f>IFERROR(__xludf.DUMMYFUNCTION("""COMPUTED_VALUE"""),0.0)</f>
        <v>0</v>
      </c>
      <c r="AY219" s="252"/>
      <c r="AZ219" s="881">
        <f>IFERROR(__xludf.DUMMYFUNCTION("""COMPUTED_VALUE"""),46003.0)</f>
        <v>46003</v>
      </c>
    </row>
    <row r="220">
      <c r="A220" s="252" t="str">
        <f>IFERROR(__xludf.DUMMYFUNCTION("""COMPUTED_VALUE"""),"m000133")</f>
        <v>m000133</v>
      </c>
      <c r="B220" s="252" t="str">
        <f>IFERROR(__xludf.DUMMYFUNCTION("""COMPUTED_VALUE"""),"C-34 HJCF 11")</f>
        <v>C-34 HJCF 11</v>
      </c>
      <c r="C220" s="252" t="str">
        <f>IFERROR(__xludf.DUMMYFUNCTION("""COMPUTED_VALUE"""),"CAMIONETA")</f>
        <v>CAMIONETA</v>
      </c>
      <c r="D220" s="252" t="str">
        <f>IFERROR(__xludf.DUMMYFUNCTION("""COMPUTED_VALUE"""),"CAMIONETA")</f>
        <v>CAMIONETA</v>
      </c>
      <c r="E220" s="252" t="str">
        <f>IFERROR(__xludf.DUMMYFUNCTION("""COMPUTED_VALUE"""),"MAHINDRA")</f>
        <v>MAHINDRA</v>
      </c>
      <c r="F220" s="252" t="str">
        <f>IFERROR(__xludf.DUMMYFUNCTION("""COMPUTED_VALUE"""),"PIC UP 4X2 2,2cc CAB SIMPLE")</f>
        <v>PIC UP 4X2 2,2cc CAB SIMPLE</v>
      </c>
      <c r="G220" s="252">
        <f>IFERROR(__xludf.DUMMYFUNCTION("""COMPUTED_VALUE"""),2015.0)</f>
        <v>2015</v>
      </c>
      <c r="H220" s="252"/>
      <c r="I220" s="252"/>
      <c r="J220" s="252" t="str">
        <f>IFERROR(__xludf.DUMMYFUNCTION("""COMPUTED_VALUE"""),"HJCF 11")</f>
        <v>HJCF 11</v>
      </c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  <c r="AA220" s="252"/>
      <c r="AB220" s="252" t="str">
        <f>IFERROR(__xludf.DUMMYFUNCTION("""COMPUTED_VALUE"""),"Discontinuado")</f>
        <v>Discontinuado</v>
      </c>
      <c r="AC220" s="252"/>
      <c r="AD220" s="252"/>
      <c r="AE220" s="252" t="str">
        <f>IFERROR(__xludf.DUMMYFUNCTION("""COMPUTED_VALUE"""),"Sin incidentes")</f>
        <v>Sin incidentes</v>
      </c>
      <c r="AF220" s="252">
        <f>IFERROR(__xludf.DUMMYFUNCTION("""COMPUTED_VALUE"""),1.0)</f>
        <v>1</v>
      </c>
      <c r="AG220" s="252" t="str">
        <f>IFERROR(__xludf.DUMMYFUNCTION("""COMPUTED_VALUE"""),"[C-34 HJCF 11] - MAHINDRA PIC UP 4X2 2,2cc CAB SIMPLE")</f>
        <v>[C-34 HJCF 11] - MAHINDRA PIC UP 4X2 2,2cc CAB SIMPLE</v>
      </c>
      <c r="AH220" s="252"/>
      <c r="AI220" s="252"/>
      <c r="AJ220" s="252"/>
      <c r="AK220" s="252"/>
      <c r="AL220" s="880" t="str">
        <f>IFERROR(__xludf.DUMMYFUNCTION("""COMPUTED_VALUE"""),"")</f>
        <v/>
      </c>
      <c r="AM220" s="880" t="str">
        <f>IFERROR(__xludf.DUMMYFUNCTION("""COMPUTED_VALUE"""),"")</f>
        <v/>
      </c>
      <c r="AN220" s="252"/>
      <c r="AO220" s="252" t="str">
        <f>IFERROR(__xludf.DUMMYFUNCTION("""COMPUTED_VALUE"""),"N/A")</f>
        <v>N/A</v>
      </c>
      <c r="AP220" s="252"/>
      <c r="AQ220" s="252"/>
      <c r="AR220" s="252"/>
      <c r="AS220" s="881">
        <f>IFERROR(__xludf.DUMMYFUNCTION("""COMPUTED_VALUE"""),44927.0)</f>
        <v>44927</v>
      </c>
      <c r="AT220" s="881">
        <f>IFERROR(__xludf.DUMMYFUNCTION("""COMPUTED_VALUE"""),44927.0)</f>
        <v>44927</v>
      </c>
      <c r="AU220" s="252"/>
      <c r="AV220" s="252"/>
      <c r="AW220" s="252"/>
      <c r="AX220" s="252"/>
      <c r="AY220" s="252"/>
      <c r="AZ220" s="252"/>
    </row>
    <row r="221">
      <c r="A221" s="252" t="str">
        <f>IFERROR(__xludf.DUMMYFUNCTION("""COMPUTED_VALUE"""),"m000134")</f>
        <v>m000134</v>
      </c>
      <c r="B221" s="252" t="str">
        <f>IFERROR(__xludf.DUMMYFUNCTION("""COMPUTED_VALUE"""),"C-35 SCSL76")</f>
        <v>C-35 SCSL76</v>
      </c>
      <c r="C221" s="252" t="str">
        <f>IFERROR(__xludf.DUMMYFUNCTION("""COMPUTED_VALUE"""),"CAMIONETA")</f>
        <v>CAMIONETA</v>
      </c>
      <c r="D221" s="252" t="str">
        <f>IFERROR(__xludf.DUMMYFUNCTION("""COMPUTED_VALUE"""),"CAMIONETA")</f>
        <v>CAMIONETA</v>
      </c>
      <c r="E221" s="252" t="str">
        <f>IFERROR(__xludf.DUMMYFUNCTION("""COMPUTED_VALUE"""),"JMC")</f>
        <v>JMC</v>
      </c>
      <c r="F221" s="252" t="str">
        <f>IFERROR(__xludf.DUMMYFUNCTION("""COMPUTED_VALUE"""),"VIGUS WOR LX 4X4")</f>
        <v>VIGUS WOR LX 4X4</v>
      </c>
      <c r="G221" s="252">
        <f>IFERROR(__xludf.DUMMYFUNCTION("""COMPUTED_VALUE"""),2022.0)</f>
        <v>2022</v>
      </c>
      <c r="H221" s="252"/>
      <c r="I221" s="252"/>
      <c r="J221" s="252" t="str">
        <f>IFERROR(__xludf.DUMMYFUNCTION("""COMPUTED_VALUE"""),"SCSL76")</f>
        <v>SCSL76</v>
      </c>
      <c r="K221" s="252" t="str">
        <f>IFERROR(__xludf.DUMMYFUNCTION("""COMPUTED_VALUE"""),"ITAU")</f>
        <v>ITAU</v>
      </c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  <c r="AA221" s="252"/>
      <c r="AB221" s="252" t="str">
        <f>IFERROR(__xludf.DUMMYFUNCTION("""COMPUTED_VALUE"""),"En producción")</f>
        <v>En producción</v>
      </c>
      <c r="AC221" s="252"/>
      <c r="AD221" s="252">
        <f>IFERROR(__xludf.DUMMYFUNCTION("""COMPUTED_VALUE"""),488.0)</f>
        <v>488</v>
      </c>
      <c r="AE221" s="252" t="str">
        <f>IFERROR(__xludf.DUMMYFUNCTION("""COMPUTED_VALUE"""),"Sin incidentes")</f>
        <v>Sin incidentes</v>
      </c>
      <c r="AF221" s="252">
        <f>IFERROR(__xludf.DUMMYFUNCTION("""COMPUTED_VALUE"""),1.0)</f>
        <v>1</v>
      </c>
      <c r="AG221" s="252" t="str">
        <f>IFERROR(__xludf.DUMMYFUNCTION("""COMPUTED_VALUE"""),"[C-35 SCSL76] - JMC VIGUS WOR LX 4X4")</f>
        <v>[C-35 SCSL76] - JMC VIGUS WOR LX 4X4</v>
      </c>
      <c r="AH221" s="252">
        <f>IFERROR(__xludf.DUMMYFUNCTION("""COMPUTED_VALUE"""),1.0)</f>
        <v>1</v>
      </c>
      <c r="AI221" s="252">
        <f>IFERROR(__xludf.DUMMYFUNCTION("""COMPUTED_VALUE"""),46067.0)</f>
        <v>46067</v>
      </c>
      <c r="AJ221" s="882">
        <f>IFERROR(__xludf.DUMMYFUNCTION("""COMPUTED_VALUE"""),46095.265173611115)</f>
        <v>46095.26517</v>
      </c>
      <c r="AK221" s="882">
        <f>IFERROR(__xludf.DUMMYFUNCTION("""COMPUTED_VALUE"""),46095.265231481484)</f>
        <v>46095.26523</v>
      </c>
      <c r="AL221" s="252"/>
      <c r="AM221" s="880">
        <f>IFERROR(__xludf.DUMMYFUNCTION("""COMPUTED_VALUE"""),50145.0)</f>
        <v>50145</v>
      </c>
      <c r="AN221" s="252" t="str">
        <f>IFERROR(__xludf.DUMMYFUNCTION("""COMPUTED_VALUE"""),"OT250303173737")</f>
        <v>OT250303173737</v>
      </c>
      <c r="AO221" s="252" t="str">
        <f>IFERROR(__xludf.DUMMYFUNCTION("""COMPUTED_VALUE"""),"Km")</f>
        <v>Km</v>
      </c>
      <c r="AP221" s="252" t="str">
        <f>IFERROR(__xludf.DUMMYFUNCTION("""COMPUTED_VALUE"""),"IS260311163911")</f>
        <v>IS260311163911</v>
      </c>
      <c r="AQ221" s="252"/>
      <c r="AR221" s="252">
        <f>IFERROR(__xludf.DUMMYFUNCTION("""COMPUTED_VALUE"""),40145.0)</f>
        <v>40145</v>
      </c>
      <c r="AS221" s="881">
        <f>IFERROR(__xludf.DUMMYFUNCTION("""COMPUTED_VALUE"""),44927.0)</f>
        <v>44927</v>
      </c>
      <c r="AT221" s="881">
        <f>IFERROR(__xludf.DUMMYFUNCTION("""COMPUTED_VALUE"""),44927.0)</f>
        <v>44927</v>
      </c>
      <c r="AU221" s="252" t="str">
        <f>IFERROR(__xludf.DUMMYFUNCTION("""COMPUTED_VALUE"""),"RDC251024115924")</f>
        <v>RDC251024115924</v>
      </c>
      <c r="AV221" s="252" t="str">
        <f>IFERROR(__xludf.DUMMYFUNCTION("""COMPUTED_VALUE"""),"RCO260314081905")</f>
        <v>RCO260314081905</v>
      </c>
      <c r="AW221" s="252">
        <f>IFERROR(__xludf.DUMMYFUNCTION("""COMPUTED_VALUE"""),24.0)</f>
        <v>24</v>
      </c>
      <c r="AX221" s="252">
        <f>IFERROR(__xludf.DUMMYFUNCTION("""COMPUTED_VALUE"""),0.0)</f>
        <v>0</v>
      </c>
      <c r="AY221" s="252">
        <f>IFERROR(__xludf.DUMMYFUNCTION("""COMPUTED_VALUE"""),48.0)</f>
        <v>48</v>
      </c>
      <c r="AZ221" s="883">
        <f>IFERROR(__xludf.DUMMYFUNCTION("""COMPUTED_VALUE"""),46095.0)</f>
        <v>46095</v>
      </c>
    </row>
    <row r="222">
      <c r="A222" s="252" t="str">
        <f>IFERROR(__xludf.DUMMYFUNCTION("""COMPUTED_VALUE"""),"m000135")</f>
        <v>m000135</v>
      </c>
      <c r="B222" s="252" t="str">
        <f>IFERROR(__xludf.DUMMYFUNCTION("""COMPUTED_VALUE"""),"C-45  SLCT29")</f>
        <v>C-45  SLCT29</v>
      </c>
      <c r="C222" s="252" t="str">
        <f>IFERROR(__xludf.DUMMYFUNCTION("""COMPUTED_VALUE"""),"CAMIONETA")</f>
        <v>CAMIONETA</v>
      </c>
      <c r="D222" s="252" t="str">
        <f>IFERROR(__xludf.DUMMYFUNCTION("""COMPUTED_VALUE"""),"CAMIONETA")</f>
        <v>CAMIONETA</v>
      </c>
      <c r="E222" s="252" t="str">
        <f>IFERROR(__xludf.DUMMYFUNCTION("""COMPUTED_VALUE"""),"MAXUS")</f>
        <v>MAXUS</v>
      </c>
      <c r="F222" s="252" t="str">
        <f>IFERROR(__xludf.DUMMYFUNCTION("""COMPUTED_VALUE"""),"T60 DX 4X4 DCAB 2,8CC")</f>
        <v>T60 DX 4X4 DCAB 2,8CC</v>
      </c>
      <c r="G222" s="252">
        <f>IFERROR(__xludf.DUMMYFUNCTION("""COMPUTED_VALUE"""),2023.0)</f>
        <v>2023</v>
      </c>
      <c r="H222" s="252"/>
      <c r="I222" s="252"/>
      <c r="J222" s="252" t="str">
        <f>IFERROR(__xludf.DUMMYFUNCTION("""COMPUTED_VALUE"""),"SLCT29")</f>
        <v>SLCT29</v>
      </c>
      <c r="K222" s="252" t="str">
        <f>IFERROR(__xludf.DUMMYFUNCTION("""COMPUTED_VALUE"""),"SANTANDER")</f>
        <v>SANTANDER</v>
      </c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  <c r="AA222" s="252"/>
      <c r="AB222" s="252" t="str">
        <f>IFERROR(__xludf.DUMMYFUNCTION("""COMPUTED_VALUE"""),"En producción")</f>
        <v>En producción</v>
      </c>
      <c r="AC222" s="252"/>
      <c r="AD222" s="252">
        <f>IFERROR(__xludf.DUMMYFUNCTION("""COMPUTED_VALUE"""),978.0)</f>
        <v>978</v>
      </c>
      <c r="AE222" s="252" t="str">
        <f>IFERROR(__xludf.DUMMYFUNCTION("""COMPUTED_VALUE"""),"Sin incidentes")</f>
        <v>Sin incidentes</v>
      </c>
      <c r="AF222" s="252">
        <f>IFERROR(__xludf.DUMMYFUNCTION("""COMPUTED_VALUE"""),1.0)</f>
        <v>1</v>
      </c>
      <c r="AG222" s="252" t="str">
        <f>IFERROR(__xludf.DUMMYFUNCTION("""COMPUTED_VALUE"""),"[C-45  SLCT29] - MAXUS T60 DX 4X4 DCAB 2,8CC")</f>
        <v>[C-45  SLCT29] - MAXUS T60 DX 4X4 DCAB 2,8CC</v>
      </c>
      <c r="AH222" s="252">
        <f>IFERROR(__xludf.DUMMYFUNCTION("""COMPUTED_VALUE"""),107284.0)</f>
        <v>107284</v>
      </c>
      <c r="AI222" s="252">
        <f>IFERROR(__xludf.DUMMYFUNCTION("""COMPUTED_VALUE"""),130391.0)</f>
        <v>130391</v>
      </c>
      <c r="AJ222" s="882">
        <f>IFERROR(__xludf.DUMMYFUNCTION("""COMPUTED_VALUE"""),46094.40484953704)</f>
        <v>46094.40485</v>
      </c>
      <c r="AK222" s="882">
        <f>IFERROR(__xludf.DUMMYFUNCTION("""COMPUTED_VALUE"""),46094.40494212963)</f>
        <v>46094.40494</v>
      </c>
      <c r="AL222" s="252"/>
      <c r="AM222" s="880">
        <f>IFERROR(__xludf.DUMMYFUNCTION("""COMPUTED_VALUE"""),138484.0)</f>
        <v>138484</v>
      </c>
      <c r="AN222" s="252" t="str">
        <f>IFERROR(__xludf.DUMMYFUNCTION("""COMPUTED_VALUE"""),"OT260219105757")</f>
        <v>OT260219105757</v>
      </c>
      <c r="AO222" s="252" t="str">
        <f>IFERROR(__xludf.DUMMYFUNCTION("""COMPUTED_VALUE"""),"Km")</f>
        <v>Km</v>
      </c>
      <c r="AP222" s="252" t="str">
        <f>IFERROR(__xludf.DUMMYFUNCTION("""COMPUTED_VALUE"""),"IS260304160431")</f>
        <v>IS260304160431</v>
      </c>
      <c r="AQ222" s="252"/>
      <c r="AR222" s="252">
        <f>IFERROR(__xludf.DUMMYFUNCTION("""COMPUTED_VALUE"""),97992.0)</f>
        <v>97992</v>
      </c>
      <c r="AS222" s="881">
        <f>IFERROR(__xludf.DUMMYFUNCTION("""COMPUTED_VALUE"""),44927.0)</f>
        <v>44927</v>
      </c>
      <c r="AT222" s="881">
        <f>IFERROR(__xludf.DUMMYFUNCTION("""COMPUTED_VALUE"""),44927.0)</f>
        <v>44927</v>
      </c>
      <c r="AU222" s="252" t="str">
        <f>IFERROR(__xludf.DUMMYFUNCTION("""COMPUTED_VALUE"""),"RDC260310081852")</f>
        <v>RDC260310081852</v>
      </c>
      <c r="AV222" s="252" t="str">
        <f>IFERROR(__xludf.DUMMYFUNCTION("""COMPUTED_VALUE"""),"RCO260313113356")</f>
        <v>RCO260313113356</v>
      </c>
      <c r="AW222" s="252">
        <f>IFERROR(__xludf.DUMMYFUNCTION("""COMPUTED_VALUE"""),55.0)</f>
        <v>55</v>
      </c>
      <c r="AX222" s="252">
        <f>IFERROR(__xludf.DUMMYFUNCTION("""COMPUTED_VALUE"""),0.0)</f>
        <v>0</v>
      </c>
      <c r="AY222" s="252">
        <f>IFERROR(__xludf.DUMMYFUNCTION("""COMPUTED_VALUE"""),395.0)</f>
        <v>395</v>
      </c>
      <c r="AZ222" s="881">
        <f>IFERROR(__xludf.DUMMYFUNCTION("""COMPUTED_VALUE"""),46094.0)</f>
        <v>46094</v>
      </c>
    </row>
    <row r="223">
      <c r="A223" s="252" t="str">
        <f>IFERROR(__xludf.DUMMYFUNCTION("""COMPUTED_VALUE"""),"m000136")</f>
        <v>m000136</v>
      </c>
      <c r="B223" s="252" t="str">
        <f>IFERROR(__xludf.DUMMYFUNCTION("""COMPUTED_VALUE"""),"C-37 SLCT28")</f>
        <v>C-37 SLCT28</v>
      </c>
      <c r="C223" s="252" t="str">
        <f>IFERROR(__xludf.DUMMYFUNCTION("""COMPUTED_VALUE"""),"CAMIONETA")</f>
        <v>CAMIONETA</v>
      </c>
      <c r="D223" s="252" t="str">
        <f>IFERROR(__xludf.DUMMYFUNCTION("""COMPUTED_VALUE"""),"CAMIONETA")</f>
        <v>CAMIONETA</v>
      </c>
      <c r="E223" s="252" t="str">
        <f>IFERROR(__xludf.DUMMYFUNCTION("""COMPUTED_VALUE"""),"MAXUS")</f>
        <v>MAXUS</v>
      </c>
      <c r="F223" s="252" t="str">
        <f>IFERROR(__xludf.DUMMYFUNCTION("""COMPUTED_VALUE"""),"T60 DX 4X4 DCAB 2,8CC")</f>
        <v>T60 DX 4X4 DCAB 2,8CC</v>
      </c>
      <c r="G223" s="252">
        <f>IFERROR(__xludf.DUMMYFUNCTION("""COMPUTED_VALUE"""),2023.0)</f>
        <v>2023</v>
      </c>
      <c r="H223" s="252"/>
      <c r="I223" s="252"/>
      <c r="J223" s="252" t="str">
        <f>IFERROR(__xludf.DUMMYFUNCTION("""COMPUTED_VALUE"""),"SLCT28")</f>
        <v>SLCT28</v>
      </c>
      <c r="K223" s="252" t="str">
        <f>IFERROR(__xludf.DUMMYFUNCTION("""COMPUTED_VALUE"""),"SANTANDER")</f>
        <v>SANTANDER</v>
      </c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  <c r="AA223" s="252"/>
      <c r="AB223" s="252" t="str">
        <f>IFERROR(__xludf.DUMMYFUNCTION("""COMPUTED_VALUE"""),"En producción")</f>
        <v>En producción</v>
      </c>
      <c r="AC223" s="252"/>
      <c r="AD223" s="252">
        <f>IFERROR(__xludf.DUMMYFUNCTION("""COMPUTED_VALUE"""),680.0)</f>
        <v>680</v>
      </c>
      <c r="AE223" s="252" t="str">
        <f>IFERROR(__xludf.DUMMYFUNCTION("""COMPUTED_VALUE"""),"Sin incidentes")</f>
        <v>Sin incidentes</v>
      </c>
      <c r="AF223" s="252">
        <f>IFERROR(__xludf.DUMMYFUNCTION("""COMPUTED_VALUE"""),1.0)</f>
        <v>1</v>
      </c>
      <c r="AG223" s="252" t="str">
        <f>IFERROR(__xludf.DUMMYFUNCTION("""COMPUTED_VALUE"""),"[C-37 SLCT28] - MAXUS T60 DX 4X4 DCAB 2,8CC")</f>
        <v>[C-37 SLCT28] - MAXUS T60 DX 4X4 DCAB 2,8CC</v>
      </c>
      <c r="AH223" s="252">
        <f>IFERROR(__xludf.DUMMYFUNCTION("""COMPUTED_VALUE"""),0.0)</f>
        <v>0</v>
      </c>
      <c r="AI223" s="252">
        <f>IFERROR(__xludf.DUMMYFUNCTION("""COMPUTED_VALUE"""),112046.0)</f>
        <v>112046</v>
      </c>
      <c r="AJ223" s="882">
        <f>IFERROR(__xludf.DUMMYFUNCTION("""COMPUTED_VALUE"""),45775.44368055555)</f>
        <v>45775.44368</v>
      </c>
      <c r="AK223" s="882">
        <f>IFERROR(__xludf.DUMMYFUNCTION("""COMPUTED_VALUE"""),46093.45873842593)</f>
        <v>46093.45874</v>
      </c>
      <c r="AL223" s="252"/>
      <c r="AM223" s="880">
        <f>IFERROR(__xludf.DUMMYFUNCTION("""COMPUTED_VALUE"""),118992.0)</f>
        <v>118992</v>
      </c>
      <c r="AN223" s="252" t="str">
        <f>IFERROR(__xludf.DUMMYFUNCTION("""COMPUTED_VALUE"""),"OT260210112446")</f>
        <v>OT260210112446</v>
      </c>
      <c r="AO223" s="252" t="str">
        <f>IFERROR(__xludf.DUMMYFUNCTION("""COMPUTED_VALUE"""),"Km")</f>
        <v>Km</v>
      </c>
      <c r="AP223" s="252" t="str">
        <f>IFERROR(__xludf.DUMMYFUNCTION("""COMPUTED_VALUE"""),"IS260310101321")</f>
        <v>IS260310101321</v>
      </c>
      <c r="AQ223" s="252"/>
      <c r="AR223" s="252">
        <f>IFERROR(__xludf.DUMMYFUNCTION("""COMPUTED_VALUE"""),74283.0)</f>
        <v>74283</v>
      </c>
      <c r="AS223" s="881">
        <f>IFERROR(__xludf.DUMMYFUNCTION("""COMPUTED_VALUE"""),44927.0)</f>
        <v>44927</v>
      </c>
      <c r="AT223" s="881">
        <f>IFERROR(__xludf.DUMMYFUNCTION("""COMPUTED_VALUE"""),44927.0)</f>
        <v>44927</v>
      </c>
      <c r="AU223" s="252" t="str">
        <f>IFERROR(__xludf.DUMMYFUNCTION("""COMPUTED_VALUE"""),"RDC260216133210")</f>
        <v>RDC260216133210</v>
      </c>
      <c r="AV223" s="252" t="str">
        <f>IFERROR(__xludf.DUMMYFUNCTION("""COMPUTED_VALUE"""),"RCO260312125543")</f>
        <v>RCO260312125543</v>
      </c>
      <c r="AW223" s="252">
        <f>IFERROR(__xludf.DUMMYFUNCTION("""COMPUTED_VALUE"""),38.0)</f>
        <v>38</v>
      </c>
      <c r="AX223" s="252"/>
      <c r="AY223" s="252">
        <f>IFERROR(__xludf.DUMMYFUNCTION("""COMPUTED_VALUE"""),373.0)</f>
        <v>373</v>
      </c>
      <c r="AZ223" s="881">
        <f>IFERROR(__xludf.DUMMYFUNCTION("""COMPUTED_VALUE"""),46093.0)</f>
        <v>46093</v>
      </c>
    </row>
    <row r="224">
      <c r="A224" s="252" t="str">
        <f>IFERROR(__xludf.DUMMYFUNCTION("""COMPUTED_VALUE"""),"m000137")</f>
        <v>m000137</v>
      </c>
      <c r="B224" s="252" t="str">
        <f>IFERROR(__xludf.DUMMYFUNCTION("""COMPUTED_VALUE"""),"C-38 SRPL59")</f>
        <v>C-38 SRPL59</v>
      </c>
      <c r="C224" s="252" t="str">
        <f>IFERROR(__xludf.DUMMYFUNCTION("""COMPUTED_VALUE"""),"CAMIONETA")</f>
        <v>CAMIONETA</v>
      </c>
      <c r="D224" s="252" t="str">
        <f>IFERROR(__xludf.DUMMYFUNCTION("""COMPUTED_VALUE"""),"CAMIONETA")</f>
        <v>CAMIONETA</v>
      </c>
      <c r="E224" s="252" t="str">
        <f>IFERROR(__xludf.DUMMYFUNCTION("""COMPUTED_VALUE"""),"MAXUS")</f>
        <v>MAXUS</v>
      </c>
      <c r="F224" s="252" t="str">
        <f>IFERROR(__xludf.DUMMYFUNCTION("""COMPUTED_VALUE"""),"T60 DX 4X4 CABSIM 2,8CC")</f>
        <v>T60 DX 4X4 CABSIM 2,8CC</v>
      </c>
      <c r="G224" s="252">
        <f>IFERROR(__xludf.DUMMYFUNCTION("""COMPUTED_VALUE"""),2023.0)</f>
        <v>2023</v>
      </c>
      <c r="H224" s="252"/>
      <c r="I224" s="252"/>
      <c r="J224" s="252" t="str">
        <f>IFERROR(__xludf.DUMMYFUNCTION("""COMPUTED_VALUE"""),"SRPL59")</f>
        <v>SRPL59</v>
      </c>
      <c r="K224" s="252" t="str">
        <f>IFERROR(__xludf.DUMMYFUNCTION("""COMPUTED_VALUE"""),"SANTANDER")</f>
        <v>SANTANDER</v>
      </c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  <c r="AA224" s="252"/>
      <c r="AB224" s="252" t="str">
        <f>IFERROR(__xludf.DUMMYFUNCTION("""COMPUTED_VALUE"""),"En producción")</f>
        <v>En producción</v>
      </c>
      <c r="AC224" s="252"/>
      <c r="AD224" s="252">
        <f>IFERROR(__xludf.DUMMYFUNCTION("""COMPUTED_VALUE"""),561.0)</f>
        <v>561</v>
      </c>
      <c r="AE224" s="252" t="str">
        <f>IFERROR(__xludf.DUMMYFUNCTION("""COMPUTED_VALUE"""),"Sin incidentes")</f>
        <v>Sin incidentes</v>
      </c>
      <c r="AF224" s="252">
        <f>IFERROR(__xludf.DUMMYFUNCTION("""COMPUTED_VALUE"""),1.0)</f>
        <v>1</v>
      </c>
      <c r="AG224" s="252" t="str">
        <f>IFERROR(__xludf.DUMMYFUNCTION("""COMPUTED_VALUE"""),"[C-38 SRPL59] - MAXUS T60 DX 4X4 CABSIM 2,8CC")</f>
        <v>[C-38 SRPL59] - MAXUS T60 DX 4X4 CABSIM 2,8CC</v>
      </c>
      <c r="AH224" s="252">
        <f>IFERROR(__xludf.DUMMYFUNCTION("""COMPUTED_VALUE"""),110579.0)</f>
        <v>110579</v>
      </c>
      <c r="AI224" s="252">
        <f>IFERROR(__xludf.DUMMYFUNCTION("""COMPUTED_VALUE"""),152250.0)</f>
        <v>152250</v>
      </c>
      <c r="AJ224" s="882">
        <f>IFERROR(__xludf.DUMMYFUNCTION("""COMPUTED_VALUE"""),46096.415034722224)</f>
        <v>46096.41503</v>
      </c>
      <c r="AK224" s="882">
        <f>IFERROR(__xludf.DUMMYFUNCTION("""COMPUTED_VALUE"""),46096.41506944445)</f>
        <v>46096.41507</v>
      </c>
      <c r="AL224" s="252"/>
      <c r="AM224" s="880">
        <f>IFERROR(__xludf.DUMMYFUNCTION("""COMPUTED_VALUE"""),161276.0)</f>
        <v>161276</v>
      </c>
      <c r="AN224" s="252" t="str">
        <f>IFERROR(__xludf.DUMMYFUNCTION("""COMPUTED_VALUE"""),"OT260304162820")</f>
        <v>OT260304162820</v>
      </c>
      <c r="AO224" s="252" t="str">
        <f>IFERROR(__xludf.DUMMYFUNCTION("""COMPUTED_VALUE"""),"Km")</f>
        <v>Km</v>
      </c>
      <c r="AP224" s="252" t="str">
        <f>IFERROR(__xludf.DUMMYFUNCTION("""COMPUTED_VALUE"""),"IS260126133729")</f>
        <v>IS260126133729</v>
      </c>
      <c r="AQ224" s="252"/>
      <c r="AR224" s="252">
        <f>IFERROR(__xludf.DUMMYFUNCTION("""COMPUTED_VALUE"""),105169.0)</f>
        <v>105169</v>
      </c>
      <c r="AS224" s="881">
        <f>IFERROR(__xludf.DUMMYFUNCTION("""COMPUTED_VALUE"""),44927.0)</f>
        <v>44927</v>
      </c>
      <c r="AT224" s="881">
        <f>IFERROR(__xludf.DUMMYFUNCTION("""COMPUTED_VALUE"""),44927.0)</f>
        <v>44927</v>
      </c>
      <c r="AU224" s="252" t="str">
        <f>IFERROR(__xludf.DUMMYFUNCTION("""COMPUTED_VALUE"""),"RDC260210094901")</f>
        <v>RDC260210094901</v>
      </c>
      <c r="AV224" s="252" t="str">
        <f>IFERROR(__xludf.DUMMYFUNCTION("""COMPUTED_VALUE"""),"RCO260315115246")</f>
        <v>RCO260315115246</v>
      </c>
      <c r="AW224" s="252">
        <f>IFERROR(__xludf.DUMMYFUNCTION("""COMPUTED_VALUE"""),42.0)</f>
        <v>42</v>
      </c>
      <c r="AX224" s="252">
        <f>IFERROR(__xludf.DUMMYFUNCTION("""COMPUTED_VALUE"""),0.0)</f>
        <v>0</v>
      </c>
      <c r="AY224" s="252">
        <f>IFERROR(__xludf.DUMMYFUNCTION("""COMPUTED_VALUE"""),302.0)</f>
        <v>302</v>
      </c>
      <c r="AZ224" s="884">
        <f>IFERROR(__xludf.DUMMYFUNCTION("""COMPUTED_VALUE"""),46096.0)</f>
        <v>46096</v>
      </c>
    </row>
    <row r="225">
      <c r="A225" s="252" t="str">
        <f>IFERROR(__xludf.DUMMYFUNCTION("""COMPUTED_VALUE"""),"m000138")</f>
        <v>m000138</v>
      </c>
      <c r="B225" s="252" t="str">
        <f>IFERROR(__xludf.DUMMYFUNCTION("""COMPUTED_VALUE"""),"C-39 SRPL60")</f>
        <v>C-39 SRPL60</v>
      </c>
      <c r="C225" s="252" t="str">
        <f>IFERROR(__xludf.DUMMYFUNCTION("""COMPUTED_VALUE"""),"CAMIONETA")</f>
        <v>CAMIONETA</v>
      </c>
      <c r="D225" s="252" t="str">
        <f>IFERROR(__xludf.DUMMYFUNCTION("""COMPUTED_VALUE"""),"CAMIONETA")</f>
        <v>CAMIONETA</v>
      </c>
      <c r="E225" s="252" t="str">
        <f>IFERROR(__xludf.DUMMYFUNCTION("""COMPUTED_VALUE"""),"MAXUS")</f>
        <v>MAXUS</v>
      </c>
      <c r="F225" s="252" t="str">
        <f>IFERROR(__xludf.DUMMYFUNCTION("""COMPUTED_VALUE"""),"T60 DX 4X4 CABSIM 2,8CC")</f>
        <v>T60 DX 4X4 CABSIM 2,8CC</v>
      </c>
      <c r="G225" s="252">
        <f>IFERROR(__xludf.DUMMYFUNCTION("""COMPUTED_VALUE"""),2023.0)</f>
        <v>2023</v>
      </c>
      <c r="H225" s="252"/>
      <c r="I225" s="252"/>
      <c r="J225" s="252" t="str">
        <f>IFERROR(__xludf.DUMMYFUNCTION("""COMPUTED_VALUE"""),"SRPL60")</f>
        <v>SRPL60</v>
      </c>
      <c r="K225" s="252" t="str">
        <f>IFERROR(__xludf.DUMMYFUNCTION("""COMPUTED_VALUE"""),"SANTANDER")</f>
        <v>SANTANDER</v>
      </c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  <c r="AA225" s="252"/>
      <c r="AB225" s="252" t="str">
        <f>IFERROR(__xludf.DUMMYFUNCTION("""COMPUTED_VALUE"""),"En producción")</f>
        <v>En producción</v>
      </c>
      <c r="AC225" s="252"/>
      <c r="AD225" s="252">
        <f>IFERROR(__xludf.DUMMYFUNCTION("""COMPUTED_VALUE"""),986.0)</f>
        <v>986</v>
      </c>
      <c r="AE225" s="252" t="str">
        <f>IFERROR(__xludf.DUMMYFUNCTION("""COMPUTED_VALUE"""),"Sin incidentes")</f>
        <v>Sin incidentes</v>
      </c>
      <c r="AF225" s="252">
        <f>IFERROR(__xludf.DUMMYFUNCTION("""COMPUTED_VALUE"""),1.0)</f>
        <v>1</v>
      </c>
      <c r="AG225" s="252" t="str">
        <f>IFERROR(__xludf.DUMMYFUNCTION("""COMPUTED_VALUE"""),"[C-39 SRPL60] - MAXUS T60 DX 4X4 CABSIM 2,8CC")</f>
        <v>[C-39 SRPL60] - MAXUS T60 DX 4X4 CABSIM 2,8CC</v>
      </c>
      <c r="AH225" s="252">
        <f>IFERROR(__xludf.DUMMYFUNCTION("""COMPUTED_VALUE"""),71963.0)</f>
        <v>71963</v>
      </c>
      <c r="AI225" s="252">
        <f>IFERROR(__xludf.DUMMYFUNCTION("""COMPUTED_VALUE"""),87086.0)</f>
        <v>87086</v>
      </c>
      <c r="AJ225" s="882">
        <f>IFERROR(__xludf.DUMMYFUNCTION("""COMPUTED_VALUE"""),46096.4437962963)</f>
        <v>46096.4438</v>
      </c>
      <c r="AK225" s="882">
        <f>IFERROR(__xludf.DUMMYFUNCTION("""COMPUTED_VALUE"""),46096.44384259259)</f>
        <v>46096.44384</v>
      </c>
      <c r="AL225" s="252"/>
      <c r="AM225" s="880">
        <f>IFERROR(__xludf.DUMMYFUNCTION("""COMPUTED_VALUE"""),87175.0)</f>
        <v>87175</v>
      </c>
      <c r="AN225" s="252" t="str">
        <f>IFERROR(__xludf.DUMMYFUNCTION("""COMPUTED_VALUE"""),"OT251218175619")</f>
        <v>OT251218175619</v>
      </c>
      <c r="AO225" s="252" t="str">
        <f>IFERROR(__xludf.DUMMYFUNCTION("""COMPUTED_VALUE"""),"Km")</f>
        <v>Km</v>
      </c>
      <c r="AP225" s="252" t="str">
        <f>IFERROR(__xludf.DUMMYFUNCTION("""COMPUTED_VALUE"""),"IS260212173817")</f>
        <v>IS260212173817</v>
      </c>
      <c r="AQ225" s="252"/>
      <c r="AR225" s="252">
        <f>IFERROR(__xludf.DUMMYFUNCTION("""COMPUTED_VALUE"""),41558.0)</f>
        <v>41558</v>
      </c>
      <c r="AS225" s="881">
        <f>IFERROR(__xludf.DUMMYFUNCTION("""COMPUTED_VALUE"""),44927.0)</f>
        <v>44927</v>
      </c>
      <c r="AT225" s="881">
        <f>IFERROR(__xludf.DUMMYFUNCTION("""COMPUTED_VALUE"""),44927.0)</f>
        <v>44927</v>
      </c>
      <c r="AU225" s="252" t="str">
        <f>IFERROR(__xludf.DUMMYFUNCTION("""COMPUTED_VALUE"""),"RDC260216132704")</f>
        <v>RDC260216132704</v>
      </c>
      <c r="AV225" s="252" t="str">
        <f>IFERROR(__xludf.DUMMYFUNCTION("""COMPUTED_VALUE"""),"RCO260315123101")</f>
        <v>RCO260315123101</v>
      </c>
      <c r="AW225" s="252">
        <f>IFERROR(__xludf.DUMMYFUNCTION("""COMPUTED_VALUE"""),61.0)</f>
        <v>61</v>
      </c>
      <c r="AX225" s="252">
        <f>IFERROR(__xludf.DUMMYFUNCTION("""COMPUTED_VALUE"""),0.0)</f>
        <v>0</v>
      </c>
      <c r="AY225" s="252">
        <f>IFERROR(__xludf.DUMMYFUNCTION("""COMPUTED_VALUE"""),329.0)</f>
        <v>329</v>
      </c>
      <c r="AZ225" s="884">
        <f>IFERROR(__xludf.DUMMYFUNCTION("""COMPUTED_VALUE"""),46096.0)</f>
        <v>46096</v>
      </c>
    </row>
    <row r="226">
      <c r="A226" s="252" t="str">
        <f>IFERROR(__xludf.DUMMYFUNCTION("""COMPUTED_VALUE"""),"m000139")</f>
        <v>m000139</v>
      </c>
      <c r="B226" s="252" t="str">
        <f>IFERROR(__xludf.DUMMYFUNCTION("""COMPUTED_VALUE"""),"C-41 SDWX22")</f>
        <v>C-41 SDWX22</v>
      </c>
      <c r="C226" s="252" t="str">
        <f>IFERROR(__xludf.DUMMYFUNCTION("""COMPUTED_VALUE"""),"CAMIONETA")</f>
        <v>CAMIONETA</v>
      </c>
      <c r="D226" s="252" t="str">
        <f>IFERROR(__xludf.DUMMYFUNCTION("""COMPUTED_VALUE"""),"CAMIONETA")</f>
        <v>CAMIONETA</v>
      </c>
      <c r="E226" s="252" t="str">
        <f>IFERROR(__xludf.DUMMYFUNCTION("""COMPUTED_VALUE"""),"FORD")</f>
        <v>FORD</v>
      </c>
      <c r="F226" s="252" t="str">
        <f>IFERROR(__xludf.DUMMYFUNCTION("""COMPUTED_VALUE"""),"RANGER RAPTOR")</f>
        <v>RANGER RAPTOR</v>
      </c>
      <c r="G226" s="252">
        <f>IFERROR(__xludf.DUMMYFUNCTION("""COMPUTED_VALUE"""),2023.0)</f>
        <v>2023</v>
      </c>
      <c r="H226" s="252"/>
      <c r="I226" s="252"/>
      <c r="J226" s="252" t="str">
        <f>IFERROR(__xludf.DUMMYFUNCTION("""COMPUTED_VALUE"""),"SDWX22")</f>
        <v>SDWX22</v>
      </c>
      <c r="K226" s="252" t="str">
        <f>IFERROR(__xludf.DUMMYFUNCTION("""COMPUTED_VALUE"""),"ECMA")</f>
        <v>ECMA</v>
      </c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  <c r="AA226" s="252"/>
      <c r="AB226" s="252" t="str">
        <f>IFERROR(__xludf.DUMMYFUNCTION("""COMPUTED_VALUE"""),"En producción")</f>
        <v>En producción</v>
      </c>
      <c r="AC226" s="252"/>
      <c r="AD226" s="252">
        <f>IFERROR(__xludf.DUMMYFUNCTION("""COMPUTED_VALUE"""),689.0)</f>
        <v>689</v>
      </c>
      <c r="AE226" s="252" t="str">
        <f>IFERROR(__xludf.DUMMYFUNCTION("""COMPUTED_VALUE"""),"Sin incidentes")</f>
        <v>Sin incidentes</v>
      </c>
      <c r="AF226" s="252">
        <f>IFERROR(__xludf.DUMMYFUNCTION("""COMPUTED_VALUE"""),1.0)</f>
        <v>1</v>
      </c>
      <c r="AG226" s="252" t="str">
        <f>IFERROR(__xludf.DUMMYFUNCTION("""COMPUTED_VALUE"""),"[C-41 SDWX22] - FORD RANGER RAPTOR")</f>
        <v>[C-41 SDWX22] - FORD RANGER RAPTOR</v>
      </c>
      <c r="AH226" s="252"/>
      <c r="AI226" s="252">
        <f>IFERROR(__xludf.DUMMYFUNCTION("""COMPUTED_VALUE"""),103332.0)</f>
        <v>103332</v>
      </c>
      <c r="AJ226" s="252"/>
      <c r="AK226" s="882">
        <f>IFERROR(__xludf.DUMMYFUNCTION("""COMPUTED_VALUE"""),45832.5828125)</f>
        <v>45832.58281</v>
      </c>
      <c r="AL226" s="880" t="str">
        <f>IFERROR(__xludf.DUMMYFUNCTION("""COMPUTED_VALUE"""),"")</f>
        <v/>
      </c>
      <c r="AM226" s="880">
        <f>IFERROR(__xludf.DUMMYFUNCTION("""COMPUTED_VALUE"""),117550.0)</f>
        <v>117550</v>
      </c>
      <c r="AN226" s="252"/>
      <c r="AO226" s="252" t="str">
        <f>IFERROR(__xludf.DUMMYFUNCTION("""COMPUTED_VALUE"""),"Km")</f>
        <v>Km</v>
      </c>
      <c r="AP226" s="252"/>
      <c r="AQ226" s="252"/>
      <c r="AR226" s="252">
        <f>IFERROR(__xludf.DUMMYFUNCTION("""COMPUTED_VALUE"""),95924.0)</f>
        <v>95924</v>
      </c>
      <c r="AS226" s="881">
        <f>IFERROR(__xludf.DUMMYFUNCTION("""COMPUTED_VALUE"""),44927.0)</f>
        <v>44927</v>
      </c>
      <c r="AT226" s="881">
        <f>IFERROR(__xludf.DUMMYFUNCTION("""COMPUTED_VALUE"""),44927.0)</f>
        <v>44927</v>
      </c>
      <c r="AU226" s="252" t="str">
        <f>IFERROR(__xludf.DUMMYFUNCTION("""COMPUTED_VALUE"""),"RDC250528084619")</f>
        <v>RDC250528084619</v>
      </c>
      <c r="AV226" s="252" t="str">
        <f>IFERROR(__xludf.DUMMYFUNCTION("""COMPUTED_VALUE"""),"RCO250624145749")</f>
        <v>RCO250624145749</v>
      </c>
      <c r="AW226" s="252">
        <f>IFERROR(__xludf.DUMMYFUNCTION("""COMPUTED_VALUE"""),64.8)</f>
        <v>64.8</v>
      </c>
      <c r="AX226" s="252"/>
      <c r="AY226" s="252">
        <f>IFERROR(__xludf.DUMMYFUNCTION("""COMPUTED_VALUE"""),894.0)</f>
        <v>894</v>
      </c>
      <c r="AZ226" s="881">
        <f>IFERROR(__xludf.DUMMYFUNCTION("""COMPUTED_VALUE"""),45832.0)</f>
        <v>45832</v>
      </c>
    </row>
    <row r="227">
      <c r="A227" s="252" t="str">
        <f>IFERROR(__xludf.DUMMYFUNCTION("""COMPUTED_VALUE"""),"m000140")</f>
        <v>m000140</v>
      </c>
      <c r="B227" s="252" t="str">
        <f>IFERROR(__xludf.DUMMYFUNCTION("""COMPUTED_VALUE"""),"C-42 SXVL55")</f>
        <v>C-42 SXVL55</v>
      </c>
      <c r="C227" s="252" t="str">
        <f>IFERROR(__xludf.DUMMYFUNCTION("""COMPUTED_VALUE"""),"CAMIONETA")</f>
        <v>CAMIONETA</v>
      </c>
      <c r="D227" s="252" t="str">
        <f>IFERROR(__xludf.DUMMYFUNCTION("""COMPUTED_VALUE"""),"CAMIONETA")</f>
        <v>CAMIONETA</v>
      </c>
      <c r="E227" s="252" t="str">
        <f>IFERROR(__xludf.DUMMYFUNCTION("""COMPUTED_VALUE"""),"RAM ")</f>
        <v>RAM </v>
      </c>
      <c r="F227" s="252" t="str">
        <f>IFERROR(__xludf.DUMMYFUNCTION("""COMPUTED_VALUE"""),"150 BIG HORN CREW CAB")</f>
        <v>150 BIG HORN CREW CAB</v>
      </c>
      <c r="G227" s="252"/>
      <c r="H227" s="252"/>
      <c r="I227" s="252"/>
      <c r="J227" s="252" t="str">
        <f>IFERROR(__xludf.DUMMYFUNCTION("""COMPUTED_VALUE"""),"SXVL55")</f>
        <v>SXVL55</v>
      </c>
      <c r="K227" s="252" t="str">
        <f>IFERROR(__xludf.DUMMYFUNCTION("""COMPUTED_VALUE"""),"SANTANDER")</f>
        <v>SANTANDER</v>
      </c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  <c r="AA227" s="252"/>
      <c r="AB227" s="252" t="str">
        <f>IFERROR(__xludf.DUMMYFUNCTION("""COMPUTED_VALUE"""),"Fuera de la empresa")</f>
        <v>Fuera de la empresa</v>
      </c>
      <c r="AC227" s="252"/>
      <c r="AD227" s="252"/>
      <c r="AE227" s="252" t="str">
        <f>IFERROR(__xludf.DUMMYFUNCTION("""COMPUTED_VALUE"""),"Sin incidentes")</f>
        <v>Sin incidentes</v>
      </c>
      <c r="AF227" s="252">
        <f>IFERROR(__xludf.DUMMYFUNCTION("""COMPUTED_VALUE"""),1.0)</f>
        <v>1</v>
      </c>
      <c r="AG227" s="252" t="str">
        <f>IFERROR(__xludf.DUMMYFUNCTION("""COMPUTED_VALUE"""),"[C-42 SXVL55] - RAM 150 BIG HORN CREW CAB")</f>
        <v>[C-42 SXVL55] - RAM 150 BIG HORN CREW CAB</v>
      </c>
      <c r="AH227" s="252"/>
      <c r="AI227" s="252">
        <f>IFERROR(__xludf.DUMMYFUNCTION("""COMPUTED_VALUE"""),40066.0)</f>
        <v>40066</v>
      </c>
      <c r="AJ227" s="252"/>
      <c r="AK227" s="882">
        <f>IFERROR(__xludf.DUMMYFUNCTION("""COMPUTED_VALUE"""),45744.339895833335)</f>
        <v>45744.3399</v>
      </c>
      <c r="AL227" s="880" t="str">
        <f>IFERROR(__xludf.DUMMYFUNCTION("""COMPUTED_VALUE"""),"")</f>
        <v/>
      </c>
      <c r="AM227" s="880">
        <f>IFERROR(__xludf.DUMMYFUNCTION("""COMPUTED_VALUE"""),50066.0)</f>
        <v>50066</v>
      </c>
      <c r="AN227" s="252" t="str">
        <f>IFERROR(__xludf.DUMMYFUNCTION("""COMPUTED_VALUE"""),"OT250328100523")</f>
        <v>OT250328100523</v>
      </c>
      <c r="AO227" s="252" t="str">
        <f>IFERROR(__xludf.DUMMYFUNCTION("""COMPUTED_VALUE"""),"Km")</f>
        <v>Km</v>
      </c>
      <c r="AP227" s="252"/>
      <c r="AQ227" s="252"/>
      <c r="AR227" s="252">
        <f>IFERROR(__xludf.DUMMYFUNCTION("""COMPUTED_VALUE"""),40066.0)</f>
        <v>40066</v>
      </c>
      <c r="AS227" s="881">
        <f>IFERROR(__xludf.DUMMYFUNCTION("""COMPUTED_VALUE"""),44927.0)</f>
        <v>44927</v>
      </c>
      <c r="AT227" s="881">
        <f>IFERROR(__xludf.DUMMYFUNCTION("""COMPUTED_VALUE"""),44927.0)</f>
        <v>44927</v>
      </c>
      <c r="AU227" s="252"/>
      <c r="AV227" s="252"/>
      <c r="AW227" s="252"/>
      <c r="AX227" s="252"/>
      <c r="AY227" s="252"/>
      <c r="AZ227" s="252"/>
    </row>
    <row r="228">
      <c r="A228" s="252" t="str">
        <f>IFERROR(__xludf.DUMMYFUNCTION("""COMPUTED_VALUE"""),"m000141")</f>
        <v>m000141</v>
      </c>
      <c r="B228" s="252" t="str">
        <f>IFERROR(__xludf.DUMMYFUNCTION("""COMPUTED_VALUE"""),"C-43 STWW21")</f>
        <v>C-43 STWW21</v>
      </c>
      <c r="C228" s="252" t="str">
        <f>IFERROR(__xludf.DUMMYFUNCTION("""COMPUTED_VALUE"""),"CAMIONETA")</f>
        <v>CAMIONETA</v>
      </c>
      <c r="D228" s="252" t="str">
        <f>IFERROR(__xludf.DUMMYFUNCTION("""COMPUTED_VALUE"""),"CAMIONETA")</f>
        <v>CAMIONETA</v>
      </c>
      <c r="E228" s="252" t="str">
        <f>IFERROR(__xludf.DUMMYFUNCTION("""COMPUTED_VALUE"""),"MITSUBISHI")</f>
        <v>MITSUBISHI</v>
      </c>
      <c r="F228" s="252" t="str">
        <f>IFERROR(__xludf.DUMMYFUNCTION("""COMPUTED_VALUE"""),"L200 ")</f>
        <v>L200 </v>
      </c>
      <c r="G228" s="252"/>
      <c r="H228" s="252"/>
      <c r="I228" s="252"/>
      <c r="J228" s="252" t="str">
        <f>IFERROR(__xludf.DUMMYFUNCTION("""COMPUTED_VALUE"""),"STWW21")</f>
        <v>STWW21</v>
      </c>
      <c r="K228" s="252" t="str">
        <f>IFERROR(__xludf.DUMMYFUNCTION("""COMPUTED_VALUE"""),"SANTANDER")</f>
        <v>SANTANDER</v>
      </c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  <c r="AA228" s="252"/>
      <c r="AB228" s="252" t="str">
        <f>IFERROR(__xludf.DUMMYFUNCTION("""COMPUTED_VALUE"""),"Patio LL")</f>
        <v>Patio LL</v>
      </c>
      <c r="AC228" s="252"/>
      <c r="AD228" s="252">
        <f>IFERROR(__xludf.DUMMYFUNCTION("""COMPUTED_VALUE"""),1093.0)</f>
        <v>1093</v>
      </c>
      <c r="AE228" s="252" t="str">
        <f>IFERROR(__xludf.DUMMYFUNCTION("""COMPUTED_VALUE"""),"Sin incidentes")</f>
        <v>Sin incidentes</v>
      </c>
      <c r="AF228" s="252">
        <f>IFERROR(__xludf.DUMMYFUNCTION("""COMPUTED_VALUE"""),1.0)</f>
        <v>1</v>
      </c>
      <c r="AG228" s="252" t="str">
        <f>IFERROR(__xludf.DUMMYFUNCTION("""COMPUTED_VALUE"""),"[C-43 STWW21] - MITSUBISHI L200 ")</f>
        <v>[C-43 STWW21] - MITSUBISHI L200 </v>
      </c>
      <c r="AH228" s="252"/>
      <c r="AI228" s="252">
        <f>IFERROR(__xludf.DUMMYFUNCTION("""COMPUTED_VALUE"""),147710.0)</f>
        <v>147710</v>
      </c>
      <c r="AJ228" s="882">
        <f>IFERROR(__xludf.DUMMYFUNCTION("""COMPUTED_VALUE"""),45723.53990740741)</f>
        <v>45723.53991</v>
      </c>
      <c r="AK228" s="882">
        <f>IFERROR(__xludf.DUMMYFUNCTION("""COMPUTED_VALUE"""),46094.59075231481)</f>
        <v>46094.59075</v>
      </c>
      <c r="AL228" s="252"/>
      <c r="AM228" s="880">
        <f>IFERROR(__xludf.DUMMYFUNCTION("""COMPUTED_VALUE"""),157073.0)</f>
        <v>157073</v>
      </c>
      <c r="AN228" s="252" t="str">
        <f>IFERROR(__xludf.DUMMYFUNCTION("""COMPUTED_VALUE"""),"OT260310083045")</f>
        <v>OT260310083045</v>
      </c>
      <c r="AO228" s="252" t="str">
        <f>IFERROR(__xludf.DUMMYFUNCTION("""COMPUTED_VALUE"""),"Km")</f>
        <v>Km</v>
      </c>
      <c r="AP228" s="252" t="str">
        <f>IFERROR(__xludf.DUMMYFUNCTION("""COMPUTED_VALUE"""),"IS260212174133")</f>
        <v>IS260212174133</v>
      </c>
      <c r="AQ228" s="252"/>
      <c r="AR228" s="252">
        <f>IFERROR(__xludf.DUMMYFUNCTION("""COMPUTED_VALUE"""),86247.0)</f>
        <v>86247</v>
      </c>
      <c r="AS228" s="881">
        <f>IFERROR(__xludf.DUMMYFUNCTION("""COMPUTED_VALUE"""),44927.0)</f>
        <v>44927</v>
      </c>
      <c r="AT228" s="881">
        <f>IFERROR(__xludf.DUMMYFUNCTION("""COMPUTED_VALUE"""),44927.0)</f>
        <v>44927</v>
      </c>
      <c r="AU228" s="252" t="str">
        <f>IFERROR(__xludf.DUMMYFUNCTION("""COMPUTED_VALUE"""),"RDC260303075620")</f>
        <v>RDC260303075620</v>
      </c>
      <c r="AV228" s="252" t="str">
        <f>IFERROR(__xludf.DUMMYFUNCTION("""COMPUTED_VALUE"""),"RCO260313160808")</f>
        <v>RCO260313160808</v>
      </c>
      <c r="AW228" s="252">
        <f>IFERROR(__xludf.DUMMYFUNCTION("""COMPUTED_VALUE"""),35.0)</f>
        <v>35</v>
      </c>
      <c r="AX228" s="252"/>
      <c r="AY228" s="252">
        <f>IFERROR(__xludf.DUMMYFUNCTION("""COMPUTED_VALUE"""),349.0)</f>
        <v>349</v>
      </c>
      <c r="AZ228" s="884">
        <f>IFERROR(__xludf.DUMMYFUNCTION("""COMPUTED_VALUE"""),46094.0)</f>
        <v>46094</v>
      </c>
    </row>
    <row r="229">
      <c r="A229" s="252" t="str">
        <f>IFERROR(__xludf.DUMMYFUNCTION("""COMPUTED_VALUE"""),"m000142")</f>
        <v>m000142</v>
      </c>
      <c r="B229" s="252" t="str">
        <f>IFERROR(__xludf.DUMMYFUNCTION("""COMPUTED_VALUE"""),"C-44 STWW39")</f>
        <v>C-44 STWW39</v>
      </c>
      <c r="C229" s="252" t="str">
        <f>IFERROR(__xludf.DUMMYFUNCTION("""COMPUTED_VALUE"""),"CAMIONETA")</f>
        <v>CAMIONETA</v>
      </c>
      <c r="D229" s="252" t="str">
        <f>IFERROR(__xludf.DUMMYFUNCTION("""COMPUTED_VALUE"""),"CAMIONETA")</f>
        <v>CAMIONETA</v>
      </c>
      <c r="E229" s="252" t="str">
        <f>IFERROR(__xludf.DUMMYFUNCTION("""COMPUTED_VALUE"""),"MITSUBISHI")</f>
        <v>MITSUBISHI</v>
      </c>
      <c r="F229" s="252" t="str">
        <f>IFERROR(__xludf.DUMMYFUNCTION("""COMPUTED_VALUE"""),"L200 ")</f>
        <v>L200 </v>
      </c>
      <c r="G229" s="252"/>
      <c r="H229" s="252"/>
      <c r="I229" s="252"/>
      <c r="J229" s="252" t="str">
        <f>IFERROR(__xludf.DUMMYFUNCTION("""COMPUTED_VALUE"""),"STWW39")</f>
        <v>STWW39</v>
      </c>
      <c r="K229" s="252" t="str">
        <f>IFERROR(__xludf.DUMMYFUNCTION("""COMPUTED_VALUE"""),"SANTANDER")</f>
        <v>SANTANDER</v>
      </c>
      <c r="L229" s="252"/>
      <c r="M229" s="252"/>
      <c r="N229" s="252"/>
      <c r="O229" s="252"/>
      <c r="P229" s="252"/>
      <c r="Q229" s="252" t="str">
        <f>IFERROR(__xludf.DUMMYFUNCTION("""COMPUTED_VALUE"""),"245/75/R16")</f>
        <v>245/75/R16</v>
      </c>
      <c r="R229" s="252"/>
      <c r="S229" s="252"/>
      <c r="T229" s="252"/>
      <c r="U229" s="252" t="str">
        <f>IFERROR(__xludf.DUMMYFUNCTION("""COMPUTED_VALUE"""),"Camioneta destinada a laboratorio obra DV 04")</f>
        <v>Camioneta destinada a laboratorio obra DV 04</v>
      </c>
      <c r="V229" s="252"/>
      <c r="W229" s="252"/>
      <c r="X229" s="252"/>
      <c r="Y229" s="252"/>
      <c r="Z229" s="252"/>
      <c r="AA229" s="252"/>
      <c r="AB229" s="252" t="str">
        <f>IFERROR(__xludf.DUMMYFUNCTION("""COMPUTED_VALUE"""),"En producción")</f>
        <v>En producción</v>
      </c>
      <c r="AC229" s="252" t="str">
        <f>IFERROR(__xludf.DUMMYFUNCTION("""COMPUTED_VALUE"""),"MAQUINAS_Images/m000142.FOTO1.190812.jpg")</f>
        <v>MAQUINAS_Images/m000142.FOTO1.190812.jpg</v>
      </c>
      <c r="AD229" s="252">
        <f>IFERROR(__xludf.DUMMYFUNCTION("""COMPUTED_VALUE"""),509.0)</f>
        <v>509</v>
      </c>
      <c r="AE229" s="252" t="str">
        <f>IFERROR(__xludf.DUMMYFUNCTION("""COMPUTED_VALUE"""),"Sin incidentes")</f>
        <v>Sin incidentes</v>
      </c>
      <c r="AF229" s="252">
        <f>IFERROR(__xludf.DUMMYFUNCTION("""COMPUTED_VALUE"""),1.0)</f>
        <v>1</v>
      </c>
      <c r="AG229" s="252" t="str">
        <f>IFERROR(__xludf.DUMMYFUNCTION("""COMPUTED_VALUE"""),"[C-44 STWW39] - MITSUBISHI L200 ")</f>
        <v>[C-44 STWW39] - MITSUBISHI L200 </v>
      </c>
      <c r="AH229" s="252">
        <f>IFERROR(__xludf.DUMMYFUNCTION("""COMPUTED_VALUE"""),58627.0)</f>
        <v>58627</v>
      </c>
      <c r="AI229" s="252">
        <f>IFERROR(__xludf.DUMMYFUNCTION("""COMPUTED_VALUE"""),84292.0)</f>
        <v>84292</v>
      </c>
      <c r="AJ229" s="882">
        <f>IFERROR(__xludf.DUMMYFUNCTION("""COMPUTED_VALUE"""),45954.317245370374)</f>
        <v>45954.31725</v>
      </c>
      <c r="AK229" s="882">
        <f>IFERROR(__xludf.DUMMYFUNCTION("""COMPUTED_VALUE"""),45954.317291666666)</f>
        <v>45954.31729</v>
      </c>
      <c r="AL229" s="252"/>
      <c r="AM229" s="880">
        <f>IFERROR(__xludf.DUMMYFUNCTION("""COMPUTED_VALUE"""),90769.0)</f>
        <v>90769</v>
      </c>
      <c r="AN229" s="252" t="str">
        <f>IFERROR(__xludf.DUMMYFUNCTION("""COMPUTED_VALUE"""),"OT250829141028")</f>
        <v>OT250829141028</v>
      </c>
      <c r="AO229" s="252" t="str">
        <f>IFERROR(__xludf.DUMMYFUNCTION("""COMPUTED_VALUE"""),"Km")</f>
        <v>Km</v>
      </c>
      <c r="AP229" s="252" t="str">
        <f>IFERROR(__xludf.DUMMYFUNCTION("""COMPUTED_VALUE"""),"IS251024160813")</f>
        <v>IS251024160813</v>
      </c>
      <c r="AQ229" s="252"/>
      <c r="AR229" s="252">
        <f>IFERROR(__xludf.DUMMYFUNCTION("""COMPUTED_VALUE"""),60894.0)</f>
        <v>60894</v>
      </c>
      <c r="AS229" s="881">
        <f>IFERROR(__xludf.DUMMYFUNCTION("""COMPUTED_VALUE"""),44927.0)</f>
        <v>44927</v>
      </c>
      <c r="AT229" s="881">
        <f>IFERROR(__xludf.DUMMYFUNCTION("""COMPUTED_VALUE"""),44927.0)</f>
        <v>44927</v>
      </c>
      <c r="AU229" s="252"/>
      <c r="AV229" s="252" t="str">
        <f>IFERROR(__xludf.DUMMYFUNCTION("""COMPUTED_VALUE"""),"RCO251024093206")</f>
        <v>RCO251024093206</v>
      </c>
      <c r="AW229" s="252">
        <f>IFERROR(__xludf.DUMMYFUNCTION("""COMPUTED_VALUE"""),61.0)</f>
        <v>61</v>
      </c>
      <c r="AX229" s="252">
        <f>IFERROR(__xludf.DUMMYFUNCTION("""COMPUTED_VALUE"""),0.0)</f>
        <v>0</v>
      </c>
      <c r="AY229" s="252">
        <f>IFERROR(__xludf.DUMMYFUNCTION("""COMPUTED_VALUE"""),511.0)</f>
        <v>511</v>
      </c>
      <c r="AZ229" s="881">
        <f>IFERROR(__xludf.DUMMYFUNCTION("""COMPUTED_VALUE"""),45954.0)</f>
        <v>45954</v>
      </c>
    </row>
    <row r="230">
      <c r="A230" s="252" t="str">
        <f>IFERROR(__xludf.DUMMYFUNCTION("""COMPUTED_VALUE"""),"m000146")</f>
        <v>m000146</v>
      </c>
      <c r="B230" s="252"/>
      <c r="C230" s="252" t="str">
        <f>IFERROR(__xludf.DUMMYFUNCTION("""COMPUTED_VALUE"""),"CUATRIMOTO")</f>
        <v>CUATRIMOTO</v>
      </c>
      <c r="D230" s="252" t="str">
        <f>IFERROR(__xludf.DUMMYFUNCTION("""COMPUTED_VALUE"""),"CUATRIMOTO")</f>
        <v>CUATRIMOTO</v>
      </c>
      <c r="E230" s="252" t="str">
        <f>IFERROR(__xludf.DUMMYFUNCTION("""COMPUTED_VALUE"""),"CFMOTO")</f>
        <v>CFMOTO</v>
      </c>
      <c r="F230" s="252"/>
      <c r="G230" s="252"/>
      <c r="H230" s="252"/>
      <c r="I230" s="252"/>
      <c r="J230" s="252" t="str">
        <f>IFERROR(__xludf.DUMMYFUNCTION("""COMPUTED_VALUE"""),"THS72")</f>
        <v>THS72</v>
      </c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  <c r="AA230" s="252"/>
      <c r="AB230" s="252" t="str">
        <f>IFERROR(__xludf.DUMMYFUNCTION("""COMPUTED_VALUE"""),"Patio LL")</f>
        <v>Patio LL</v>
      </c>
      <c r="AC230" s="252"/>
      <c r="AD230" s="252"/>
      <c r="AE230" s="252" t="str">
        <f>IFERROR(__xludf.DUMMYFUNCTION("""COMPUTED_VALUE"""),"Sin incidentes")</f>
        <v>Sin incidentes</v>
      </c>
      <c r="AF230" s="252">
        <f>IFERROR(__xludf.DUMMYFUNCTION("""COMPUTED_VALUE"""),1.0)</f>
        <v>1</v>
      </c>
      <c r="AG230" s="252" t="str">
        <f>IFERROR(__xludf.DUMMYFUNCTION("""COMPUTED_VALUE"""),"[] - CFMOTO ")</f>
        <v>[] - CFMOTO </v>
      </c>
      <c r="AH230" s="252"/>
      <c r="AI230" s="252"/>
      <c r="AJ230" s="252"/>
      <c r="AK230" s="252"/>
      <c r="AL230" s="880" t="str">
        <f>IFERROR(__xludf.DUMMYFUNCTION("""COMPUTED_VALUE"""),"")</f>
        <v/>
      </c>
      <c r="AM230" s="880" t="str">
        <f>IFERROR(__xludf.DUMMYFUNCTION("""COMPUTED_VALUE"""),"")</f>
        <v/>
      </c>
      <c r="AN230" s="252"/>
      <c r="AO230" s="252" t="str">
        <f>IFERROR(__xludf.DUMMYFUNCTION("""COMPUTED_VALUE"""),"Hr")</f>
        <v>Hr</v>
      </c>
      <c r="AP230" s="252"/>
      <c r="AQ230" s="252"/>
      <c r="AR230" s="252"/>
      <c r="AS230" s="881">
        <f>IFERROR(__xludf.DUMMYFUNCTION("""COMPUTED_VALUE"""),44927.0)</f>
        <v>44927</v>
      </c>
      <c r="AT230" s="881">
        <f>IFERROR(__xludf.DUMMYFUNCTION("""COMPUTED_VALUE"""),44927.0)</f>
        <v>44927</v>
      </c>
      <c r="AU230" s="252"/>
      <c r="AV230" s="252"/>
      <c r="AW230" s="252"/>
      <c r="AX230" s="252"/>
      <c r="AY230" s="252"/>
      <c r="AZ230" s="252"/>
    </row>
    <row r="231">
      <c r="A231" s="252" t="str">
        <f>IFERROR(__xludf.DUMMYFUNCTION("""COMPUTED_VALUE"""),"m000147")</f>
        <v>m000147</v>
      </c>
      <c r="B231" s="252"/>
      <c r="C231" s="252" t="str">
        <f>IFERROR(__xludf.DUMMYFUNCTION("""COMPUTED_VALUE"""),"CUATRIMOTO")</f>
        <v>CUATRIMOTO</v>
      </c>
      <c r="D231" s="252" t="str">
        <f>IFERROR(__xludf.DUMMYFUNCTION("""COMPUTED_VALUE"""),"CUATRIMOTO")</f>
        <v>CUATRIMOTO</v>
      </c>
      <c r="E231" s="252" t="str">
        <f>IFERROR(__xludf.DUMMYFUNCTION("""COMPUTED_VALUE"""),"CFMOTO")</f>
        <v>CFMOTO</v>
      </c>
      <c r="F231" s="252"/>
      <c r="G231" s="252"/>
      <c r="H231" s="252"/>
      <c r="I231" s="252"/>
      <c r="J231" s="252" t="str">
        <f>IFERROR(__xludf.DUMMYFUNCTION("""COMPUTED_VALUE"""),"THS71")</f>
        <v>THS71</v>
      </c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  <c r="AA231" s="252"/>
      <c r="AB231" s="252" t="str">
        <f>IFERROR(__xludf.DUMMYFUNCTION("""COMPUTED_VALUE"""),"Patio LL")</f>
        <v>Patio LL</v>
      </c>
      <c r="AC231" s="252"/>
      <c r="AD231" s="252"/>
      <c r="AE231" s="252" t="str">
        <f>IFERROR(__xludf.DUMMYFUNCTION("""COMPUTED_VALUE"""),"Sin incidentes")</f>
        <v>Sin incidentes</v>
      </c>
      <c r="AF231" s="252">
        <f>IFERROR(__xludf.DUMMYFUNCTION("""COMPUTED_VALUE"""),1.0)</f>
        <v>1</v>
      </c>
      <c r="AG231" s="252" t="str">
        <f>IFERROR(__xludf.DUMMYFUNCTION("""COMPUTED_VALUE"""),"[] - CFMOTO ")</f>
        <v>[] - CFMOTO </v>
      </c>
      <c r="AH231" s="252"/>
      <c r="AI231" s="252"/>
      <c r="AJ231" s="252"/>
      <c r="AK231" s="252"/>
      <c r="AL231" s="880" t="str">
        <f>IFERROR(__xludf.DUMMYFUNCTION("""COMPUTED_VALUE"""),"")</f>
        <v/>
      </c>
      <c r="AM231" s="880" t="str">
        <f>IFERROR(__xludf.DUMMYFUNCTION("""COMPUTED_VALUE"""),"")</f>
        <v/>
      </c>
      <c r="AN231" s="252"/>
      <c r="AO231" s="252" t="str">
        <f>IFERROR(__xludf.DUMMYFUNCTION("""COMPUTED_VALUE"""),"Hr")</f>
        <v>Hr</v>
      </c>
      <c r="AP231" s="252"/>
      <c r="AQ231" s="252"/>
      <c r="AR231" s="252"/>
      <c r="AS231" s="881">
        <f>IFERROR(__xludf.DUMMYFUNCTION("""COMPUTED_VALUE"""),44927.0)</f>
        <v>44927</v>
      </c>
      <c r="AT231" s="881">
        <f>IFERROR(__xludf.DUMMYFUNCTION("""COMPUTED_VALUE"""),44927.0)</f>
        <v>44927</v>
      </c>
      <c r="AU231" s="252"/>
      <c r="AV231" s="252"/>
      <c r="AW231" s="252"/>
      <c r="AX231" s="252"/>
      <c r="AY231" s="252"/>
      <c r="AZ231" s="252"/>
    </row>
    <row r="232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  <c r="AA232" s="252"/>
      <c r="AB232" s="252"/>
      <c r="AC232" s="252"/>
      <c r="AD232" s="252"/>
      <c r="AE232" s="252"/>
      <c r="AF232" s="252"/>
      <c r="AG232" s="252"/>
      <c r="AH232" s="252"/>
      <c r="AI232" s="252"/>
      <c r="AJ232" s="252"/>
      <c r="AK232" s="252"/>
      <c r="AL232" s="252"/>
      <c r="AM232" s="252"/>
      <c r="AN232" s="252"/>
      <c r="AO232" s="252"/>
      <c r="AP232" s="252"/>
      <c r="AQ232" s="252"/>
      <c r="AR232" s="252"/>
      <c r="AS232" s="881">
        <f>IFERROR(__xludf.DUMMYFUNCTION("""COMPUTED_VALUE"""),44927.0)</f>
        <v>44927</v>
      </c>
      <c r="AT232" s="881">
        <f>IFERROR(__xludf.DUMMYFUNCTION("""COMPUTED_VALUE"""),44927.0)</f>
        <v>44927</v>
      </c>
      <c r="AU232" s="252"/>
      <c r="AV232" s="252"/>
      <c r="AW232" s="252"/>
      <c r="AX232" s="252"/>
      <c r="AY232" s="252"/>
      <c r="AZ232" s="252"/>
    </row>
    <row r="233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  <c r="AA233" s="252"/>
      <c r="AB233" s="252"/>
      <c r="AC233" s="252"/>
      <c r="AD233" s="252"/>
      <c r="AE233" s="252"/>
      <c r="AF233" s="252"/>
      <c r="AG233" s="252"/>
      <c r="AH233" s="252"/>
      <c r="AI233" s="252"/>
      <c r="AJ233" s="252"/>
      <c r="AK233" s="252"/>
      <c r="AL233" s="252"/>
      <c r="AM233" s="252"/>
      <c r="AN233" s="252"/>
      <c r="AO233" s="252"/>
      <c r="AP233" s="252"/>
      <c r="AQ233" s="252"/>
      <c r="AR233" s="252"/>
      <c r="AS233" s="881">
        <f>IFERROR(__xludf.DUMMYFUNCTION("""COMPUTED_VALUE"""),44927.0)</f>
        <v>44927</v>
      </c>
      <c r="AT233" s="881">
        <f>IFERROR(__xludf.DUMMYFUNCTION("""COMPUTED_VALUE"""),44927.0)</f>
        <v>44927</v>
      </c>
      <c r="AU233" s="252"/>
      <c r="AV233" s="252"/>
      <c r="AW233" s="252"/>
      <c r="AX233" s="252"/>
      <c r="AY233" s="252"/>
      <c r="AZ233" s="252"/>
    </row>
    <row r="234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  <c r="AA234" s="252"/>
      <c r="AB234" s="252"/>
      <c r="AC234" s="252"/>
      <c r="AD234" s="252"/>
      <c r="AE234" s="252"/>
      <c r="AF234" s="252"/>
      <c r="AG234" s="252"/>
      <c r="AH234" s="252"/>
      <c r="AI234" s="252"/>
      <c r="AJ234" s="252"/>
      <c r="AK234" s="252"/>
      <c r="AL234" s="252"/>
      <c r="AM234" s="252"/>
      <c r="AN234" s="252"/>
      <c r="AO234" s="252"/>
      <c r="AP234" s="252"/>
      <c r="AQ234" s="252"/>
      <c r="AR234" s="252"/>
      <c r="AS234" s="881">
        <f>IFERROR(__xludf.DUMMYFUNCTION("""COMPUTED_VALUE"""),44927.0)</f>
        <v>44927</v>
      </c>
      <c r="AT234" s="881">
        <f>IFERROR(__xludf.DUMMYFUNCTION("""COMPUTED_VALUE"""),44927.0)</f>
        <v>44927</v>
      </c>
      <c r="AU234" s="252"/>
      <c r="AV234" s="252"/>
      <c r="AW234" s="252"/>
      <c r="AX234" s="252"/>
      <c r="AY234" s="252"/>
      <c r="AZ234" s="252"/>
    </row>
    <row r="235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  <c r="AA235" s="252"/>
      <c r="AB235" s="252"/>
      <c r="AC235" s="252"/>
      <c r="AD235" s="252"/>
      <c r="AE235" s="252"/>
      <c r="AF235" s="252"/>
      <c r="AG235" s="252"/>
      <c r="AH235" s="252"/>
      <c r="AI235" s="252"/>
      <c r="AJ235" s="252"/>
      <c r="AK235" s="252"/>
      <c r="AL235" s="252"/>
      <c r="AM235" s="252"/>
      <c r="AN235" s="252"/>
      <c r="AO235" s="252"/>
      <c r="AP235" s="252"/>
      <c r="AQ235" s="252"/>
      <c r="AR235" s="252"/>
      <c r="AS235" s="881">
        <f>IFERROR(__xludf.DUMMYFUNCTION("""COMPUTED_VALUE"""),44927.0)</f>
        <v>44927</v>
      </c>
      <c r="AT235" s="881">
        <f>IFERROR(__xludf.DUMMYFUNCTION("""COMPUTED_VALUE"""),44927.0)</f>
        <v>44927</v>
      </c>
      <c r="AU235" s="252"/>
      <c r="AV235" s="252"/>
      <c r="AW235" s="252"/>
      <c r="AX235" s="252"/>
      <c r="AY235" s="252"/>
      <c r="AZ235" s="252"/>
    </row>
    <row r="236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  <c r="AA236" s="252"/>
      <c r="AB236" s="252"/>
      <c r="AC236" s="252"/>
      <c r="AD236" s="252"/>
      <c r="AE236" s="252"/>
      <c r="AF236" s="252"/>
      <c r="AG236" s="252"/>
      <c r="AH236" s="252"/>
      <c r="AI236" s="252"/>
      <c r="AJ236" s="252"/>
      <c r="AK236" s="252"/>
      <c r="AL236" s="252"/>
      <c r="AM236" s="252"/>
      <c r="AN236" s="252"/>
      <c r="AO236" s="252"/>
      <c r="AP236" s="252"/>
      <c r="AQ236" s="252"/>
      <c r="AR236" s="252"/>
      <c r="AS236" s="252"/>
      <c r="AT236" s="252"/>
      <c r="AU236" s="252"/>
      <c r="AV236" s="252"/>
      <c r="AW236" s="252"/>
      <c r="AX236" s="252"/>
      <c r="AY236" s="252"/>
      <c r="AZ236" s="252"/>
    </row>
    <row r="237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  <c r="AA237" s="252"/>
      <c r="AB237" s="252"/>
      <c r="AC237" s="252"/>
      <c r="AD237" s="252"/>
      <c r="AE237" s="252"/>
      <c r="AF237" s="252"/>
      <c r="AG237" s="252"/>
      <c r="AH237" s="252"/>
      <c r="AI237" s="252"/>
      <c r="AJ237" s="252"/>
      <c r="AK237" s="252"/>
      <c r="AL237" s="252"/>
      <c r="AM237" s="252"/>
      <c r="AN237" s="252"/>
      <c r="AO237" s="252"/>
      <c r="AP237" s="252"/>
      <c r="AQ237" s="252"/>
      <c r="AR237" s="252"/>
      <c r="AS237" s="881">
        <f>IFERROR(__xludf.DUMMYFUNCTION("""COMPUTED_VALUE"""),44927.0)</f>
        <v>44927</v>
      </c>
      <c r="AT237" s="881">
        <f>IFERROR(__xludf.DUMMYFUNCTION("""COMPUTED_VALUE"""),44927.0)</f>
        <v>44927</v>
      </c>
      <c r="AU237" s="252"/>
      <c r="AV237" s="252"/>
      <c r="AW237" s="252"/>
      <c r="AX237" s="252"/>
      <c r="AY237" s="252"/>
      <c r="AZ237" s="252"/>
    </row>
    <row r="238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  <c r="AA238" s="252"/>
      <c r="AB238" s="252"/>
      <c r="AC238" s="252"/>
      <c r="AD238" s="252"/>
      <c r="AE238" s="252"/>
      <c r="AF238" s="252"/>
      <c r="AG238" s="252"/>
      <c r="AH238" s="252"/>
      <c r="AI238" s="252"/>
      <c r="AJ238" s="252"/>
      <c r="AK238" s="252"/>
      <c r="AL238" s="252"/>
      <c r="AM238" s="252"/>
      <c r="AN238" s="252"/>
      <c r="AO238" s="252"/>
      <c r="AP238" s="252"/>
      <c r="AQ238" s="252"/>
      <c r="AR238" s="252"/>
      <c r="AS238" s="881">
        <f>IFERROR(__xludf.DUMMYFUNCTION("""COMPUTED_VALUE"""),44927.0)</f>
        <v>44927</v>
      </c>
      <c r="AT238" s="881">
        <f>IFERROR(__xludf.DUMMYFUNCTION("""COMPUTED_VALUE"""),44927.0)</f>
        <v>44927</v>
      </c>
      <c r="AU238" s="252"/>
      <c r="AV238" s="252"/>
      <c r="AW238" s="252"/>
      <c r="AX238" s="252"/>
      <c r="AY238" s="252"/>
      <c r="AZ238" s="252"/>
    </row>
    <row r="239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  <c r="AA239" s="252"/>
      <c r="AB239" s="252"/>
      <c r="AC239" s="252"/>
      <c r="AD239" s="252"/>
      <c r="AE239" s="252"/>
      <c r="AF239" s="252"/>
      <c r="AG239" s="252"/>
      <c r="AH239" s="252"/>
      <c r="AI239" s="252"/>
      <c r="AJ239" s="252"/>
      <c r="AK239" s="252"/>
      <c r="AL239" s="252"/>
      <c r="AM239" s="252"/>
      <c r="AN239" s="252"/>
      <c r="AO239" s="252"/>
      <c r="AP239" s="252"/>
      <c r="AQ239" s="252"/>
      <c r="AR239" s="252"/>
      <c r="AS239" s="881">
        <f>IFERROR(__xludf.DUMMYFUNCTION("""COMPUTED_VALUE"""),44927.0)</f>
        <v>44927</v>
      </c>
      <c r="AT239" s="881">
        <f>IFERROR(__xludf.DUMMYFUNCTION("""COMPUTED_VALUE"""),44927.0)</f>
        <v>44927</v>
      </c>
      <c r="AU239" s="252"/>
      <c r="AV239" s="252"/>
      <c r="AW239" s="252"/>
      <c r="AX239" s="252"/>
      <c r="AY239" s="252"/>
      <c r="AZ239" s="252"/>
    </row>
    <row r="240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  <c r="AA240" s="252"/>
      <c r="AB240" s="252"/>
      <c r="AC240" s="252"/>
      <c r="AD240" s="252"/>
      <c r="AE240" s="252"/>
      <c r="AF240" s="252"/>
      <c r="AG240" s="252"/>
      <c r="AH240" s="252"/>
      <c r="AI240" s="252"/>
      <c r="AJ240" s="252"/>
      <c r="AK240" s="252"/>
      <c r="AL240" s="252"/>
      <c r="AM240" s="252"/>
      <c r="AN240" s="252"/>
      <c r="AO240" s="252"/>
      <c r="AP240" s="252"/>
      <c r="AQ240" s="252"/>
      <c r="AR240" s="252"/>
      <c r="AS240" s="252"/>
      <c r="AT240" s="252"/>
      <c r="AU240" s="252"/>
      <c r="AV240" s="252"/>
      <c r="AW240" s="252"/>
      <c r="AX240" s="252"/>
      <c r="AY240" s="252"/>
      <c r="AZ240" s="252"/>
    </row>
    <row r="24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  <c r="AA241" s="252"/>
      <c r="AB241" s="252"/>
      <c r="AC241" s="252"/>
      <c r="AD241" s="252"/>
      <c r="AE241" s="252"/>
      <c r="AF241" s="252"/>
      <c r="AG241" s="252"/>
      <c r="AH241" s="252"/>
      <c r="AI241" s="252"/>
      <c r="AJ241" s="252"/>
      <c r="AK241" s="252"/>
      <c r="AL241" s="252"/>
      <c r="AM241" s="252"/>
      <c r="AN241" s="252"/>
      <c r="AO241" s="252"/>
      <c r="AP241" s="252"/>
      <c r="AQ241" s="252"/>
      <c r="AR241" s="252"/>
      <c r="AS241" s="881">
        <f>IFERROR(__xludf.DUMMYFUNCTION("""COMPUTED_VALUE"""),44927.0)</f>
        <v>44927</v>
      </c>
      <c r="AT241" s="881">
        <f>IFERROR(__xludf.DUMMYFUNCTION("""COMPUTED_VALUE"""),44927.0)</f>
        <v>44927</v>
      </c>
      <c r="AU241" s="252"/>
      <c r="AV241" s="252"/>
      <c r="AW241" s="252"/>
      <c r="AX241" s="252"/>
      <c r="AY241" s="252"/>
      <c r="AZ241" s="252"/>
    </row>
    <row r="242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  <c r="AA242" s="252"/>
      <c r="AB242" s="252"/>
      <c r="AC242" s="252"/>
      <c r="AD242" s="252"/>
      <c r="AE242" s="252"/>
      <c r="AF242" s="252"/>
      <c r="AG242" s="252"/>
      <c r="AH242" s="252"/>
      <c r="AI242" s="252"/>
      <c r="AJ242" s="252"/>
      <c r="AK242" s="252"/>
      <c r="AL242" s="880" t="str">
        <f>IFERROR(__xludf.DUMMYFUNCTION("""COMPUTED_VALUE"""),"")</f>
        <v/>
      </c>
      <c r="AM242" s="880" t="str">
        <f>IFERROR(__xludf.DUMMYFUNCTION("""COMPUTED_VALUE"""),"")</f>
        <v/>
      </c>
      <c r="AN242" s="252"/>
      <c r="AO242" s="252"/>
      <c r="AP242" s="252"/>
      <c r="AQ242" s="252"/>
      <c r="AR242" s="252"/>
      <c r="AS242" s="881">
        <f>IFERROR(__xludf.DUMMYFUNCTION("""COMPUTED_VALUE"""),44927.0)</f>
        <v>44927</v>
      </c>
      <c r="AT242" s="881">
        <f>IFERROR(__xludf.DUMMYFUNCTION("""COMPUTED_VALUE"""),44927.0)</f>
        <v>44927</v>
      </c>
      <c r="AU242" s="252"/>
      <c r="AV242" s="252"/>
      <c r="AW242" s="252"/>
      <c r="AX242" s="252"/>
      <c r="AY242" s="252"/>
      <c r="AZ242" s="252"/>
    </row>
    <row r="243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  <c r="AA243" s="252"/>
      <c r="AB243" s="252"/>
      <c r="AC243" s="252"/>
      <c r="AD243" s="252"/>
      <c r="AE243" s="252"/>
      <c r="AF243" s="252"/>
      <c r="AG243" s="252"/>
      <c r="AH243" s="252"/>
      <c r="AI243" s="252"/>
      <c r="AJ243" s="252"/>
      <c r="AK243" s="252"/>
      <c r="AL243" s="252"/>
      <c r="AM243" s="252"/>
      <c r="AN243" s="252"/>
      <c r="AO243" s="252"/>
      <c r="AP243" s="252"/>
      <c r="AQ243" s="252"/>
      <c r="AR243" s="252"/>
      <c r="AS243" s="252"/>
      <c r="AT243" s="252"/>
      <c r="AU243" s="252"/>
      <c r="AV243" s="252"/>
      <c r="AW243" s="252"/>
      <c r="AX243" s="252"/>
      <c r="AY243" s="252"/>
      <c r="AZ243" s="252"/>
    </row>
    <row r="244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  <c r="AA244" s="252"/>
      <c r="AB244" s="252"/>
      <c r="AC244" s="252"/>
      <c r="AD244" s="252"/>
      <c r="AE244" s="252"/>
      <c r="AF244" s="252"/>
      <c r="AG244" s="252"/>
      <c r="AH244" s="252"/>
      <c r="AI244" s="252"/>
      <c r="AJ244" s="252"/>
      <c r="AK244" s="252"/>
      <c r="AL244" s="252"/>
      <c r="AM244" s="252"/>
      <c r="AN244" s="252"/>
      <c r="AO244" s="252"/>
      <c r="AP244" s="252"/>
      <c r="AQ244" s="252"/>
      <c r="AR244" s="252"/>
      <c r="AS244" s="881">
        <f>IFERROR(__xludf.DUMMYFUNCTION("""COMPUTED_VALUE"""),44927.0)</f>
        <v>44927</v>
      </c>
      <c r="AT244" s="881">
        <f>IFERROR(__xludf.DUMMYFUNCTION("""COMPUTED_VALUE"""),44927.0)</f>
        <v>44927</v>
      </c>
      <c r="AU244" s="252"/>
      <c r="AV244" s="252"/>
      <c r="AW244" s="252"/>
      <c r="AX244" s="252"/>
      <c r="AY244" s="252"/>
      <c r="AZ244" s="252"/>
    </row>
    <row r="245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  <c r="AA245" s="252"/>
      <c r="AB245" s="252"/>
      <c r="AC245" s="252"/>
      <c r="AD245" s="252"/>
      <c r="AE245" s="252"/>
      <c r="AF245" s="252"/>
      <c r="AG245" s="252"/>
      <c r="AH245" s="252"/>
      <c r="AI245" s="252"/>
      <c r="AJ245" s="252"/>
      <c r="AK245" s="252"/>
      <c r="AL245" s="252"/>
      <c r="AM245" s="252"/>
      <c r="AN245" s="252"/>
      <c r="AO245" s="252"/>
      <c r="AP245" s="252"/>
      <c r="AQ245" s="252"/>
      <c r="AR245" s="252"/>
      <c r="AS245" s="881">
        <f>IFERROR(__xludf.DUMMYFUNCTION("""COMPUTED_VALUE"""),44927.0)</f>
        <v>44927</v>
      </c>
      <c r="AT245" s="881">
        <f>IFERROR(__xludf.DUMMYFUNCTION("""COMPUTED_VALUE"""),44927.0)</f>
        <v>44927</v>
      </c>
      <c r="AU245" s="252"/>
      <c r="AV245" s="252"/>
      <c r="AW245" s="252"/>
      <c r="AX245" s="252"/>
      <c r="AY245" s="252"/>
      <c r="AZ245" s="252"/>
    </row>
    <row r="246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  <c r="AA246" s="252"/>
      <c r="AB246" s="252"/>
      <c r="AC246" s="252"/>
      <c r="AD246" s="252"/>
      <c r="AE246" s="252"/>
      <c r="AF246" s="252"/>
      <c r="AG246" s="252"/>
      <c r="AH246" s="252"/>
      <c r="AI246" s="252"/>
      <c r="AJ246" s="252"/>
      <c r="AK246" s="252"/>
      <c r="AL246" s="252"/>
      <c r="AM246" s="252"/>
      <c r="AN246" s="252"/>
      <c r="AO246" s="252"/>
      <c r="AP246" s="252"/>
      <c r="AQ246" s="252"/>
      <c r="AR246" s="252"/>
      <c r="AS246" s="881">
        <f>IFERROR(__xludf.DUMMYFUNCTION("""COMPUTED_VALUE"""),44927.0)</f>
        <v>44927</v>
      </c>
      <c r="AT246" s="881">
        <f>IFERROR(__xludf.DUMMYFUNCTION("""COMPUTED_VALUE"""),44927.0)</f>
        <v>44927</v>
      </c>
      <c r="AU246" s="252"/>
      <c r="AV246" s="252"/>
      <c r="AW246" s="252"/>
      <c r="AX246" s="252"/>
      <c r="AY246" s="252"/>
      <c r="AZ246" s="252"/>
    </row>
    <row r="247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  <c r="AA247" s="252"/>
      <c r="AB247" s="252"/>
      <c r="AC247" s="252"/>
      <c r="AD247" s="252"/>
      <c r="AE247" s="252"/>
      <c r="AF247" s="252"/>
      <c r="AG247" s="252"/>
      <c r="AH247" s="252"/>
      <c r="AI247" s="252"/>
      <c r="AJ247" s="252"/>
      <c r="AK247" s="252"/>
      <c r="AL247" s="252"/>
      <c r="AM247" s="252"/>
      <c r="AN247" s="252"/>
      <c r="AO247" s="252"/>
      <c r="AP247" s="252"/>
      <c r="AQ247" s="252"/>
      <c r="AR247" s="252"/>
      <c r="AS247" s="881">
        <f>IFERROR(__xludf.DUMMYFUNCTION("""COMPUTED_VALUE"""),44927.0)</f>
        <v>44927</v>
      </c>
      <c r="AT247" s="881">
        <f>IFERROR(__xludf.DUMMYFUNCTION("""COMPUTED_VALUE"""),44927.0)</f>
        <v>44927</v>
      </c>
      <c r="AU247" s="252"/>
      <c r="AV247" s="252"/>
      <c r="AW247" s="252"/>
      <c r="AX247" s="252"/>
      <c r="AY247" s="252"/>
      <c r="AZ247" s="252"/>
    </row>
    <row r="248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  <c r="AA248" s="252"/>
      <c r="AB248" s="252"/>
      <c r="AC248" s="252"/>
      <c r="AD248" s="252"/>
      <c r="AE248" s="252"/>
      <c r="AF248" s="252"/>
      <c r="AG248" s="252"/>
      <c r="AH248" s="252"/>
      <c r="AI248" s="252"/>
      <c r="AJ248" s="252"/>
      <c r="AK248" s="252"/>
      <c r="AL248" s="252"/>
      <c r="AM248" s="252"/>
      <c r="AN248" s="252"/>
      <c r="AO248" s="252"/>
      <c r="AP248" s="252"/>
      <c r="AQ248" s="252"/>
      <c r="AR248" s="252"/>
      <c r="AS248" s="252"/>
      <c r="AT248" s="252"/>
      <c r="AU248" s="252"/>
      <c r="AV248" s="252"/>
      <c r="AW248" s="252"/>
      <c r="AX248" s="252"/>
      <c r="AY248" s="252"/>
      <c r="AZ248" s="252"/>
    </row>
    <row r="249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  <c r="AA249" s="252"/>
      <c r="AB249" s="252"/>
      <c r="AC249" s="252"/>
      <c r="AD249" s="252"/>
      <c r="AE249" s="252"/>
      <c r="AF249" s="252"/>
      <c r="AG249" s="252"/>
      <c r="AH249" s="252"/>
      <c r="AI249" s="252"/>
      <c r="AJ249" s="252"/>
      <c r="AK249" s="252"/>
      <c r="AL249" s="252"/>
      <c r="AM249" s="252"/>
      <c r="AN249" s="252"/>
      <c r="AO249" s="252"/>
      <c r="AP249" s="252"/>
      <c r="AQ249" s="252"/>
      <c r="AR249" s="252"/>
      <c r="AS249" s="881">
        <f>IFERROR(__xludf.DUMMYFUNCTION("""COMPUTED_VALUE"""),44927.0)</f>
        <v>44927</v>
      </c>
      <c r="AT249" s="881">
        <f>IFERROR(__xludf.DUMMYFUNCTION("""COMPUTED_VALUE"""),44927.0)</f>
        <v>44927</v>
      </c>
      <c r="AU249" s="252"/>
      <c r="AV249" s="252"/>
      <c r="AW249" s="252"/>
      <c r="AX249" s="252"/>
      <c r="AY249" s="252"/>
      <c r="AZ249" s="252"/>
    </row>
    <row r="250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  <c r="AA250" s="252"/>
      <c r="AB250" s="252"/>
      <c r="AC250" s="252"/>
      <c r="AD250" s="252"/>
      <c r="AE250" s="252"/>
      <c r="AF250" s="252"/>
      <c r="AG250" s="252"/>
      <c r="AH250" s="252"/>
      <c r="AI250" s="252"/>
      <c r="AJ250" s="252"/>
      <c r="AK250" s="252"/>
      <c r="AL250" s="880" t="str">
        <f>IFERROR(__xludf.DUMMYFUNCTION("""COMPUTED_VALUE"""),"")</f>
        <v/>
      </c>
      <c r="AM250" s="880" t="str">
        <f>IFERROR(__xludf.DUMMYFUNCTION("""COMPUTED_VALUE"""),"")</f>
        <v/>
      </c>
      <c r="AN250" s="252"/>
      <c r="AO250" s="252"/>
      <c r="AP250" s="252"/>
      <c r="AQ250" s="252"/>
      <c r="AR250" s="252"/>
      <c r="AS250" s="881">
        <f>IFERROR(__xludf.DUMMYFUNCTION("""COMPUTED_VALUE"""),44927.0)</f>
        <v>44927</v>
      </c>
      <c r="AT250" s="881">
        <f>IFERROR(__xludf.DUMMYFUNCTION("""COMPUTED_VALUE"""),44927.0)</f>
        <v>44927</v>
      </c>
      <c r="AU250" s="252"/>
      <c r="AV250" s="252"/>
      <c r="AW250" s="252"/>
      <c r="AX250" s="252"/>
      <c r="AY250" s="252"/>
      <c r="AZ250" s="252"/>
    </row>
    <row r="25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  <c r="AA251" s="252"/>
      <c r="AB251" s="252"/>
      <c r="AC251" s="252"/>
      <c r="AD251" s="252"/>
      <c r="AE251" s="252"/>
      <c r="AF251" s="252"/>
      <c r="AG251" s="252"/>
      <c r="AH251" s="252"/>
      <c r="AI251" s="252"/>
      <c r="AJ251" s="252"/>
      <c r="AK251" s="252"/>
      <c r="AL251" s="252"/>
      <c r="AM251" s="252"/>
      <c r="AN251" s="252"/>
      <c r="AO251" s="252"/>
      <c r="AP251" s="252"/>
      <c r="AQ251" s="252"/>
      <c r="AR251" s="252"/>
      <c r="AS251" s="881">
        <f>IFERROR(__xludf.DUMMYFUNCTION("""COMPUTED_VALUE"""),44927.0)</f>
        <v>44927</v>
      </c>
      <c r="AT251" s="881">
        <f>IFERROR(__xludf.DUMMYFUNCTION("""COMPUTED_VALUE"""),44927.0)</f>
        <v>44927</v>
      </c>
      <c r="AU251" s="252"/>
      <c r="AV251" s="252"/>
      <c r="AW251" s="252"/>
      <c r="AX251" s="252"/>
      <c r="AY251" s="252"/>
      <c r="AZ251" s="252"/>
    </row>
    <row r="252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  <c r="AA252" s="252"/>
      <c r="AB252" s="252"/>
      <c r="AC252" s="252"/>
      <c r="AD252" s="252"/>
      <c r="AE252" s="252"/>
      <c r="AF252" s="252"/>
      <c r="AG252" s="252"/>
      <c r="AH252" s="252"/>
      <c r="AI252" s="252"/>
      <c r="AJ252" s="252"/>
      <c r="AK252" s="252"/>
      <c r="AL252" s="252"/>
      <c r="AM252" s="252"/>
      <c r="AN252" s="252"/>
      <c r="AO252" s="252"/>
      <c r="AP252" s="252"/>
      <c r="AQ252" s="252"/>
      <c r="AR252" s="252"/>
      <c r="AS252" s="252"/>
      <c r="AT252" s="252"/>
      <c r="AU252" s="252"/>
      <c r="AV252" s="252"/>
      <c r="AW252" s="252"/>
      <c r="AX252" s="252"/>
      <c r="AY252" s="252"/>
      <c r="AZ252" s="252"/>
    </row>
  </sheetData>
  <drawing r:id="rId1"/>
</worksheet>
</file>